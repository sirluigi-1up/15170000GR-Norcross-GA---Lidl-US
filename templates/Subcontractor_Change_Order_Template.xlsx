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contractor CO" sheetId="1" state="visible" r:id="rId3"/>
  </sheets>
  <definedNames>
    <definedName function="false" hidden="false" localSheetId="0" name="_xlnm.Print_Area" vbProcedure="false">'Subcontractor CO'!$A$1:$K$53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<sst xmlns="http://schemas.openxmlformats.org/spreadsheetml/2006/main" count="55" uniqueCount="55">
  <si>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SUBCONTRACTOR CHANGE ORDER</t>
  </si>
  <si>
    <t xml:space="preserve">Submission to General Contractor for review.  Type only in light-gray cells — every Total, Subtotal, and the Grand Total calculate automatically.</t>
  </si>
  <si>
    <t xml:space="preserve">1.  CHANGE ORDER INFORMATION</t>
  </si>
  <si>
    <t xml:space="preserve">SUBCONTRACTOR NAME</t>
  </si>
  <si>
    <t xml:space="preserve">SUBCONTRACT #</t>
  </si>
  <si>
    <t xml:space="preserve">SCO #</t>
  </si>
  <si>
    <t xml:space="preserve">DATE SUBMITTED</t>
  </si>
  <si>
    <t xml:space="preserve">PROJECT NAME</t>
  </si>
  <si>
    <t xml:space="preserve">PROJECT #</t>
  </si>
  <si>
    <t xml:space="preserve">SUBMITTED BY (NAME / TITLE)</t>
  </si>
  <si>
    <t xml:space="preserve">RELATED PCO/CO #</t>
  </si>
  <si>
    <t xml:space="preserve">RELATED RFI #</t>
  </si>
  <si>
    <t xml:space="preserve">SCHEDULE IMPACT (DAYS)</t>
  </si>
  <si>
    <t xml:space="preserve">PRICING VALID UNTIL</t>
  </si>
  <si>
    <t xml:space="preserve">ORIGINAL SUBCONTRACT AMOUNT ($)</t>
  </si>
  <si>
    <t xml:space="preserve">PRIOR APPROVED SCOs ($)</t>
  </si>
  <si>
    <t xml:space="preserve">TRADE / SCOPE</t>
  </si>
  <si>
    <t xml:space="preserve">2.  DESCRIPTION OF CHANGE</t>
  </si>
  <si>
    <t xml:space="preserve">Describe the added / deleted / revised scope, the reason (RFI response, field condition, design revision, GC direction), and the drawings / spec sections affected.</t>
  </si>
  <si>
    <t xml:space="preserve">3.  COST BREAKDOWN  —  Labor, Equipment, Material, Lower-Tier Subcontractor, Other</t>
  </si>
  <si>
    <t xml:space="preserve">#</t>
  </si>
  <si>
    <t xml:space="preserve">DESCRIPTION / ITEM</t>
  </si>
  <si>
    <t xml:space="preserve">TYPE</t>
  </si>
  <si>
    <t xml:space="preserve">QTY / HOURS</t>
  </si>
  <si>
    <t xml:space="preserve">UNIT</t>
  </si>
  <si>
    <t xml:space="preserve">RATE / UNIT COST ($)</t>
  </si>
  <si>
    <t xml:space="preserve">TOTAL ($)</t>
  </si>
  <si>
    <t xml:space="preserve">REFERENCE / NOTES</t>
  </si>
  <si>
    <t xml:space="preserve">EXAMPLE: Electrician, conduit rework</t>
  </si>
  <si>
    <t xml:space="preserve">Labor</t>
  </si>
  <si>
    <t xml:space="preserve">Hr</t>
  </si>
  <si>
    <t xml:space="preserve">Per RFI-001 response</t>
  </si>
  <si>
    <t xml:space="preserve">4.  SUMMARY</t>
  </si>
  <si>
    <t xml:space="preserve">LABOR</t>
  </si>
  <si>
    <t xml:space="preserve">EQUIPMENT</t>
  </si>
  <si>
    <t xml:space="preserve">MATERIAL</t>
  </si>
  <si>
    <t xml:space="preserve">LOWER-TIER SUB</t>
  </si>
  <si>
    <t xml:space="preserve">OTHER</t>
  </si>
  <si>
    <t xml:space="preserve">SUBTOTAL</t>
  </si>
  <si>
    <t xml:space="preserve">MARKUP / OH&amp;P (%)</t>
  </si>
  <si>
    <t xml:space="preserve">MARKUP ($)</t>
  </si>
  <si>
    <t xml:space="preserve">TOTAL THIS SUBCONTRACTOR CHANGE ORDER</t>
  </si>
  <si>
    <t xml:space="preserve">5.  BACKUP &amp; SUBMISSION</t>
  </si>
  <si>
    <t xml:space="preserve">BACKUP DOCUMENTS ATTACHED (quotes, invoices, time sheets, photos, drawings marked up)</t>
  </si>
  <si>
    <t xml:space="preserve">SUBCONTRACTOR SIGNATURE</t>
  </si>
  <si>
    <t xml:space="preserve">DATE</t>
  </si>
  <si>
    <t xml:space="preserve">6.  FOR GC USE ONLY — REVIEW</t>
  </si>
  <si>
    <t xml:space="preserve">STATUS</t>
  </si>
  <si>
    <t xml:space="preserve">APPROVED AMOUNT ($)</t>
  </si>
  <si>
    <t xml:space="preserve">DATE REVIEWED</t>
  </si>
  <si>
    <t xml:space="preserve">REVIEWED BY</t>
  </si>
  <si>
    <t xml:space="preserve">GC SIGNATURE</t>
  </si>
  <si>
    <t xml:space="preserve">VARIANCE (APPROVED − REQUESTED)</t>
  </si>
  <si>
    <t xml:space="preserve">VALIDITY ASSESSMENT / REVIEWER NOTES (checked against subcontract, drawings, specs)</t>
  </si>
  <si>
    <t xml:space="preserve">Legend: light-gray cells = type here; unshaded/darker-gray cells are formulas — don't type over them. Line 1 in the breakdown is an EXAMPLE — overwrite or clear it. Markup defaults to 10% (assumption) — set it to the rate in your subcontract. To add more lines, insert rows ABOVE the last line item so the totals ranges expand.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</si>
</sst>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0"/>
    <numFmt numFmtId="167" formatCode="\$#,##0.00"/>
    <numFmt numFmtId="168" formatCode="#,##0.0"/>
    <numFmt numFmtId="169" formatCode="0.0%"/>
    <numFmt numFmtId="170" formatCode="\$#,##0.00;[RED]&quot;-$&quot;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A1A1A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8"/>
      <color rgb="FF6B6B6B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DA251C"/>
      <name val="Arial"/>
      <family val="0"/>
      <charset val="1"/>
    </font>
    <font>
      <b val="true"/>
      <sz val="11"/>
      <color rgb="FFDA25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BEBEB"/>
      </patternFill>
    </fill>
    <fill>
      <patternFill patternType="solid">
        <fgColor rgb="FFEBEBEB"/>
        <bgColor rgb="FFF2F2F2"/>
      </patternFill>
    </fill>
    <fill>
      <patternFill patternType="solid">
        <fgColor rgb="FFDA251C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A251C"/>
      </bottom>
      <diagonal/>
    </border>
    <border diagonalUp="false" diagonalDown="false">
      <left/>
      <right/>
      <top/>
      <bottom style="thin">
        <color rgb="FF6B6B6B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A1A1A"/>
      </bottom>
      <diagonal/>
    </border>
    <border diagonalUp="false" diagonalDown="false">
      <left/>
      <right/>
      <top/>
      <bottom style="thin">
        <color rgb="FFDA251C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A251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EB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9</xdr:col>
      <xdr:colOff>856800</xdr:colOff>
      <xdr:row>0</xdr:row>
      <xdr:rowOff>380520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024480" y="0"/>
          <a:ext cx="856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251C"/>
    <pageSetUpPr fitToPage="true"/>
  </sheetPr>
  <dimension ref="A1:K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11" min="2" style="0" width="15.51"/>
  </cols>
  <sheetData>
    <row r="1" customFormat="false" ht="30" hidden="false" customHeight="true" outlineLevel="0" collapsed="false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B2" s="3" t="s">
        <v>1</v>
      </c>
    </row>
    <row r="4" customFormat="false" ht="15" hidden="false" customHeight="false" outlineLevel="0" collapsed="false">
      <c r="B4" s="4" t="s">
        <v>2</v>
      </c>
    </row>
    <row r="5" customFormat="false" ht="25.5" hidden="false" customHeight="true" outlineLevel="0" collapsed="false">
      <c r="B5" s="5" t="s">
        <v>3</v>
      </c>
      <c r="C5" s="5"/>
      <c r="D5" s="6" t="s">
        <v>4</v>
      </c>
      <c r="E5" s="6" t="s">
        <v>5</v>
      </c>
      <c r="F5" s="6" t="s">
        <v>6</v>
      </c>
      <c r="G5" s="5" t="s">
        <v>7</v>
      </c>
      <c r="H5" s="5"/>
      <c r="I5" s="6" t="s">
        <v>8</v>
      </c>
      <c r="J5" s="5" t="s">
        <v>9</v>
      </c>
      <c r="K5" s="5"/>
    </row>
    <row r="6" customFormat="false" ht="21.75" hidden="false" customHeight="true" outlineLevel="0" collapsed="false">
      <c r="B6" s="7"/>
      <c r="C6" s="7"/>
      <c r="D6" s="7"/>
      <c r="E6" s="7"/>
      <c r="F6" s="8"/>
      <c r="G6" s="7"/>
      <c r="H6" s="7"/>
      <c r="I6" s="7"/>
      <c r="J6" s="7"/>
      <c r="K6" s="7"/>
    </row>
    <row r="8" customFormat="false" ht="25.5" hidden="false" customHeight="true" outlineLevel="0" collapsed="false">
      <c r="B8" s="6" t="s">
        <v>10</v>
      </c>
      <c r="C8" s="6" t="s">
        <v>11</v>
      </c>
      <c r="D8" s="6" t="s">
        <v>12</v>
      </c>
      <c r="E8" s="6" t="s">
        <v>13</v>
      </c>
      <c r="F8" s="5" t="s">
        <v>14</v>
      </c>
      <c r="G8" s="5"/>
      <c r="H8" s="5" t="s">
        <v>15</v>
      </c>
      <c r="I8" s="5"/>
      <c r="J8" s="5" t="s">
        <v>16</v>
      </c>
      <c r="K8" s="5"/>
    </row>
    <row r="9" customFormat="false" ht="21.75" hidden="false" customHeight="true" outlineLevel="0" collapsed="false">
      <c r="B9" s="7"/>
      <c r="C9" s="7"/>
      <c r="D9" s="9"/>
      <c r="E9" s="8"/>
      <c r="F9" s="10"/>
      <c r="G9" s="10"/>
      <c r="H9" s="10"/>
      <c r="I9" s="10"/>
      <c r="J9" s="7"/>
      <c r="K9" s="7"/>
    </row>
    <row r="11" customFormat="false" ht="15" hidden="false" customHeight="false" outlineLevel="0" collapsed="false">
      <c r="B11" s="4" t="s">
        <v>17</v>
      </c>
    </row>
    <row r="12" customFormat="false" ht="15" hidden="false" customHeight="false" outlineLevel="0" collapsed="false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customFormat="false" ht="15" hidden="false" customHeight="false" outlineLevel="0" collapsed="false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customFormat="false" ht="15" hidden="false" customHeight="false" outlineLevel="0" collapsed="false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customFormat="false" ht="15" hidden="false" customHeight="false" outlineLevel="0" collapsed="false">
      <c r="B15" s="3" t="s">
        <v>18</v>
      </c>
    </row>
    <row r="17" customFormat="false" ht="15" hidden="false" customHeight="false" outlineLevel="0" collapsed="false">
      <c r="B17" s="4" t="s">
        <v>19</v>
      </c>
    </row>
    <row r="18" customFormat="false" ht="27.75" hidden="false" customHeight="true" outlineLevel="0" collapsed="false">
      <c r="A18" s="12" t="s">
        <v>20</v>
      </c>
      <c r="B18" s="12" t="s">
        <v>21</v>
      </c>
      <c r="C18" s="12"/>
      <c r="D18" s="12"/>
      <c r="E18" s="12" t="s">
        <v>22</v>
      </c>
      <c r="F18" s="12" t="s">
        <v>23</v>
      </c>
      <c r="G18" s="12" t="s">
        <v>24</v>
      </c>
      <c r="H18" s="12" t="s">
        <v>25</v>
      </c>
      <c r="I18" s="12" t="s">
        <v>26</v>
      </c>
      <c r="J18" s="12" t="s">
        <v>27</v>
      </c>
      <c r="K18" s="12"/>
    </row>
    <row r="19" customFormat="false" ht="18" hidden="false" customHeight="true" outlineLevel="0" collapsed="false">
      <c r="A19" s="13" t="n">
        <v>1</v>
      </c>
      <c r="B19" s="14" t="s">
        <v>28</v>
      </c>
      <c r="C19" s="14"/>
      <c r="D19" s="14"/>
      <c r="E19" s="14" t="s">
        <v>29</v>
      </c>
      <c r="F19" s="15" t="n">
        <v>16</v>
      </c>
      <c r="G19" s="16" t="s">
        <v>30</v>
      </c>
      <c r="H19" s="17" t="n">
        <v>65</v>
      </c>
      <c r="I19" s="18" t="n">
        <f aca="false">IF(OR(F19="",H19=""),"",F19*H19)</f>
        <v>1040</v>
      </c>
      <c r="J19" s="14" t="s">
        <v>31</v>
      </c>
      <c r="K19" s="14"/>
    </row>
    <row r="20" customFormat="false" ht="18" hidden="false" customHeight="true" outlineLevel="0" collapsed="false">
      <c r="A20" s="13" t="n">
        <v>2</v>
      </c>
      <c r="B20" s="14"/>
      <c r="C20" s="14"/>
      <c r="D20" s="14"/>
      <c r="E20" s="14"/>
      <c r="F20" s="15"/>
      <c r="G20" s="16"/>
      <c r="H20" s="17"/>
      <c r="I20" s="18" t="str">
        <f aca="false">IF(OR(F20="",H20=""),"",F20*H20)</f>
        <v/>
      </c>
      <c r="J20" s="14"/>
      <c r="K20" s="14"/>
    </row>
    <row r="21" customFormat="false" ht="18" hidden="false" customHeight="true" outlineLevel="0" collapsed="false">
      <c r="A21" s="13" t="n">
        <v>3</v>
      </c>
      <c r="B21" s="14"/>
      <c r="C21" s="14"/>
      <c r="D21" s="14"/>
      <c r="E21" s="14"/>
      <c r="F21" s="15"/>
      <c r="G21" s="16"/>
      <c r="H21" s="17"/>
      <c r="I21" s="18" t="str">
        <f aca="false">IF(OR(F21="",H21=""),"",F21*H21)</f>
        <v/>
      </c>
      <c r="J21" s="14"/>
      <c r="K21" s="14"/>
    </row>
    <row r="22" customFormat="false" ht="18" hidden="false" customHeight="true" outlineLevel="0" collapsed="false">
      <c r="A22" s="13" t="n">
        <v>4</v>
      </c>
      <c r="B22" s="14"/>
      <c r="C22" s="14"/>
      <c r="D22" s="14"/>
      <c r="E22" s="14"/>
      <c r="F22" s="15"/>
      <c r="G22" s="16"/>
      <c r="H22" s="17"/>
      <c r="I22" s="18" t="str">
        <f aca="false">IF(OR(F22="",H22=""),"",F22*H22)</f>
        <v/>
      </c>
      <c r="J22" s="14"/>
      <c r="K22" s="14"/>
    </row>
    <row r="23" customFormat="false" ht="18" hidden="false" customHeight="true" outlineLevel="0" collapsed="false">
      <c r="A23" s="13" t="n">
        <v>5</v>
      </c>
      <c r="B23" s="14"/>
      <c r="C23" s="14"/>
      <c r="D23" s="14"/>
      <c r="E23" s="14"/>
      <c r="F23" s="15"/>
      <c r="G23" s="16"/>
      <c r="H23" s="17"/>
      <c r="I23" s="18" t="str">
        <f aca="false">IF(OR(F23="",H23=""),"",F23*H23)</f>
        <v/>
      </c>
      <c r="J23" s="14"/>
      <c r="K23" s="14"/>
    </row>
    <row r="24" customFormat="false" ht="18" hidden="false" customHeight="true" outlineLevel="0" collapsed="false">
      <c r="A24" s="13" t="n">
        <v>6</v>
      </c>
      <c r="B24" s="14"/>
      <c r="C24" s="14"/>
      <c r="D24" s="14"/>
      <c r="E24" s="14"/>
      <c r="F24" s="15"/>
      <c r="G24" s="16"/>
      <c r="H24" s="17"/>
      <c r="I24" s="18" t="str">
        <f aca="false">IF(OR(F24="",H24=""),"",F24*H24)</f>
        <v/>
      </c>
      <c r="J24" s="14"/>
      <c r="K24" s="14"/>
    </row>
    <row r="25" customFormat="false" ht="18" hidden="false" customHeight="true" outlineLevel="0" collapsed="false">
      <c r="A25" s="13" t="n">
        <v>7</v>
      </c>
      <c r="B25" s="14"/>
      <c r="C25" s="14"/>
      <c r="D25" s="14"/>
      <c r="E25" s="14"/>
      <c r="F25" s="15"/>
      <c r="G25" s="16"/>
      <c r="H25" s="17"/>
      <c r="I25" s="18" t="str">
        <f aca="false">IF(OR(F25="",H25=""),"",F25*H25)</f>
        <v/>
      </c>
      <c r="J25" s="14"/>
      <c r="K25" s="14"/>
    </row>
    <row r="26" customFormat="false" ht="18" hidden="false" customHeight="true" outlineLevel="0" collapsed="false">
      <c r="A26" s="13" t="n">
        <v>8</v>
      </c>
      <c r="B26" s="14"/>
      <c r="C26" s="14"/>
      <c r="D26" s="14"/>
      <c r="E26" s="14"/>
      <c r="F26" s="15"/>
      <c r="G26" s="16"/>
      <c r="H26" s="17"/>
      <c r="I26" s="18" t="str">
        <f aca="false">IF(OR(F26="",H26=""),"",F26*H26)</f>
        <v/>
      </c>
      <c r="J26" s="14"/>
      <c r="K26" s="14"/>
    </row>
    <row r="27" customFormat="false" ht="18" hidden="false" customHeight="true" outlineLevel="0" collapsed="false">
      <c r="A27" s="13" t="n">
        <v>9</v>
      </c>
      <c r="B27" s="14"/>
      <c r="C27" s="14"/>
      <c r="D27" s="14"/>
      <c r="E27" s="14"/>
      <c r="F27" s="15"/>
      <c r="G27" s="16"/>
      <c r="H27" s="17"/>
      <c r="I27" s="18" t="str">
        <f aca="false">IF(OR(F27="",H27=""),"",F27*H27)</f>
        <v/>
      </c>
      <c r="J27" s="14"/>
      <c r="K27" s="14"/>
    </row>
    <row r="28" customFormat="false" ht="18" hidden="false" customHeight="true" outlineLevel="0" collapsed="false">
      <c r="A28" s="13" t="n">
        <v>10</v>
      </c>
      <c r="B28" s="14"/>
      <c r="C28" s="14"/>
      <c r="D28" s="14"/>
      <c r="E28" s="14"/>
      <c r="F28" s="15"/>
      <c r="G28" s="16"/>
      <c r="H28" s="17"/>
      <c r="I28" s="18" t="str">
        <f aca="false">IF(OR(F28="",H28=""),"",F28*H28)</f>
        <v/>
      </c>
      <c r="J28" s="14"/>
      <c r="K28" s="14"/>
    </row>
    <row r="29" customFormat="false" ht="18" hidden="false" customHeight="true" outlineLevel="0" collapsed="false">
      <c r="A29" s="13" t="n">
        <v>11</v>
      </c>
      <c r="B29" s="14"/>
      <c r="C29" s="14"/>
      <c r="D29" s="14"/>
      <c r="E29" s="14"/>
      <c r="F29" s="15"/>
      <c r="G29" s="16"/>
      <c r="H29" s="17"/>
      <c r="I29" s="18" t="str">
        <f aca="false">IF(OR(F29="",H29=""),"",F29*H29)</f>
        <v/>
      </c>
      <c r="J29" s="14"/>
      <c r="K29" s="14"/>
    </row>
    <row r="30" customFormat="false" ht="18" hidden="false" customHeight="true" outlineLevel="0" collapsed="false">
      <c r="A30" s="13" t="n">
        <v>12</v>
      </c>
      <c r="B30" s="14"/>
      <c r="C30" s="14"/>
      <c r="D30" s="14"/>
      <c r="E30" s="14"/>
      <c r="F30" s="15"/>
      <c r="G30" s="16"/>
      <c r="H30" s="17"/>
      <c r="I30" s="18" t="str">
        <f aca="false">IF(OR(F30="",H30=""),"",F30*H30)</f>
        <v/>
      </c>
      <c r="J30" s="14"/>
      <c r="K30" s="14"/>
    </row>
    <row r="31" customFormat="false" ht="18" hidden="false" customHeight="true" outlineLevel="0" collapsed="false">
      <c r="A31" s="13" t="n">
        <v>13</v>
      </c>
      <c r="B31" s="14"/>
      <c r="C31" s="14"/>
      <c r="D31" s="14"/>
      <c r="E31" s="14"/>
      <c r="F31" s="15"/>
      <c r="G31" s="16"/>
      <c r="H31" s="17"/>
      <c r="I31" s="18" t="str">
        <f aca="false">IF(OR(F31="",H31=""),"",F31*H31)</f>
        <v/>
      </c>
      <c r="J31" s="14"/>
      <c r="K31" s="14"/>
    </row>
    <row r="32" customFormat="false" ht="18" hidden="false" customHeight="true" outlineLevel="0" collapsed="false">
      <c r="A32" s="13" t="n">
        <v>14</v>
      </c>
      <c r="B32" s="14"/>
      <c r="C32" s="14"/>
      <c r="D32" s="14"/>
      <c r="E32" s="14"/>
      <c r="F32" s="15"/>
      <c r="G32" s="16"/>
      <c r="H32" s="17"/>
      <c r="I32" s="18" t="str">
        <f aca="false">IF(OR(F32="",H32=""),"",F32*H32)</f>
        <v/>
      </c>
      <c r="J32" s="14"/>
      <c r="K32" s="14"/>
    </row>
    <row r="34" customFormat="false" ht="15" hidden="false" customHeight="false" outlineLevel="0" collapsed="false">
      <c r="B34" s="4" t="s">
        <v>32</v>
      </c>
    </row>
    <row r="35" customFormat="false" ht="24" hidden="false" customHeight="true" outlineLevel="0" collapsed="false">
      <c r="B35" s="19" t="s">
        <v>33</v>
      </c>
      <c r="C35" s="19" t="s">
        <v>34</v>
      </c>
      <c r="D35" s="19" t="s">
        <v>35</v>
      </c>
      <c r="E35" s="19" t="s">
        <v>36</v>
      </c>
      <c r="F35" s="19" t="s">
        <v>37</v>
      </c>
      <c r="G35" s="19" t="s">
        <v>38</v>
      </c>
      <c r="H35" s="19" t="s">
        <v>39</v>
      </c>
      <c r="I35" s="19" t="s">
        <v>40</v>
      </c>
      <c r="J35" s="20" t="s">
        <v>41</v>
      </c>
      <c r="K35" s="20"/>
    </row>
    <row r="36" customFormat="false" ht="25.5" hidden="false" customHeight="true" outlineLevel="0" collapsed="false">
      <c r="B36" s="21" t="n">
        <f aca="false">SUMIF($E$19:$E$32,"Labor",$I$19:$I$32)</f>
        <v>1040</v>
      </c>
      <c r="C36" s="21" t="n">
        <f aca="false">SUMIF($E$19:$E$32,"Equipment",$I$19:$I$32)</f>
        <v>0</v>
      </c>
      <c r="D36" s="21" t="n">
        <f aca="false">SUMIF($E$19:$E$32,"Material",$I$19:$I$32)</f>
        <v>0</v>
      </c>
      <c r="E36" s="21" t="n">
        <f aca="false">SUMIF($E$19:$E$32,"Subcontractor",$I$19:$I$32)</f>
        <v>0</v>
      </c>
      <c r="F36" s="21" t="n">
        <f aca="false">SUMIF($E$19:$E$32,"Other",$I$19:$I$32)</f>
        <v>0</v>
      </c>
      <c r="G36" s="21" t="n">
        <f aca="false">SUM(B36:F36)</f>
        <v>1040</v>
      </c>
      <c r="H36" s="22" t="n">
        <v>0.1</v>
      </c>
      <c r="I36" s="21" t="n">
        <f aca="false">G36*H36</f>
        <v>104</v>
      </c>
      <c r="J36" s="23" t="n">
        <f aca="false">G36+I36</f>
        <v>1144</v>
      </c>
      <c r="K36" s="23"/>
    </row>
    <row r="37" customFormat="false" ht="15" hidden="false" customHeight="false" outlineLevel="0" collapsed="false">
      <c r="B37" s="24" t="str">
        <f aca="false">IF(ROUND(SUM($I$19:$I$32)-G36,2)=0,"","CHECK: some line totals have no Type selected — they are NOT counted in the Subtotal.")</f>
        <v/>
      </c>
    </row>
    <row r="39" customFormat="false" ht="15" hidden="false" customHeight="false" outlineLevel="0" collapsed="false">
      <c r="B39" s="4" t="s">
        <v>42</v>
      </c>
    </row>
    <row r="40" customFormat="false" ht="24" hidden="false" customHeight="true" outlineLevel="0" collapsed="false">
      <c r="B40" s="5" t="s">
        <v>43</v>
      </c>
      <c r="C40" s="5"/>
      <c r="D40" s="5"/>
      <c r="E40" s="5"/>
      <c r="F40" s="5"/>
      <c r="G40" s="5"/>
      <c r="H40" s="5" t="s">
        <v>44</v>
      </c>
      <c r="I40" s="5"/>
      <c r="J40" s="5" t="s">
        <v>45</v>
      </c>
      <c r="K40" s="5"/>
    </row>
    <row r="41" customFormat="false" ht="25.5" hidden="false" customHeight="true" outlineLevel="0" collapsed="false">
      <c r="B41" s="7"/>
      <c r="C41" s="7"/>
      <c r="D41" s="7"/>
      <c r="E41" s="7"/>
      <c r="F41" s="7"/>
      <c r="G41" s="7"/>
      <c r="H41" s="7"/>
      <c r="I41" s="7"/>
      <c r="J41" s="7"/>
      <c r="K41" s="7"/>
    </row>
    <row r="43" customFormat="false" ht="15" hidden="false" customHeight="false" outlineLevel="0" collapsed="false">
      <c r="B43" s="25" t="s">
        <v>46</v>
      </c>
      <c r="C43" s="26"/>
      <c r="D43" s="26"/>
      <c r="E43" s="26"/>
      <c r="F43" s="26"/>
      <c r="G43" s="26"/>
      <c r="H43" s="26"/>
      <c r="I43" s="26"/>
      <c r="J43" s="26"/>
      <c r="K43" s="26"/>
    </row>
    <row r="44" customFormat="false" ht="24" hidden="false" customHeight="true" outlineLevel="0" collapsed="false">
      <c r="B44" s="5" t="s">
        <v>47</v>
      </c>
      <c r="C44" s="5"/>
      <c r="D44" s="5" t="s">
        <v>48</v>
      </c>
      <c r="E44" s="5"/>
      <c r="F44" s="6" t="s">
        <v>49</v>
      </c>
      <c r="G44" s="5" t="s">
        <v>50</v>
      </c>
      <c r="H44" s="5"/>
      <c r="I44" s="5" t="s">
        <v>51</v>
      </c>
      <c r="J44" s="5"/>
      <c r="K44" s="5"/>
    </row>
    <row r="45" customFormat="false" ht="25.5" hidden="false" customHeight="true" outlineLevel="0" collapsed="false">
      <c r="B45" s="7"/>
      <c r="C45" s="7"/>
      <c r="D45" s="10"/>
      <c r="E45" s="10"/>
      <c r="F45" s="8"/>
      <c r="G45" s="7"/>
      <c r="H45" s="7"/>
      <c r="I45" s="7"/>
      <c r="J45" s="7"/>
      <c r="K45" s="7"/>
    </row>
    <row r="46" customFormat="false" ht="15" hidden="false" customHeight="false" outlineLevel="0" collapsed="false">
      <c r="B46" s="27" t="s">
        <v>52</v>
      </c>
      <c r="C46" s="27"/>
      <c r="D46" s="28" t="str">
        <f aca="false">IF(D45="","",D45-J36)</f>
        <v/>
      </c>
      <c r="E46" s="28"/>
    </row>
    <row r="48" customFormat="false" ht="24" hidden="false" customHeight="true" outlineLevel="0" collapsed="false">
      <c r="B48" s="5" t="s">
        <v>53</v>
      </c>
      <c r="C48" s="5"/>
      <c r="D48" s="5"/>
      <c r="E48" s="5"/>
      <c r="F48" s="5"/>
      <c r="G48" s="5"/>
      <c r="H48" s="5"/>
      <c r="I48" s="5"/>
      <c r="J48" s="5"/>
      <c r="K48" s="5"/>
    </row>
    <row r="49" customFormat="false" ht="15" hidden="false" customHeight="false" outlineLevel="0" collapsed="false"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customFormat="false" ht="15" hidden="false" customHeight="false" outlineLevel="0" collapsed="false"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2" customFormat="false" ht="19.5" hidden="false" customHeight="true" outlineLevel="0" collapsed="false">
      <c r="B52" s="29" t="s">
        <v>54</v>
      </c>
      <c r="C52" s="29"/>
      <c r="D52" s="29"/>
      <c r="E52" s="29"/>
      <c r="F52" s="29"/>
      <c r="G52" s="29"/>
      <c r="H52" s="29"/>
      <c r="I52" s="29"/>
      <c r="J52" s="29"/>
      <c r="K52" s="29"/>
    </row>
    <row r="53" customFormat="false" ht="19.5" hidden="false" customHeight="true" outlineLevel="0" collapsed="false">
      <c r="B53" s="29"/>
      <c r="C53" s="29"/>
      <c r="D53" s="29"/>
      <c r="E53" s="29"/>
      <c r="F53" s="29"/>
      <c r="G53" s="29"/>
      <c r="H53" s="29"/>
      <c r="I53" s="29"/>
      <c r="J53" s="29"/>
      <c r="K53" s="29"/>
    </row>
  </sheetData>
  <mergeCells count="64">
    <mergeCell ref="B5:C5"/>
    <mergeCell ref="G5:H5"/>
    <mergeCell ref="J5:K5"/>
    <mergeCell ref="B6:C6"/>
    <mergeCell ref="G6:H6"/>
    <mergeCell ref="J6:K6"/>
    <mergeCell ref="F8:G8"/>
    <mergeCell ref="H8:I8"/>
    <mergeCell ref="J8:K8"/>
    <mergeCell ref="F9:G9"/>
    <mergeCell ref="H9:I9"/>
    <mergeCell ref="J9:K9"/>
    <mergeCell ref="B12:K14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J35:K35"/>
    <mergeCell ref="J36:K36"/>
    <mergeCell ref="B40:G40"/>
    <mergeCell ref="H40:I40"/>
    <mergeCell ref="J40:K40"/>
    <mergeCell ref="B41:G41"/>
    <mergeCell ref="H41:I41"/>
    <mergeCell ref="J41:K41"/>
    <mergeCell ref="B44:C44"/>
    <mergeCell ref="D44:E44"/>
    <mergeCell ref="G44:H44"/>
    <mergeCell ref="I44:K44"/>
    <mergeCell ref="B45:C45"/>
    <mergeCell ref="D45:E45"/>
    <mergeCell ref="G45:H45"/>
    <mergeCell ref="I45:K45"/>
    <mergeCell ref="B46:C46"/>
    <mergeCell ref="D46:E46"/>
    <mergeCell ref="B48:K48"/>
    <mergeCell ref="B49:K50"/>
    <mergeCell ref="B52:K53"/>
  </mergeCells>
  <dataValidations count="2">
    <dataValidation allowBlank="true" errorStyle="stop" operator="between" showDropDown="false" showErrorMessage="false" showInputMessage="false" sqref="E19:E32" type="list">
      <formula1>"Labor,Equipment,Material,Subcontractor,Other"</formula1>
      <formula2>0</formula2>
    </dataValidation>
    <dataValidation allowBlank="true" errorStyle="stop" operator="between" showDropDown="false" showErrorMessage="false" showInputMessage="false" sqref="B45" type="list">
      <formula1>"Submitted,Under Review,Approved,Pending,Rejected,Void"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2026-09-28T15:00:40Z</dcterms:created>
  <dc:creator>openpyxl</dc:creator>
  <dc:description/>
  <dc:language>en-US</dc:language>
  <cp:lastModifiedBy/>
  <dcterms:modified xsi:type="dcterms:W3CDTF">2026-09-28T15:00:40Z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