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A99333E6-9D0A-43E6-83FE-FBBB719F976D}" xr6:coauthVersionLast="47" xr6:coauthVersionMax="47" xr10:uidLastSave="{00000000-0000-0000-0000-000000000000}"/>
  <bookViews>
    <workbookView xWindow="1560" yWindow="1560" windowWidth="28800" windowHeight="17085" tabRatio="500" firstSheet="16"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Milestones'!$A$1:$F$56</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5" i="14"/>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R2" i="7"/>
  <c r="S2" i="7" s="1"/>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P3" i="6"/>
  <c r="Q3" i="6" s="1"/>
  <c r="M3" i="6"/>
  <c r="P2" i="6"/>
  <c r="Q2" i="6" s="1"/>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O12" i="5"/>
  <c r="P12" i="5" s="1"/>
  <c r="K12" i="5"/>
  <c r="O11" i="5"/>
  <c r="P11" i="5" s="1"/>
  <c r="K11" i="5"/>
  <c r="O10" i="5"/>
  <c r="P10" i="5" s="1"/>
  <c r="K10" i="5"/>
  <c r="O9" i="5"/>
  <c r="P9" i="5" s="1"/>
  <c r="K9" i="5"/>
  <c r="O8" i="5"/>
  <c r="P8" i="5" s="1"/>
  <c r="K8" i="5"/>
  <c r="O7" i="5"/>
  <c r="P7" i="5" s="1"/>
  <c r="K7" i="5"/>
  <c r="O6" i="5"/>
  <c r="P6" i="5" s="1"/>
  <c r="K6" i="5"/>
  <c r="O5" i="5"/>
  <c r="P5" i="5" s="1"/>
  <c r="K5" i="5"/>
  <c r="O4" i="5"/>
  <c r="P4" i="5" s="1"/>
  <c r="K4" i="5"/>
  <c r="P3" i="5"/>
  <c r="O3" i="5"/>
  <c r="K3" i="5"/>
  <c r="O2" i="5"/>
  <c r="P2" i="5" s="1"/>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<sst xmlns="http://schemas.openxmlformats.org/spreadsheetml/2006/main" count="1610" uniqueCount="909">
  <si>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</si>
  <si>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</si>
  <si>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</si>
  <si>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</si>
  <si>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</si>
  <si>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</si>
  <si>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</si>
  <si>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</si>
  <si>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</si>
  <si>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</si>
  <si>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</si>
  <si>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</si>
  <si>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</si>
  <si>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</si>
  <si>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</si>
  <si>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</si>
  <si>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</si>
  <si>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</si>
  <si>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</si>
  <si>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</si>
  <si>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</si>
  <si>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</si>
  <si>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</si>
  <si>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</si>
  <si>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</si>
  <si>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</si>
  <si>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Lump Sum</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</si>
  <si>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</si>
  <si>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</si>
  <si>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</si>
  <si>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</si>
  <si>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</si>
  <si>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</si>
  <si>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</si>
  <si>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</si>
  <si>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</si>
  <si>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</si>
  <si>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</si>
  <si>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</si>
  <si>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</si>
  <si>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</si>
  <si>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</si>
  <si>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</si>
  <si>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</si>
  <si>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</si>
  <si>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</si>
  <si>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</si>
  <si>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</si>
  <si>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</si>
  <si>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</si>
  <si>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</si>
  <si>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</si>
  <si>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</si>
  <si>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</si>
  <si>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</si>
  <si>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</si>
  <si>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</si>
  <si>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</si>
  <si>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</si>
  <si>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</si>
  <si>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</si>
  <si>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</si>
  <si>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</si>
  <si>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</si>
  <si>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</si>
  <si>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</si>
  <si>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</si>
  <si>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</si>
  <si>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</si>
  <si>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</si>
  <si>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</si>
  <si>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</si>
  <si>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</si>
  <si>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</si>
  <si>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</si>
  <si>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</si>
  <si>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</si>
  <si>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</si>
  <si>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</si>
  <si>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</si>
  <si>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</si>
  <si>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</si>
  <si>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</si>
  <si>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</si>
  <si>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</si>
  <si>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</si>
  <si>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</si>
  <si>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</si>
  <si>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</si>
  <si>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</si>
  <si>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</si>
  <si>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</si>
  <si>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</si>
  <si>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</si>
  <si>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</si>
  <si>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</si>
  <si>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</si>
  <si>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</si>
  <si>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</si>
  <si>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</si>
  <si>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</si>
  <si>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</si>
  <si>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</si>
  <si>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</si>
  <si>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</si>
  <si>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</si>
  <si>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</si>
  <si>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</si>
  <si>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</si>
  <si>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</si>
  <si>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</si>
  <si>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</si>
  <si>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</si>
  <si>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</si>
  <si>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</si>
  <si>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</si>
  <si>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</si>
  <si>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</si>
  <si>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</si>
  <si>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</si>
  <si>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</si>
  <si>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</si>
  <si>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</si>
  <si>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</si>
  <si>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</si>
  <si>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</si>
  <si>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</si>
  <si>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</si>
  <si>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</si>
  <si>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</si>
  <si>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</si>
  <si>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</si>
  <si>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</si>
  <si>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</si>
  <si>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</si>
  <si>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</si>
  <si>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</si>
  <si>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</si>
  <si>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</si>
  <si>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</si>
  <si>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</si>
  <si>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</si>
  <si>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</si>
  <si>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</si>
  <si>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</si>
  <si>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</si>
  <si>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</si>
  <si>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</si>
  <si>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</si>
  <si>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</si>
  <si>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</si>
  <si>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</si>
  <si>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</si>
  <si>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</si>
  <si>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</si>
  <si>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</si>
  <si>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</si>
  <si>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</si>
  <si>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</si>
  <si>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</si>
  <si>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</si>
  <si>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</si>
  <si>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</si>
  <si>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</si>
  <si>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</si>
  <si>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</si>
  <si>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</si>
  <si>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</si>
  <si>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</si>
  <si>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</si>
  <si>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</si>
  <si>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</si>
  <si>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</si>
  <si>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</si>
  <si>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</si>
  <si>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</si>
  <si>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</si>
  <si>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</si>
  <si>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</si>
  <si>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</si>
  <si>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</si>
  <si>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</si>
  <si>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</si>
  <si>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</si>
  <si>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</si>
  <si>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</si>
  <si>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</si>
  <si>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</si>
  <si>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</si>
  <si>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</si>
  <si>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</si>
  <si>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</si>
  <si>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</si>
  <si>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</si>
  <si>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</si>
  <si>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</si>
  <si>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</si>
  <si>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</si>
  <si>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</si>
  <si>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</si>
  <si>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</si>
  <si>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</si>
  <si>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</si>
  <si>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</si>
  <si>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</si>
  <si>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</si>
  <si>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</si>
  <si>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</si>
  <si>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</si>
  <si>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</si>
  <si>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</si>
  <si>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</si>
  <si>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</si>
  <si>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</si>
  <si>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</si>
  <si>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</si>
  <si>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</si>
  <si>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</si>
  <si>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</si>
  <si>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</si>
  <si>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</si>
  <si>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</si>
  <si>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</si>
  <si>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</si>
  <si>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</si>
  <si>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</si>
  <si>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</si>
  <si>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</si>
  <si>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</si>
  <si>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</si>
  <si>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</si>
  <si>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</si>
  <si>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</si>
  <si>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</si>
  <si>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</si>
  <si>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</si>
  <si>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</si>
  <si>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</si>
  <si>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</si>
  <si>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</si>
  <si>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</si>
  <si>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</si>
  <si>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</si>
  <si>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</si>
  <si>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</si>
  <si>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</si>
  <si>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</si>
  <si>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</si>
  <si>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</si>
  <si>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</si>
  <si>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</si>
  <si>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</si>
  <si>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</si>
  <si>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</si>
  <si>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</si>
  <si>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</si>
  <si>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</si>
  <si>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</si>
  <si>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</si>
  <si>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</si>
  <si>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</si>
  <si>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</si>
  <si>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</si>
  <si>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</si>
  <si>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</si>
  <si>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</si>
  <si>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</si>
  <si>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</si>
  <si>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</si>
  <si>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</si>
  <si>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</si>
  <si>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</si>
  <si>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</si>
  <si>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</si>
  <si>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</si>
  <si>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</si>
  <si>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</si>
  <si>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</si>
  <si>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</si>
  <si>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</si>
  <si>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</si>
  <si>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</si>
  <si>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</si>
  <si>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</si>
  <si>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</si>
  <si>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</si>
  <si>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</si>
  <si>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</si>
  <si>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</si>
  <si>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</si>
  <si>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</si>
  <si>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</si>
  <si>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</si>
  <si>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</si>
  <si>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</si>
  <si>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</si>
  <si>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</si>
  <si>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</si>
  <si>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</si>
  <si>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</si>
  <si>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</si>
  <si>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</si>
  <si>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</si>
  <si>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</si>
  <si>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</si>
  <si>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</si>
  <si>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</si>
  <si>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</si>
  <si>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</si>
  <si>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</si>
  <si>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</si>
  <si>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</si>
  <si>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</si>
  <si>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</si>
  <si>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</si>
  <si>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</si>
  <si>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</si>
  <si>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</si>
  <si>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</si>
  <si>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</si>
  <si>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</si>
  <si>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</si>
  <si>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</si>
  <si>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</si>
  <si>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</si>
  <si>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</si>
  <si>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</si>
  <si>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</si>
  <si>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</si>
  <si>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</si>
  <si>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</si>
  <si>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</si>
  <si>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</si>
  <si>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</si>
  <si>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</si>
  <si>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</si>
  <si>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</si>
  <si>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</si>
  <si>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</si>
  <si>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</si>
  <si>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</si>
  <si>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</si>
  <si>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</si>
  <si>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</si>
  <si>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</si>
  <si>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</si>
  <si>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</si>
  <si>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</si>
  <si>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</si>
  <si>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</si>
  <si>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</si>
  <si>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</si>
  <si>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</si>
  <si>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</si>
  <si>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</si>
  <si>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</si>
  <si>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</si>
  <si>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</si>
  <si>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</si>
  <si>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</si>
  <si>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</si>
  <si>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</si>
  <si>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</si>
  <si>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</si>
  <si>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</si>
  <si>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</si>
  <si>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</si>
  <si>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</si>
  <si>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</si>
  <si>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</si>
  <si>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</si>
  <si>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</si>
  <si>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</si>
  <si>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</si>
  <si>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</si>
  <si>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</si>
  <si>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</si>
  <si>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</si>
  <si>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</si>
  <si>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</si>
  <si>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</si>
  <si>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</si>
  <si>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</si>
  <si>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</si>
  <si>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</si>
  <si>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</si>
  <si>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</si>
  <si>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</si>
  <si>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</si>
  <si>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</si>
  <si>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</si>
  <si>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</si>
  <si>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</si>
  <si>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</si>
  <si>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</si>
  <si>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</si>
  <si>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</si>
  <si>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</si>
  <si>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</si>
  <si>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</si>
  <si>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</si>
  <si>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</si>
  <si>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</si>
  <si>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</si>
  <si>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</si>
  <si>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</si>
  <si>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</si>
  <si>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</si>
  <si>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</si>
  <si>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</si>
  <si>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</si>
  <si>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</si>
  <si>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</si>
  <si>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</si>
  <si>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</si>
  <si>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</si>
  <si>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</si>
  <si>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</si>
  <si>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</si>
  <si>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</si>
  <si>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</si>
  <si>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</si>
  <si>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</si>
  <si>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</si>
  <si>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</si>
  <si>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</si>
  <si>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</si>
  <si>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</si>
  <si>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</si>
  <si>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</si>
  <si>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</si>
  <si>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</si>
  <si>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</si>
  <si>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</si>
  <si>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</si>
  <si>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</si>
  <si>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</si>
  <si>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</si>
  <si>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</si>
  <si>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</si>
  <si>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</si>
  <si>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</si>
  <si>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</si>
  <si>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</si>
  <si>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</si>
  <si>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</si>
  <si>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</si>
  <si>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</si>
  <si>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</si>
  <si>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</si>
  <si>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</si>
  <si>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</si>
  <si>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</si>
  <si>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</si>
  <si>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</si>
  <si>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</si>
  <si>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</si>
  <si>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</si>
  <si>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</si>
  <si>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</si>
  <si>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</si>
  <si>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</si>
  <si>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</si>
  <si>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</si>
  <si>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</si>
  <si>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</si>
  <si>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</si>
  <si>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</si>
  <si>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</si>
  <si>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</si>
  <si>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</si>
  <si>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</si>
  <si>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Mobilization and demolition start - on site Mon 10/5/2026</t>
  </si>
  <si>
    <t>Confirm Monday 10/5 mobilization to Jens and Chris</t>
  </si>
  <si>
    <t>Luis F. Marcelino</t>
  </si>
  <si>
    <t>Before 10/5/2026</t>
  </si>
  <si>
    <t>County pre-con meetings - traffic/ROW (R.J. Haynes)</t>
  </si>
  <si>
    <t>Schedule county pre-con for traffic / right-of-way work</t>
  </si>
  <si>
    <t>R.J. Haynes</t>
  </si>
  <si>
    <t>Before any ROW work - DATE NEEDED</t>
  </si>
  <si>
    <t>Schedule county pre-con for utility work</t>
  </si>
  <si>
    <t>Before utility work - DATE NEEDED</t>
  </si>
  <si>
    <t>County pre-con meetings - correspondence distribution</t>
  </si>
  <si>
    <t>Forward county correspondence to Jens and Chris</t>
  </si>
  <si>
    <t>Ongoing</t>
  </si>
  <si>
    <t>County inspector asked to meet team before work starts</t>
  </si>
  <si>
    <t>Send inspector contact information to Luis</t>
  </si>
  <si>
    <t>Chris Manes</t>
  </si>
  <si>
    <t>TBD - DATE NEEDED</t>
  </si>
  <si>
    <t>Contact inspector before starting work (including demo, if requested)</t>
  </si>
  <si>
    <t>Civil plan revisions resubmission on hold until Phase 1 E&amp;S installed</t>
  </si>
  <si>
    <t>Resubmit civil plan revisions; keep team informed of timing</t>
  </si>
  <si>
    <t>After Phase 1 E&amp;S installed - DATE NEEDED</t>
  </si>
  <si>
    <t>Communication - copy Tucker Teague and Bobby McTeague on all emails</t>
  </si>
  <si>
    <t>Add Tucker Teague and Bobby McTeague to all project correspondence</t>
  </si>
  <si>
    <t>Jens Byer; Chris Manes</t>
  </si>
  <si>
    <t>Immediately</t>
  </si>
  <si>
    <t>Recurring OAC meeting - Thursday afternoons</t>
  </si>
  <si>
    <t>Send recurring Thursday-afternoon OAC invite to all attendees</t>
  </si>
  <si>
    <t>Jens Byer</t>
  </si>
  <si>
    <t>Schedule site visit</t>
  </si>
  <si>
    <t>10/22/2026 (approx.)</t>
  </si>
  <si>
    <t>Contract and Procore - executed contract upload</t>
  </si>
  <si>
    <t>Upload fully executed contract to Procore</t>
  </si>
  <si>
    <t>Contract and Procore - inflation change item; demo/abatement against allowance</t>
  </si>
  <si>
    <t>Log inflation discussion in Procore as a change item</t>
  </si>
  <si>
    <t>After contract upload - DATE NEEDED</t>
  </si>
  <si>
    <t>PCO pending (not yet in Change Order Log)</t>
  </si>
  <si>
    <t>Site visit by Jens Byer within 2-3 weeks</t>
  </si>
  <si>
    <t>County pre-con meetings - utility work (Cole's Construction, site contractor)</t>
  </si>
  <si>
    <t>Cole's Construction</t>
  </si>
  <si>
    <t>documents\meeting minutes\OAC\Meeting_Minutes_OAC-001_2026-10-01_Rev1.pdf</t>
  </si>
  <si>
    <t>SUB-001</t>
  </si>
  <si>
    <t>23 0503</t>
  </si>
  <si>
    <t>HVAC Package Rev 0 (Procore 230503-1.0 / Fieldwire PSI-0004) - Lennox RTUs &amp; mini-split, CaptiveAire, ductwork, Greenheck/Titus &amp; Fantech/Airius air distribution, prelim TAB. Reviewer: Make Corrections Noted 9/14 - provide missing EF-1 &amp; air terminal info (addressed in Rev 1). Req'd return = 14-day default; Procore had no due date.</t>
  </si>
  <si>
    <t>Product Data</t>
  </si>
  <si>
    <t>Platinum Air Systems</t>
  </si>
  <si>
    <t>Approved as Noted</t>
  </si>
  <si>
    <t>SUB-001_R1_Original_Procore_Export_2026-10-01.pdf; Submittal-001_Transmittal_Packaged.pdf (package INCLUDED, 659 pp); SUB-001_R0_Reviewed_MakeCorrectionsNoted_2026-09-14.pdf; SUB-001_R1_Reviewed_MakeCorrectionsNoted_2026-09-28.pdf; SUB-001_R1_As-Submitted_PSI-0004_2026-09-22.pdf - folder: documents\submittals\SUB-001 - 230503 HVAC</t>
  </si>
  <si>
    <t>SUB-001-R1</t>
  </si>
  <si>
    <t>HVAC Package Rev 1 (Procore 230503-1.1) - corrections made; EF-1 (SE1-10-440-VG) &amp; Titus air terminals added. Reviewer: Make Corrections Noted 9/28 - OPEN: provide TG-1 per plans and diffuser/register/grille schedule. Procore still Open, ball in court Amy Schoch (Progressive).</t>
  </si>
  <si>
    <t>SUB-002</t>
  </si>
  <si>
    <t>33 4100</t>
  </si>
  <si>
    <t>Coles Construction</t>
  </si>
  <si>
    <t>Pending</t>
  </si>
  <si>
    <t>SUB-003</t>
  </si>
  <si>
    <t>Coles Construction (supplier Core &amp; Main)</t>
  </si>
  <si>
    <t>SUB-004</t>
  </si>
  <si>
    <t>33 3000</t>
  </si>
  <si>
    <t>SUB-005</t>
  </si>
  <si>
    <t>33 1000</t>
  </si>
  <si>
    <t>SUB-006</t>
  </si>
  <si>
    <t>33</t>
  </si>
  <si>
    <t>SUB-007</t>
  </si>
  <si>
    <t>22 (22 1119)</t>
  </si>
  <si>
    <t>Plumbing Package Rev 0 (Procore 22-1.0, Package #2 Plumbing / Fieldwire PSI-0003) - fixtures (DF, L, WC, SK-1/2/3), hydrants, floor drains/sinks, PRV, EWH-1, gas meter. Procore CLOSED. Reviewer (Progressive, bizons 9/25): Make Corrections Noted - OPEN: SK-3 replace Elkay SS8354LR4 with Elkay 14-3C16X20-L-18X per CCD 01 (05/28/2026). Returned 14 days after 9/11 due date.</t>
  </si>
  <si>
    <t>Golden Hands Plumbing (supplier Cowan Supply)</t>
  </si>
  <si>
    <t>SUB-007_R0_Original_Procore_Export_2026-10-01.pdf; SUB-007_R0_Reviewed_MakeCorrectionsNoted_2026-09-25.pdf; SUB-007_R0_As-Submitted_PSI-0003_2026-09-03.pdf; Submittal-007_Transmittal_Packaged.pdf (package INCLUDED, 217 pp) - folder: documents\submittals\SUB-007 - 22 Plumbing</t>
  </si>
  <si>
    <t>SUB-008</t>
  </si>
  <si>
    <t>None (Procore '1 - Default')</t>
  </si>
  <si>
    <t>CCTV Submittal Rev 0 (Procore 1-3.0 / Fieldwire PSI-0007) - off-site traffic signal Gwinnett Co. TS-082, Jimmy Carter Blvd @ Shelby Dr: AXIS Q6086-E PTZ camera, Major Custom Cable CAT6 100ft, DITEK DTK-MRJPOES surge protector, AXIS TQ5001-E mount (Utilicom quote 62085). No spec section assigned. Reviewer: CHA Consulting (Christopher Manes) - no response; confirm whether Gwinnett DOT review also required. Req'd return per Fieldwire response due 9/25.</t>
  </si>
  <si>
    <t>R.J. Haynie &amp; Associates (supplier Utilicom Supply Associates)</t>
  </si>
  <si>
    <t>SUB-008_R0_Original_Procore_Export_2026-10-01.pdf; Submittal-008_Transmittal_Packaged.pdf (package INCLUDED, 18 pp) - folder: documents\submittals\SUB-008 - CCTV Traffic Signal</t>
  </si>
  <si>
    <t>SUB-009</t>
  </si>
  <si>
    <t>Mast Arm Pole Shop Drawings #1-#3 Rev 0 (Procore 1-2.0 / Fieldwire PSI-0006) - off-site traffic signal Gwinnett Co. TS-082, Jimmy Carter Blvd @ Shelby Dr: Valmont GA672263P1 (2 sheets, GA PE sealed 8/31) Poles B (22ft, 65+55ft arms) &amp; C (30ft, 55+55ft arms) + orientation sketch. FLAG: foundation callout (3ft dia x 14.5ft, (8) #10) is an unsigned annotation, not on sealed dwg - verify. Reviewer: CHA Consulting (Christopher Manes) - no response; confirm Gwinnett DOT review. Req'd return per Fieldwire due 9/25.</t>
  </si>
  <si>
    <t>Shop Drawing</t>
  </si>
  <si>
    <t>R.J. Haynie &amp; Associates (Valmont via DOT Lighting / Traffic &amp; Lighting Corp)</t>
  </si>
  <si>
    <t>SUB-009_R0_Original_Procore_Export_2026-10-01.pdf; Submittal-009_Transmittal_Packaged.pdf (package INCLUDED, 6 pp) - folder: documents\submittals\SUB-009 - Mast Arm Poles</t>
  </si>
  <si>
    <t>SUB-010</t>
  </si>
  <si>
    <t>Mast Arm Pole Submittals Rev 0 (Procore 1-1.0 / Fieldwire PSI-0005) - Valmont structural calcs, Order 672263-P1 (94 pp), Poles B (P22 M65/M55) &amp; C (P30 M55/M55), AASHTO 2015, 115 mph - off-site signal Gwinnett Co. TS-082. Related to SUB-009 shop dwgs. FLAG: calcs give foundation reactions only, no foundation design; PE seal is image stamp, not digitally signed. Reviewer: CHA Consulting (Christopher Manes) - no response. Req'd return per Fieldwire due 9/25.</t>
  </si>
  <si>
    <t>R.J. Haynie &amp; Associates (Valmont Industries)</t>
  </si>
  <si>
    <t>SUB-010_R0_Original_Procore_Export_2026-10-01.pdf; Submittal-010_Transmittal_Packaged.pdf (package INCLUDED, 99 pp) - folder: documents\submittals\SUB-010 - Mast Arm Pole Calcs</t>
  </si>
  <si>
    <t>PCO-001</t>
  </si>
  <si>
    <t>Owner Request</t>
  </si>
  <si>
    <t>Earthwork/Site Utilities, Roofing, Low Voltage, Metal Panels, Plumbing, Rooftop Screens, Doors/Frames/Hardware</t>
  </si>
  <si>
    <t>OCO-01</t>
  </si>
  <si>
    <t>Base bid material/fuel price escalation true-up (Q1 2026 bid to July 2026 award); 5% OH&amp;P</t>
  </si>
  <si>
    <t>CO #01 - OCO Package - Pricing Escalation Rebalance.pdf (incl. PSI PCO-001 cost breakdown); 22_GC_CO_Template - CO01 rev1.xlsx; OCO #01 - Email Backup (7/29-8/3/2026)</t>
  </si>
  <si>
    <t>SCO-LOG-001</t>
  </si>
  <si>
    <t>CO-02 Asbestos abatement (Georgia Environmental): Main Event Hall ACM floor mastic/carpet glue/carpet + ACM roofing mastic at 8 roof vents</t>
  </si>
  <si>
    <t>PCO-002 / OCO-02</t>
  </si>
  <si>
    <t>PCO-002</t>
  </si>
  <si>
    <t>Allowance #01 - building demolition + ACM abatement; $224,903.34 drawn from $225,000 Demolition Allowance ($96.66 remaining); net $0 to Contract Sum; 9.8% GC OH&amp;P</t>
  </si>
  <si>
    <t>OCO-02</t>
  </si>
  <si>
    <t>Approved</t>
  </si>
  <si>
    <t>Luis Marcelino, General Manager</t>
  </si>
  <si>
    <t>Lidl #1517 - Change Order #2 - Asbestos Abatement.pdf; SCO - Coles Construction CO-02.xlsx</t>
  </si>
  <si>
    <t>Valid change: Subcontract No. 7 (8/4/2026) Exhibit A covers selective/building demolition but no asbestos/ACM abatement, and PSI's bid (exclusion h) excludes asbestos abatement. ACM black floor mastic and roof penetration cement are confirmed in Owner's NOVA pre-demolition ACM survey (3/18/2021). Sub O&amp;P 10% = prime contract 4.2 sub cap. Optional $5,500 debris line excluded (debris to be cleared before mobilization). Additional unsampled roof/mirror glue ACM to come as a separate SCO. Approved contingent on Lidl executing CO #02.</t>
  </si>
  <si>
    <t>CO #02 - OCO Package - Building Demolition &amp; Abatement.pdf; Lidl 1517 Demolition Scope.pdf (Cole's demo proposal $148,400); SCO - Coles Construction CO-02.xlsx; Lidl #1517 - Change Order #2 - Asbestos Abatement.pdf (Cole's CO-02 / SCO-LOG-001); 22_GC_CO_Template - CO02.xlsx</t>
  </si>
  <si>
    <t>Demolition (Building &amp; Site), Asbestos Abatement</t>
  </si>
  <si>
    <t>E101</t>
  </si>
  <si>
    <t>Ground Floor - Electrical Power Plan</t>
  </si>
  <si>
    <t>Electrical</t>
  </si>
  <si>
    <t>2025-12-18 — Issued for Bid (Bid Set, Permit Cycle 2)</t>
  </si>
  <si>
    <t>2026-01-14 — Permit Cycle 3 (not in Bid Set; no narrative)</t>
  </si>
  <si>
    <t>2026-05-28 — CCD 01: undershelf lighting power, refrig/freezer layout, produce power poles, ADA scooter power relocated</t>
  </si>
  <si>
    <t>2026-07-30 — CCD 02: digital sign power, 2 receptacles on LC1-38 (Vestibule), keynote 22</t>
  </si>
  <si>
    <t>Current</t>
  </si>
  <si>
    <t>E300</t>
  </si>
  <si>
    <t>Enlarged Electrical Drawings (Bakery / Technical)</t>
  </si>
  <si>
    <t>2026-07-30 — CCD 02: oven keynote revised to 2x NEMA 15-60R (lower) + 2x 15-50R (upper)</t>
  </si>
  <si>
    <t>E301</t>
  </si>
  <si>
    <t>Enlarged Electrical Drawings (Checkout / Cooler-Freezer)</t>
  </si>
  <si>
    <t>2026-05-28 — CCD 01: freezer layout &amp; connections, cooler layout added, checkout power updated</t>
  </si>
  <si>
    <t>2026-07-30 — CCD 02: digital sign power, 2 receptacles on LC1-40 (checkout storefront), keynote 19</t>
  </si>
  <si>
    <t>E501</t>
  </si>
  <si>
    <t>Electrical Panel Schedules</t>
  </si>
  <si>
    <t>2026-05-28 — CCD 01: step-down transformer breakers; bakery oven breakers 20A to 60A/3P</t>
  </si>
  <si>
    <t>2026-07-30 — CCD 02: upper ovens 50A/3P (BK1-13, 25), lower 60A/3P (BK1-19, 31); BK1 57.8 kVA</t>
  </si>
  <si>
    <t>E502</t>
  </si>
  <si>
    <t>2026-05-28 — CCD 01: LA2 panel schedule updated</t>
  </si>
  <si>
    <t>2026-07-30 — CCD 02: LC1-38 / LC1-40 spares become Digital Signage, 720 VA each</t>
  </si>
  <si>
    <t>T101</t>
  </si>
  <si>
    <t>Ground Floor - Technology Plan</t>
  </si>
  <si>
    <t>Technology</t>
  </si>
  <si>
    <t>2026-05-28 — CCD 01: checkout data locations updated; hand hole shifted</t>
  </si>
  <si>
    <t>2026-07-30 — CCD 02: 3 data outlets for digital signs, keynote 30 (vestibule outlet not clouded)</t>
  </si>
  <si>
    <t>G001</t>
  </si>
  <si>
    <t>Cover Sheet</t>
  </si>
  <si>
    <t>General</t>
  </si>
  <si>
    <t>2025-12-17 — Issued for Bid (Bid Set, Permit Cycle 2)</t>
  </si>
  <si>
    <t>2026-01-14 — Permit Cycle 3 (not in Bid Set; no narrative): special inspections note added; cover rendering shows straight vestibule storefront</t>
  </si>
  <si>
    <t>Lidl 1517 - G-DWGs_Bid Set.pdf; G-DWGs_CCD1.pdf; CCD1_Comparison_QTO.pdf</t>
  </si>
  <si>
    <t>G101</t>
  </si>
  <si>
    <t>General Notes</t>
  </si>
  <si>
    <t>2026-01-14 — Permit Cycle 3 (not in Bid Set; no narrative): special inspections note added</t>
  </si>
  <si>
    <t>G102</t>
  </si>
  <si>
    <t>Architectural Site Plan</t>
  </si>
  <si>
    <t>Lidl 1517 - G-DWGs_Bid Set.pdf; G-DWGs_CCD1.pdf</t>
  </si>
  <si>
    <t>G103</t>
  </si>
  <si>
    <t>Architectural Site Details</t>
  </si>
  <si>
    <t>2026-05-28 — Reissued in CCD 01 set, no revision entry: vestibule storefront mullion moved (not clouded)</t>
  </si>
  <si>
    <t>G104</t>
  </si>
  <si>
    <t>Life Safety Plan</t>
  </si>
  <si>
    <t>2026-05-28 — CCD 01: egress paths redrawn for new fixture plan and bakery shift; vestibule 560 to 417 SF, Sales 14,961 to 15,095 SF</t>
  </si>
  <si>
    <t>G105</t>
  </si>
  <si>
    <t>Typical Accessibility Standards</t>
  </si>
  <si>
    <t>2025-11-07 — Issued for Bid (Bid Set, Permit Cycle 1)</t>
  </si>
  <si>
    <t>G106</t>
  </si>
  <si>
    <t>Wall and Partition Types</t>
  </si>
  <si>
    <t>G107</t>
  </si>
  <si>
    <t>Rated Assemblies</t>
  </si>
  <si>
    <t>G108</t>
  </si>
  <si>
    <t>Comcheck</t>
  </si>
  <si>
    <t>G109</t>
  </si>
  <si>
    <t>National Account List and Responsibility Matrix</t>
  </si>
  <si>
    <t>A101</t>
  </si>
  <si>
    <t>Floor Plan</t>
  </si>
  <si>
    <t>Architectural</t>
  </si>
  <si>
    <t>2026-05-28 — CCD 01: bakery west stub 2'-2 1/2" W, north wall +2.7 LF; vestibule storefront moved 7'-3" S to grid B (not clouded)</t>
  </si>
  <si>
    <t>Lidl 1517 - A-DWGs_Bid Set.pdf; A-DWGs_CCD1.pdf; CCD1_Comparison_QTO.pdf</t>
  </si>
  <si>
    <t>A102</t>
  </si>
  <si>
    <t>Reflected Ceiling Plan</t>
  </si>
  <si>
    <t>2026-05-28 — CCD 01: bakery soffit moved 2'-2 3/8" W; sales/vestibule lighting re-laid; bakery return grilles 2 to 1</t>
  </si>
  <si>
    <t>A103</t>
  </si>
  <si>
    <t>Roof Plan</t>
  </si>
  <si>
    <t>Lidl 1517 - A-DWGs_Bid Set.pdf; A-DWGs_CCD1.pdf</t>
  </si>
  <si>
    <t>A104</t>
  </si>
  <si>
    <t>Building Outline Plan</t>
  </si>
  <si>
    <t>A105</t>
  </si>
  <si>
    <t>Finish and RAM Protection Plan</t>
  </si>
  <si>
    <t>2026-05-28 — CCD 01: Sales/Vestibule paint P-1 to P-8 (P-8 undefined); vestibule storefront moved (not clouded)</t>
  </si>
  <si>
    <t>A200</t>
  </si>
  <si>
    <t>Exterior Elevations</t>
  </si>
  <si>
    <t>2026-05-28 — CCD 01: FDC shown on elevation B2</t>
  </si>
  <si>
    <t>A300</t>
  </si>
  <si>
    <t>Building Sections</t>
  </si>
  <si>
    <t>2026-05-28 — Reissued in CCD 01 set, no revision entry: bakery case/soffit shift and dock guardrail shown in sections (not clouded)</t>
  </si>
  <si>
    <t>A301</t>
  </si>
  <si>
    <t>2026-05-28 — Reissued in CCD 01 set, no revision entry: loading dock guardrail added in section B2 (not clouded)</t>
  </si>
  <si>
    <t>A302</t>
  </si>
  <si>
    <t>Wall Sections</t>
  </si>
  <si>
    <t>2026-05-28 — Reissued in CCD 01 set, no revision entry: vestibule relocation shown in section E5 (not clouded)</t>
  </si>
  <si>
    <t>A303</t>
  </si>
  <si>
    <t>A304</t>
  </si>
  <si>
    <t>A305</t>
  </si>
  <si>
    <t>A306</t>
  </si>
  <si>
    <t>A400</t>
  </si>
  <si>
    <t>Enlarged Plans &amp; Interior Elevations</t>
  </si>
  <si>
    <t>2026-05-28 — CCD 01: bakery dims revised, SK-3 sink revised, FDC added on E7</t>
  </si>
  <si>
    <t>A401</t>
  </si>
  <si>
    <t>2026-01-14 — Permit Cycle 3 (not in Bid Set; no narrative): vestibule redesigned: straight storefront on grid B with 2 automatic sliders</t>
  </si>
  <si>
    <t>A402</t>
  </si>
  <si>
    <t>Interior Elevations</t>
  </si>
  <si>
    <t>A403</t>
  </si>
  <si>
    <t>2026-05-28 — CCD 01: paint P-1 to P-8 in B7, C7, E5, E4, E2; bakery sink and SS panel revised in A3</t>
  </si>
  <si>
    <t>A404</t>
  </si>
  <si>
    <t>2026-05-28 — CCD 01: paint P-1 to P-8 in B7, C7, D7, E7; D7 receptacles to surface raceway; E7 20'-0" to 27'-3"</t>
  </si>
  <si>
    <t>A405</t>
  </si>
  <si>
    <t>Interior Elevations (30% Owner Review)</t>
  </si>
  <si>
    <t>2025-09-08 — Included in Bid Set (title block: 30% Owner Review)</t>
  </si>
  <si>
    <t>2026-05-28 — Not reissued in CCD 01 set; stray 30% Owner Review sheet, not for construction</t>
  </si>
  <si>
    <t>Superseded</t>
  </si>
  <si>
    <t>Lidl 1517 - A-DWGs_Bid Set.pdf; CCD1_Comparison_QTO.pdf</t>
  </si>
  <si>
    <t>A500</t>
  </si>
  <si>
    <t>Interior Details</t>
  </si>
  <si>
    <t>A501</t>
  </si>
  <si>
    <t>A502</t>
  </si>
  <si>
    <t>Casework Details</t>
  </si>
  <si>
    <t>A600</t>
  </si>
  <si>
    <t>Vertical Circulation</t>
  </si>
  <si>
    <t>A601</t>
  </si>
  <si>
    <t>Plan Details</t>
  </si>
  <si>
    <t>A602</t>
  </si>
  <si>
    <t>A603</t>
  </si>
  <si>
    <t>A604</t>
  </si>
  <si>
    <t>A605</t>
  </si>
  <si>
    <t>Foundation Details</t>
  </si>
  <si>
    <t>A606</t>
  </si>
  <si>
    <t>Foundation and Sill Details</t>
  </si>
  <si>
    <t>A607</t>
  </si>
  <si>
    <t>Roof Section Details</t>
  </si>
  <si>
    <t>A608</t>
  </si>
  <si>
    <t>A609</t>
  </si>
  <si>
    <t>Coping Details</t>
  </si>
  <si>
    <t>A610</t>
  </si>
  <si>
    <t>Roof Penetrations</t>
  </si>
  <si>
    <t>A611</t>
  </si>
  <si>
    <t>Exterior Details</t>
  </si>
  <si>
    <t>A700</t>
  </si>
  <si>
    <t>Window Elevations &amp; Details</t>
  </si>
  <si>
    <t>2026-01-14 — Permit Cycle 3 (not in Bid Set; no narrative): Window 'C' deleted; Window 'A' bay C-B re-mullioned</t>
  </si>
  <si>
    <t>A701</t>
  </si>
  <si>
    <t>Storefront Details</t>
  </si>
  <si>
    <t>2026-05-28 — Reissued in CCD 01 set, no revision entry: vestibule storefront elevation updated (not clouded)</t>
  </si>
  <si>
    <t>A702</t>
  </si>
  <si>
    <t>Door Schedule and Elevations</t>
  </si>
  <si>
    <t>A703</t>
  </si>
  <si>
    <t>Door Details</t>
  </si>
  <si>
    <t>A801</t>
  </si>
  <si>
    <t>Fixture Plan</t>
  </si>
  <si>
    <t>2026-05-28 — CCD 01: supply-chain fixture plan replaced (4 checklanes, new cooler line, 10 RM meat case)</t>
  </si>
  <si>
    <t>A802</t>
  </si>
  <si>
    <t>Power Pole and Floor Drain Plan</t>
  </si>
  <si>
    <t>2026-05-28 — CCD 01: power poles 8 to 21 per new fixture plan</t>
  </si>
  <si>
    <t>A803</t>
  </si>
  <si>
    <t>Power Pole Details</t>
  </si>
  <si>
    <t>S001</t>
  </si>
  <si>
    <t>Structural</t>
  </si>
  <si>
    <t>Lidl 1517 - S-DWGs_Bid Set.pdf; S-DWGs_CCD1.pdf</t>
  </si>
  <si>
    <t>S002</t>
  </si>
  <si>
    <t>Isometrics</t>
  </si>
  <si>
    <t>S101</t>
  </si>
  <si>
    <t>Ground Floor and Foundation Plan</t>
  </si>
  <si>
    <t>2026-01-14 — Permit Cycle 3 (not in Bid Set; no narrative): vestibule HSS posts 4 to 2, 2 footings deleted, grid 2.3 deleted</t>
  </si>
  <si>
    <t>2026-05-28 — CCD 01: building drain sleeve at dock wall</t>
  </si>
  <si>
    <t>Lidl 1517 - S-DWGs_Bid Set.pdf; S-DWGs_CCD1.pdf; CCD1_Comparison_QTO.pdf</t>
  </si>
  <si>
    <t>S102</t>
  </si>
  <si>
    <t>Roof Framing Plan</t>
  </si>
  <si>
    <t>2026-01-14 — Permit Cycle 3 (not in Bid Set; no narrative): vestibule top beam relocated</t>
  </si>
  <si>
    <t>2026-05-28 — CCD 01: bakery hanging CFMS wall relocated (39 to 34 LF), now off joist girder</t>
  </si>
  <si>
    <t>S200</t>
  </si>
  <si>
    <t>Structural Elevations</t>
  </si>
  <si>
    <t>S300</t>
  </si>
  <si>
    <t>Foundation and Concrete Details</t>
  </si>
  <si>
    <t>S301</t>
  </si>
  <si>
    <t>S400</t>
  </si>
  <si>
    <t>Masonry Details</t>
  </si>
  <si>
    <t>S500</t>
  </si>
  <si>
    <t>Steel Details</t>
  </si>
  <si>
    <t>S501</t>
  </si>
  <si>
    <t>S502</t>
  </si>
  <si>
    <t>S503</t>
  </si>
  <si>
    <t>M000</t>
  </si>
  <si>
    <t>Symbol List and General Notes - Mechanical</t>
  </si>
  <si>
    <t>Mechanical</t>
  </si>
  <si>
    <t>Lidl 1517 - M-DWGs_Bid Set.pdf; M-DWGs_CCD1.pdf</t>
  </si>
  <si>
    <t>M101</t>
  </si>
  <si>
    <t>Mechanical Plan</t>
  </si>
  <si>
    <t>2026-05-28 — CCD 01: EF-1, TG-1 and thermostat added at Vestibule 100</t>
  </si>
  <si>
    <t>Lidl 1517 - M-DWGs_Bid Set.pdf; M-DWGs_CCD1.pdf; CCD1_Comparison_QTO.pdf</t>
  </si>
  <si>
    <t>M102</t>
  </si>
  <si>
    <t>Enlarged Mechanical Plan</t>
  </si>
  <si>
    <t>2026-05-28 — CCD 01: KEF-1 moved ~10" W; Bakery/Breakroom CRG-3 4 to 2</t>
  </si>
  <si>
    <t>M103</t>
  </si>
  <si>
    <t>Roof Mechanical Plan</t>
  </si>
  <si>
    <t>2026-05-28 — CCD 01: KEF-1 and roof curb moved ~10" W</t>
  </si>
  <si>
    <t>M300</t>
  </si>
  <si>
    <t>Mechanical Section Views</t>
  </si>
  <si>
    <t>2025-11-07 — Included in Bid Set</t>
  </si>
  <si>
    <t>2026-05-28 — Not reissued in CCD 01 set; not on M000 sheet index</t>
  </si>
  <si>
    <t>Lidl 1517 - M-DWGs_Bid Set.pdf; CCD1_Comparison_QTO.pdf</t>
  </si>
  <si>
    <t>M500</t>
  </si>
  <si>
    <t>Mechanical Schedules</t>
  </si>
  <si>
    <t>2026-05-28 — CCD 01: EF-1 added; RTU-1 to RTU-4 performance revised (RTU-1 MOP 50 to 60A); CRG-3 revised, TG-1 added</t>
  </si>
  <si>
    <t>M600</t>
  </si>
  <si>
    <t>Mechanical Details</t>
  </si>
  <si>
    <t>M601</t>
  </si>
  <si>
    <t>M602</t>
  </si>
  <si>
    <t>Mechanical - Bakery Hood Details</t>
  </si>
  <si>
    <t>M901</t>
  </si>
  <si>
    <t>Mechanical Comcheck</t>
  </si>
  <si>
    <t>M902</t>
  </si>
  <si>
    <t>P000</t>
  </si>
  <si>
    <t>General Plumbing Information</t>
  </si>
  <si>
    <t>Plumbing</t>
  </si>
  <si>
    <t>Lidl 1517 - P-DWGs_Bid Set.pdf; P-DWGs_CCD1.pdf</t>
  </si>
  <si>
    <t>P100</t>
  </si>
  <si>
    <t>Underground - Plumbing Plan</t>
  </si>
  <si>
    <t>2026-05-28 — CCD 01: GI moved ~8.8' W; 4" GW -8.6 LF, -1 FCO; sanitary exit moved ~9' W</t>
  </si>
  <si>
    <t>Lidl 1517 - P-DWGs_Bid Set.pdf; P-DWGs_CCD1.pdf; CCD1_Comparison_QTO.pdf</t>
  </si>
  <si>
    <t>P101</t>
  </si>
  <si>
    <t>Plumbing Plan</t>
  </si>
  <si>
    <t>P102</t>
  </si>
  <si>
    <t>Enlarged Plumbing Plan</t>
  </si>
  <si>
    <t>2026-05-28 — CCD 01: GI/sanitary re-route; GI vent moved to IT Room 112</t>
  </si>
  <si>
    <t>P500</t>
  </si>
  <si>
    <t>Plumbing Schedules</t>
  </si>
  <si>
    <t>2026-05-28 — CCD 01: SK-3 single faucet, new sink model; EWH-1 (50 gal, 6 kW, 480V) added to schedule</t>
  </si>
  <si>
    <t>P600</t>
  </si>
  <si>
    <t>Plumbing Details</t>
  </si>
  <si>
    <t>FP000</t>
  </si>
  <si>
    <t>General Fire Protection Information</t>
  </si>
  <si>
    <t>Fire Protection</t>
  </si>
  <si>
    <t>Lidl 1517 - FP-DWGs_Bid Set.pdf; FP-DWGs_CCD1.pdf</t>
  </si>
  <si>
    <t>FP101</t>
  </si>
  <si>
    <t>Fire Protection Plan</t>
  </si>
  <si>
    <t>2026-05-28 — Reissued in CCD 01 set, no revision entry: FDC added; Sales area 14,961 to 15,095 SF (not clouded)</t>
  </si>
  <si>
    <t>Lidl 1517 - FP-DWGs_Bid Set.pdf; FP-DWGs_CCD1.pdf; CCD1_Comparison_QTO.pdf</t>
  </si>
  <si>
    <t>FP600</t>
  </si>
  <si>
    <t>Fire Protection Details</t>
  </si>
  <si>
    <t>E000</t>
  </si>
  <si>
    <t>Symbols List and General Notes - Electrical</t>
  </si>
  <si>
    <t>Lidl 1517 - E-DWGs_Bid Set.pdf; E-DWGs_CCD1.pdf</t>
  </si>
  <si>
    <t>E001</t>
  </si>
  <si>
    <t>Electrical Site Plan</t>
  </si>
  <si>
    <t>2025-12-18 — Permit Cycle 2 (not in Bid Set; no narrative)</t>
  </si>
  <si>
    <t>2026-01-14 — Permit Cycle 3 (not in Bid Set; no narrative): sign circuits 2-pole to 1-pole</t>
  </si>
  <si>
    <t>Lidl 1517 - E-DWGs_Bid Set.pdf; E-DWGs_CCD1.pdf; CCD1_Comparison_QTO.pdf</t>
  </si>
  <si>
    <t>Lidl 1517 - E-DWGs_Bid Set.pdf; E-DWGs_CCD1.pdf; CCD1_Comparison_QTO.pdf; E-DWGs_CCD2.pdf; CCD2_Comparison_QTO.pdf</t>
  </si>
  <si>
    <t>E102</t>
  </si>
  <si>
    <t>Ground Floor - Cable Wireway Plan</t>
  </si>
  <si>
    <t>2025-12-18 — Permit Cycle 2 (not in Bid Set; no narrative): background updated for fixture plan; cable tray unchanged</t>
  </si>
  <si>
    <t>E103</t>
  </si>
  <si>
    <t>Roof - Electrical Plan</t>
  </si>
  <si>
    <t>E200</t>
  </si>
  <si>
    <t>Comcheck - Electrical</t>
  </si>
  <si>
    <t>2026-05-28 — CCD 01: COMcheck interior lighting 14,055 W to 15,191 W</t>
  </si>
  <si>
    <t>E201</t>
  </si>
  <si>
    <t>Ground Floor - Lighting Plan</t>
  </si>
  <si>
    <t>2026-05-28 — CCD 01: sales lighting re-layout (DF2-6 54 to 86, DF2-8 115 to 84, DF2-4 24 to 8, SK2 38 to 65)</t>
  </si>
  <si>
    <t>E202</t>
  </si>
  <si>
    <t>Lighting Controls and Schedules</t>
  </si>
  <si>
    <t>2026-05-28 — Reissued in CCD 01 set, no revision entry: luminaire schedule wattages deleted (not clouded)</t>
  </si>
  <si>
    <t>E203</t>
  </si>
  <si>
    <t>Electrical - Lighting Contactor Detail</t>
  </si>
  <si>
    <t>2026-05-28 — CCD 01: lighting contactor circuits reassigned (no poles added)</t>
  </si>
  <si>
    <t>2026-05-28 — Reissued in CCD 01 set, no revision entry: bakery background shift; BK1-9 receptacle symbol missing (not clouded)</t>
  </si>
  <si>
    <t>E400</t>
  </si>
  <si>
    <t>Electrical Riser Diagrams</t>
  </si>
  <si>
    <t>2026-05-28 — CCD 01: RTU-1 feeder 50A to 60A, 4#4 + #10G in 1-1/4" C (not clouded)</t>
  </si>
  <si>
    <t>E401</t>
  </si>
  <si>
    <t>Electrical - Metering Detail</t>
  </si>
  <si>
    <t>E500</t>
  </si>
  <si>
    <t>Electrical Schedules - Powered Equipment</t>
  </si>
  <si>
    <t>E600</t>
  </si>
  <si>
    <t>Electrical Details</t>
  </si>
  <si>
    <t>E601</t>
  </si>
  <si>
    <t>E602</t>
  </si>
  <si>
    <t>Electrical - Pathway Details</t>
  </si>
  <si>
    <t>E603</t>
  </si>
  <si>
    <t>E604</t>
  </si>
  <si>
    <t>E605</t>
  </si>
  <si>
    <t>E606</t>
  </si>
  <si>
    <t>Electrical - Bakery Hood Details</t>
  </si>
  <si>
    <t>E607</t>
  </si>
  <si>
    <t>Door Details - Electrical</t>
  </si>
  <si>
    <t>FA101</t>
  </si>
  <si>
    <t>Ground Floor - Fire Alarm Plan</t>
  </si>
  <si>
    <t>Fire Alarm</t>
  </si>
  <si>
    <t>2025-12-18 — Permit Cycle 2 (not in Bid Set; no narrative): background updated; no device changes</t>
  </si>
  <si>
    <t>Lidl 1517 - FA-DWGs_Bid Set.pdf; FA-DWGs_CCD1.pdf; CCD1_Comparison_QTO.pdf</t>
  </si>
  <si>
    <t>FA102</t>
  </si>
  <si>
    <t>Fire Alarm Graphic Panel</t>
  </si>
  <si>
    <t>2025-12-18 — Permit Cycle 2 (not in Bid Set; no narrative): graphic annunciator background updated; no device changes</t>
  </si>
  <si>
    <t>T000</t>
  </si>
  <si>
    <t>Symbols List and General Notes - Technology</t>
  </si>
  <si>
    <t>Lidl 1517 - T-DWGs_Bid Set.pdf; T-DWGs_CCD1.pdf; CCD1_Comparison_QTO.pdf</t>
  </si>
  <si>
    <t>Lidl 1517 - T-DWGs_Bid Set.pdf; T-DWGs_CCD1.pdf; CCD1_Comparison_QTO.pdf; T101-CCD2.pdf; CCD2_Comparison_QTO.pdf</t>
  </si>
  <si>
    <t>T201</t>
  </si>
  <si>
    <t>Ground Floor - Security Plan</t>
  </si>
  <si>
    <t>2026-05-28 — CCD 01: checkout cameras/PVM moved; CA01-08 to panoramic CA03-34; +1 door contact; new keynotes 1-8 (not clouded)</t>
  </si>
  <si>
    <t>T300</t>
  </si>
  <si>
    <t>Enlarged Technology Plans</t>
  </si>
  <si>
    <t>T600</t>
  </si>
  <si>
    <t>Technology Details</t>
  </si>
  <si>
    <t>2025-12-18 — Permit Cycle 2 (not in Bid Set; no narrative): camera schedule CA09/CA10/PVM furnish/install cells blanked</t>
  </si>
  <si>
    <t>T601</t>
  </si>
  <si>
    <t>Hussmann R4.1 EMS RS485 Wiring</t>
  </si>
  <si>
    <t>2026-05-28 — Not reissued in CCD 01 set; duplicates R set (still on G101 index)</t>
  </si>
  <si>
    <t>Lidl 1517 - T-DWGs_Bid Set.pdf; CCD1_Comparison_QTO.pdf</t>
  </si>
  <si>
    <t>T602</t>
  </si>
  <si>
    <t>Hussmann R4.2 EMS Ethernet Wiring</t>
  </si>
  <si>
    <t>BMS-000</t>
  </si>
  <si>
    <t>BMS Symbols, Notes &amp; Abbreviations</t>
  </si>
  <si>
    <t>BMS</t>
  </si>
  <si>
    <t>Lidl 1517 - BMS-DWGs_Bid Set.pdf; BMS-DWGs_CCD1.pdf</t>
  </si>
  <si>
    <t>BMS-101</t>
  </si>
  <si>
    <t>BMS Floor Plan</t>
  </si>
  <si>
    <t>2026-01-14 — Permit Cycle 3 (not in Bid Set; no narrative): gas meter Modbus relocated</t>
  </si>
  <si>
    <t>2026-05-28 — CCD 01: RTU-2 temp/RH sensors moved to new power pole</t>
  </si>
  <si>
    <t>Lidl 1517 - BMS-DWGs_Bid Set.pdf; BMS-DWGs_CCD1.pdf; CCD1_Comparison_QTO.pdf</t>
  </si>
  <si>
    <t>BMS-102</t>
  </si>
  <si>
    <t>BMS Roof Plan</t>
  </si>
  <si>
    <t>BMS-401</t>
  </si>
  <si>
    <t>BMS Network Layout</t>
  </si>
  <si>
    <t>BMS-402</t>
  </si>
  <si>
    <t>Rtu-1 Control Details</t>
  </si>
  <si>
    <t>BMS-403</t>
  </si>
  <si>
    <t>Rtu-2,3,4 Control Details</t>
  </si>
  <si>
    <t>BMS-404</t>
  </si>
  <si>
    <t>Exhaust Fans &amp; AC Unit Controls</t>
  </si>
  <si>
    <t>2026-05-28 — Reissued in CCD 01 set, no revision entry: DSF list 1..8 corrected to 1..10 (not clouded)</t>
  </si>
  <si>
    <t>BMS-405</t>
  </si>
  <si>
    <t>Input/Out Point Controls</t>
  </si>
  <si>
    <t>BMS-406</t>
  </si>
  <si>
    <t>Control Details</t>
  </si>
  <si>
    <t>Rejected</t>
  </si>
  <si>
    <t>Stormwater Package Rev 0 (Procore 33 4100-2.0 / Fieldwire PSI-0002) - Hydro International First Defense separator (ST8), Up-Flo water quality filter (ST5), Southeast Culvert 84in CMP underground detention. CHA (Chris Manes) REJECTED 10/1/2026: items to be updated per revised site plan pending County review. ST8 no longer required; ST5 and CMP detention on hold pending revised civil plans. PSI response to Coles issued 10/5/2026 - resubmit as Rev 1 after revised civil plans issue.</t>
  </si>
  <si>
    <t>SUB-002_R0_Original_Procore_Export_2026-10-01.pdf; Submittal-002_Transmittal_Packaged.pdf; SUB-002_R0_CHA_Reviewed_Export_REJECTED_2026-10-05.pdf; SUB-002_R0_CHA_Reviewed_REJECTED_2026-10-01.pdf; SUB-002_R0_Response_to_Coles_REJECTED_2026-10-05.pdf (response + CHA review, 62 pp) - folder: documents\submittals\SUB-002 - 334100 Storm Drainage</t>
  </si>
  <si>
    <t>Revise &amp; Resubmit</t>
  </si>
  <si>
    <t>HDPE Pipe Rev 0 (Procore 33 4100-1.0, Package #1 Site Utilities / Fieldwire PSI-0001) - full Core &amp; Main site utility package. CHA (Chris Manes) REVISE &amp; RESUBMIT 10/1/2026 (one review for all Package #1 items): (1) sanitary sewer mains to be DIP (PVC Sani-21 submitted); (2) 3in water main to meet AWWA C900 (D2241 submitted); (3) irrigation tap/meter/BFP/main is 1in per approved plans - 2in submitted. No comments on storm HDPE or fire main. PSI response to Coles issued 10/5/2026 - resubmit full package as Rev 1.</t>
  </si>
  <si>
    <t>SUB-003_R0_Original_Procore_Export_2026-10-01.pdf; Submittal-003_Transmittal_Packaged.pdf; SUB-003_R0_CHA_Reviewed_Export_R&amp;R_2026-10-05.pdf; SUB-003_R0_CHA_Reviewed_R&amp;R_2026-10-01.pdf; SUB-003_R0_Response_to_Coles_R&amp;R_2026-10-05.pdf (response + CHA review, 92 pp) - folder: documents\submittals\SUB-003 - 334100 Site Utilities</t>
  </si>
  <si>
    <t>Sanitary Sewer Rev 0 (Procore 33 3000-1.0, Package #1 Site Utilities / Fieldwire PSI-0001) - Diamond Sani-21 PVC sewer pipe &amp; fittings, cleanouts, Star Pipe covers, marking tape (pkg Section 2). CHA (Chris Manes) REVISE &amp; RESUBMIT 10/1/2026 (same review as SUB-003): sanitary sewer mains to be DIP. PSI response to Coles issued 10/5/2026 - resubmit with full PSI-0001 package as Rev 1.</t>
  </si>
  <si>
    <t>SUB-004_R0_Original_Procore_Export_2026-10-01.pdf; SUB-004_R0_Sanitary_Section_Only.pdf; Submittal-004_Transmittal_Packaged.pdf; SUB-004_R0_CHA_Reviewed_Export_R&amp;R_2026-10-05.pdf; SUB-004_R0_CHA_Reviewed_Sanitary_Section_R&amp;R_2026-10-01.pdf; SUB-004_R0_Response_to_Coles_R&amp;R_2026-10-05.pdf (response + CHA form + sanitary section, 16 pp) - folder: documents\submittals\SUB-004 - 333000 Sanitary Sewer</t>
  </si>
  <si>
    <t>Domestic Water &amp; Irrigation Rev 0 (Procore 33 1000-1.0, Package #1 Site Utilities / Fieldwire PSI-0001) - PVC pressure pipe &amp; DI fittings, 2in taps, 2in DCV, irrigation, 2in RPZ (pkg Section 3). CHA (Chris Manes) REVISE &amp; RESUBMIT 10/1/2026 (same review as SUB-003): 3in water main to meet AWWA C900 (D2241 submitted); irrigation tap/meter/BFP/main is 1in per approved plans (2in submitted). PSI response to Coles issued 10/5/2026 - resubmit with full PSI-0001 package as Rev 1.</t>
  </si>
  <si>
    <t>SUB-005_R0_Original_Procore_Export_2026-10-01.pdf; SUB-005_R0_Domestic_Water_Section_Only.pdf; Submittal-005_Transmittal_Packaged.pdf; SUB-005_R0_CHA_Reviewed_Export_R&amp;R_2026-10-05.pdf; SUB-005_R0_CHA_Reviewed_Water_Section_R&amp;R_2026-10-01.pdf; SUB-005_R0_Response_to_Coles_R&amp;R_2026-10-05.pdf (response + CHA form + water section, 38 pp) - folder: documents\submittals\SUB-005 - 331000 Domestic Water</t>
  </si>
  <si>
    <t>Fire Main Rev 0 (Procore 33-1.0, Package #1 Site Utilities / Fieldwire PSI-0001) - U.S. Pipe Tyton DI pipe &amp; fittings, tapping sleeve, M&amp;H 129 hydrant, 8in DCDA BFP vault, 8in PIV, 8in gate valve (pkg Section 4). CHA (Chris Manes) REVISE &amp; RESUBMIT 10/1/2026 (same package review as SUB-003, reviewed set now attached in Procore) - NO comments on fire main; R&amp;R because package resubmittal required. PSI response to Coles issued 10/5/2026 - include fire main unchanged in Rev 1.</t>
  </si>
  <si>
    <t>SUB-006_R0_Procore_Cover_Only_2026-10-01.pdf; SUB-006_R0_Fire_Main_Section_REFERENCE_from_PSI-0001.pdf; Submittal-006_Transmittal_Packaged.pdf; SUB-006_R0_CHA_Reviewed_Export_R&amp;R_2026-10-05.pdf; SUB-006_R0_CHA_Reviewed_Fire_Section_R&amp;R_2026-10-01.pdf; SUB-006_R0_Response_to_Coles_R&amp;R_2026-10-05.pdf (response + CHA form + fire section, 42 pp) - folder: documents\submittals\SUB-006 - 33 Fire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</si>
</sst>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8"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26">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166" fontId="4" fillId="0" borderId="0" xfId="0" applyNumberFormat="1" applyFont="1"/>
    <xf numFmtId="49" fontId="0" fillId="0" borderId="0" xfId="0" applyNumberFormat="1"/>
    <xf numFmtId="14" fontId="0" fillId="0" borderId="0" xfId="0" applyNumberFormat="1"/>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26</v>
      </c>
    </row>
    <row r="20" spans="2:3" x14ac:dyDescent="0.25">
      <c r="B20" s="4" t="s">
        <v>27</v>
      </c>
      <c r="C20" s="6"/>
    </row>
    <row r="21" spans="2:3" x14ac:dyDescent="0.25">
      <c r="B21" s="4" t="s">
        <v>28</v>
      </c>
      <c r="C21" s="6">
        <v>46290</v>
      </c>
    </row>
    <row r="22" spans="2:3" x14ac:dyDescent="0.25">
      <c r="B22" s="4" t="s">
        <v>29</v>
      </c>
      <c r="C22" s="6">
        <v>46559</v>
      </c>
    </row>
    <row r="24" spans="2:3" x14ac:dyDescent="0.25">
      <c r="B24" s="4" t="s">
        <v>30</v>
      </c>
      <c r="C24" s="7">
        <v>7958879</v>
      </c>
    </row>
    <row r="25" spans="2:3" x14ac:dyDescent="0.25">
      <c r="B25" s="4" t="s">
        <v>31</v>
      </c>
      <c r="C25" s="8">
        <f>SUMIFS('Change Order Log'!H2:H299,'Change Order Log'!J2:J299,"Approved")</f>
        <v>0</v>
      </c>
    </row>
    <row r="26" spans="2:3" x14ac:dyDescent="0.25">
      <c r="B26" s="4" t="s">
        <v>32</v>
      </c>
      <c r="C26" s="8">
        <f>C24+C25</f>
        <v>7958879</v>
      </c>
    </row>
    <row r="28" spans="2:3" x14ac:dyDescent="0.25">
      <c r="B28" s="4" t="s">
        <v>33</v>
      </c>
      <c r="C28" s="5" t="s">
        <v>34</v>
      </c>
    </row>
    <row r="29" spans="2:3" x14ac:dyDescent="0.25">
      <c r="B29" s="4" t="s">
        <v>35</v>
      </c>
      <c r="C29" s="5" t="s">
        <v>20</v>
      </c>
    </row>
    <row r="30" spans="2:3" x14ac:dyDescent="0.25">
      <c r="B30" s="4" t="s">
        <v>36</v>
      </c>
      <c r="C30" s="9">
        <f ca="1">TODAY()</f>
        <v>46300</v>
      </c>
    </row>
    <row r="32" spans="2:3" x14ac:dyDescent="0.25">
      <c r="B32" s="3" t="s">
        <v>37</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38</v>
      </c>
    </row>
    <row r="4" spans="2:2" x14ac:dyDescent="0.25">
      <c r="B4" s="11"/>
    </row>
    <row r="5" spans="2:2" x14ac:dyDescent="0.25">
      <c r="B5" s="11" t="s">
        <v>39</v>
      </c>
    </row>
    <row r="6" spans="2:2" x14ac:dyDescent="0.25">
      <c r="B6" s="11"/>
    </row>
    <row r="7" spans="2:2" x14ac:dyDescent="0.25">
      <c r="B7" s="11" t="s">
        <v>40</v>
      </c>
    </row>
    <row r="8" spans="2:2" x14ac:dyDescent="0.25">
      <c r="B8" s="11" t="s">
        <v>41</v>
      </c>
    </row>
    <row r="9" spans="2:2" x14ac:dyDescent="0.25">
      <c r="B9" s="11" t="s">
        <v>42</v>
      </c>
    </row>
    <row r="10" spans="2:2" x14ac:dyDescent="0.25">
      <c r="B10" s="11" t="s">
        <v>43</v>
      </c>
    </row>
    <row r="11" spans="2:2" x14ac:dyDescent="0.25">
      <c r="B11" s="11" t="s">
        <v>44</v>
      </c>
    </row>
    <row r="12" spans="2:2" x14ac:dyDescent="0.25">
      <c r="B12" s="11" t="s">
        <v>45</v>
      </c>
    </row>
    <row r="13" spans="2:2" x14ac:dyDescent="0.25">
      <c r="B13" s="11" t="s">
        <v>46</v>
      </c>
    </row>
    <row r="14" spans="2:2" x14ac:dyDescent="0.25">
      <c r="B14" s="11" t="s">
        <v>47</v>
      </c>
    </row>
    <row r="15" spans="2:2" x14ac:dyDescent="0.25">
      <c r="B15" s="11" t="s">
        <v>48</v>
      </c>
    </row>
    <row r="16" spans="2:2" x14ac:dyDescent="0.25">
      <c r="B16" s="11" t="s">
        <v>49</v>
      </c>
    </row>
    <row r="17" spans="2:2" x14ac:dyDescent="0.25">
      <c r="B17" s="11" t="s">
        <v>50</v>
      </c>
    </row>
    <row r="18" spans="2:2" x14ac:dyDescent="0.25">
      <c r="B18" s="11" t="s">
        <v>51</v>
      </c>
    </row>
    <row r="19" spans="2:2" x14ac:dyDescent="0.25">
      <c r="B19" s="11" t="s">
        <v>52</v>
      </c>
    </row>
    <row r="20" spans="2:2" x14ac:dyDescent="0.25">
      <c r="B20" s="11" t="s">
        <v>53</v>
      </c>
    </row>
    <row r="21" spans="2:2" x14ac:dyDescent="0.25">
      <c r="B21" s="11" t="s">
        <v>54</v>
      </c>
    </row>
    <row r="22" spans="2:2" x14ac:dyDescent="0.25">
      <c r="B22" s="11" t="s">
        <v>55</v>
      </c>
    </row>
    <row r="23" spans="2:2" x14ac:dyDescent="0.25">
      <c r="B23" s="11" t="s">
        <v>56</v>
      </c>
    </row>
    <row r="24" spans="2:2" x14ac:dyDescent="0.25">
      <c r="B24" s="11" t="s">
        <v>57</v>
      </c>
    </row>
    <row r="25" spans="2:2" x14ac:dyDescent="0.25">
      <c r="B25" s="11" t="s">
        <v>58</v>
      </c>
    </row>
    <row r="26" spans="2:2" x14ac:dyDescent="0.25">
      <c r="B26" s="11" t="s">
        <v>59</v>
      </c>
    </row>
    <row r="27" spans="2:2" x14ac:dyDescent="0.25">
      <c r="B27" s="11" t="s">
        <v>60</v>
      </c>
    </row>
    <row r="28" spans="2:2" x14ac:dyDescent="0.25">
      <c r="B28" s="11" t="s">
        <v>61</v>
      </c>
    </row>
    <row r="29" spans="2:2" x14ac:dyDescent="0.25">
      <c r="B29" s="11" t="s">
        <v>62</v>
      </c>
    </row>
    <row r="30" spans="2:2" x14ac:dyDescent="0.25">
      <c r="B30" s="11" t="s">
        <v>63</v>
      </c>
    </row>
    <row r="31" spans="2:2" x14ac:dyDescent="0.25">
      <c r="B31" s="11" t="s">
        <v>64</v>
      </c>
    </row>
    <row r="32" spans="2:2" x14ac:dyDescent="0.25">
      <c r="B32" s="11" t="s">
        <v>65</v>
      </c>
    </row>
    <row r="33" spans="2:2" x14ac:dyDescent="0.25">
      <c r="B33" s="11" t="s">
        <v>66</v>
      </c>
    </row>
    <row r="34" spans="2:2" x14ac:dyDescent="0.25">
      <c r="B34" s="11" t="s">
        <v>67</v>
      </c>
    </row>
    <row r="35" spans="2:2" x14ac:dyDescent="0.25">
      <c r="B35" s="11" t="s">
        <v>68</v>
      </c>
    </row>
    <row r="36" spans="2:2" x14ac:dyDescent="0.25">
      <c r="B36" s="11" t="s">
        <v>69</v>
      </c>
    </row>
    <row r="37" spans="2:2" x14ac:dyDescent="0.25">
      <c r="B37" s="11" t="s">
        <v>70</v>
      </c>
    </row>
    <row r="38" spans="2:2" x14ac:dyDescent="0.25">
      <c r="B38" s="11" t="s">
        <v>71</v>
      </c>
    </row>
    <row r="39" spans="2:2" x14ac:dyDescent="0.25">
      <c r="B39" s="11" t="s">
        <v>72</v>
      </c>
    </row>
    <row r="40" spans="2:2" x14ac:dyDescent="0.25">
      <c r="B40" s="11" t="s">
        <v>73</v>
      </c>
    </row>
    <row r="41" spans="2:2" x14ac:dyDescent="0.25">
      <c r="B41" s="11" t="s">
        <v>74</v>
      </c>
    </row>
    <row r="42" spans="2:2" x14ac:dyDescent="0.25">
      <c r="B42" s="11" t="s">
        <v>75</v>
      </c>
    </row>
    <row r="43" spans="2:2" x14ac:dyDescent="0.25">
      <c r="B43" s="11" t="s">
        <v>76</v>
      </c>
    </row>
    <row r="44" spans="2:2" x14ac:dyDescent="0.25">
      <c r="B44" s="11" t="s">
        <v>77</v>
      </c>
    </row>
    <row r="45" spans="2:2" x14ac:dyDescent="0.25">
      <c r="B45" s="11" t="s">
        <v>78</v>
      </c>
    </row>
    <row r="46" spans="2:2" x14ac:dyDescent="0.25">
      <c r="B46" s="11" t="s">
        <v>79</v>
      </c>
    </row>
    <row r="47" spans="2:2" x14ac:dyDescent="0.25">
      <c r="B47" s="11" t="s">
        <v>80</v>
      </c>
    </row>
    <row r="48" spans="2:2" x14ac:dyDescent="0.25">
      <c r="B48" s="11" t="s">
        <v>81</v>
      </c>
    </row>
    <row r="49" spans="2:2" x14ac:dyDescent="0.25">
      <c r="B49" s="11" t="s">
        <v>82</v>
      </c>
    </row>
    <row r="50" spans="2:2" x14ac:dyDescent="0.25">
      <c r="B50" s="11" t="s">
        <v>83</v>
      </c>
    </row>
    <row r="51" spans="2:2" x14ac:dyDescent="0.25">
      <c r="B51" s="11" t="s">
        <v>84</v>
      </c>
    </row>
    <row r="52" spans="2:2" x14ac:dyDescent="0.25">
      <c r="B52" s="11" t="s">
        <v>85</v>
      </c>
    </row>
    <row r="53" spans="2:2" x14ac:dyDescent="0.25">
      <c r="B53" s="11"/>
    </row>
    <row r="54" spans="2:2" x14ac:dyDescent="0.25">
      <c r="B54" s="11" t="s">
        <v>86</v>
      </c>
    </row>
    <row r="55" spans="2:2" x14ac:dyDescent="0.25">
      <c r="B55" s="11" t="s">
        <v>87</v>
      </c>
    </row>
    <row r="56" spans="2:2" x14ac:dyDescent="0.25">
      <c r="B56" s="11" t="s">
        <v>88</v>
      </c>
    </row>
    <row r="57" spans="2:2" x14ac:dyDescent="0.25">
      <c r="B57" s="11" t="s">
        <v>89</v>
      </c>
    </row>
    <row r="58" spans="2:2" x14ac:dyDescent="0.25">
      <c r="B58" s="11" t="s">
        <v>90</v>
      </c>
    </row>
    <row r="59" spans="2:2" x14ac:dyDescent="0.25">
      <c r="B59" s="11" t="s">
        <v>91</v>
      </c>
    </row>
    <row r="60" spans="2:2" x14ac:dyDescent="0.25">
      <c r="B60" s="11" t="s">
        <v>92</v>
      </c>
    </row>
    <row r="61" spans="2:2" x14ac:dyDescent="0.25">
      <c r="B61" s="11" t="s">
        <v>93</v>
      </c>
    </row>
    <row r="62" spans="2:2" x14ac:dyDescent="0.25">
      <c r="B62" s="11"/>
    </row>
    <row r="63" spans="2:2" x14ac:dyDescent="0.25">
      <c r="B63" s="11" t="s">
        <v>94</v>
      </c>
    </row>
    <row r="64" spans="2:2" x14ac:dyDescent="0.25">
      <c r="B64" s="11" t="s">
        <v>95</v>
      </c>
    </row>
    <row r="65" spans="2:2" x14ac:dyDescent="0.25">
      <c r="B65" s="11" t="s">
        <v>96</v>
      </c>
    </row>
    <row r="66" spans="2:2" x14ac:dyDescent="0.25">
      <c r="B66" s="11" t="s">
        <v>97</v>
      </c>
    </row>
    <row r="67" spans="2:2" x14ac:dyDescent="0.25">
      <c r="B67" s="11" t="s">
        <v>98</v>
      </c>
    </row>
    <row r="68" spans="2:2" x14ac:dyDescent="0.25">
      <c r="B68" s="11" t="s">
        <v>99</v>
      </c>
    </row>
    <row r="69" spans="2:2" x14ac:dyDescent="0.25">
      <c r="B69" s="11" t="s">
        <v>100</v>
      </c>
    </row>
    <row r="70" spans="2:2" x14ac:dyDescent="0.25">
      <c r="B70" s="11" t="s">
        <v>101</v>
      </c>
    </row>
    <row r="71" spans="2:2" x14ac:dyDescent="0.25">
      <c r="B71" s="11" t="s">
        <v>102</v>
      </c>
    </row>
    <row r="72" spans="2:2" x14ac:dyDescent="0.25">
      <c r="B72" s="11" t="s">
        <v>103</v>
      </c>
    </row>
    <row r="73" spans="2:2" x14ac:dyDescent="0.25">
      <c r="B73" s="11" t="s">
        <v>104</v>
      </c>
    </row>
    <row r="74" spans="2:2" x14ac:dyDescent="0.25">
      <c r="B74" s="11" t="s">
        <v>105</v>
      </c>
    </row>
    <row r="75" spans="2:2" x14ac:dyDescent="0.25">
      <c r="B75" s="11"/>
    </row>
    <row r="76" spans="2:2" x14ac:dyDescent="0.25">
      <c r="B76" s="11" t="s">
        <v>106</v>
      </c>
    </row>
    <row r="77" spans="2:2" x14ac:dyDescent="0.25">
      <c r="B77" s="11" t="s">
        <v>107</v>
      </c>
    </row>
    <row r="78" spans="2:2" x14ac:dyDescent="0.25">
      <c r="B78" s="11" t="s">
        <v>108</v>
      </c>
    </row>
    <row r="79" spans="2:2" x14ac:dyDescent="0.25">
      <c r="B79" s="11" t="s">
        <v>109</v>
      </c>
    </row>
    <row r="80" spans="2:2" x14ac:dyDescent="0.25">
      <c r="B80" s="11" t="s">
        <v>110</v>
      </c>
    </row>
    <row r="81" spans="2:2" x14ac:dyDescent="0.25">
      <c r="B81" s="11" t="s">
        <v>111</v>
      </c>
    </row>
    <row r="82" spans="2:2" x14ac:dyDescent="0.25">
      <c r="B82" s="11" t="s">
        <v>112</v>
      </c>
    </row>
    <row r="83" spans="2:2" x14ac:dyDescent="0.25">
      <c r="B83" s="11" t="s">
        <v>113</v>
      </c>
    </row>
    <row r="84" spans="2:2" x14ac:dyDescent="0.25">
      <c r="B84" s="11" t="s">
        <v>114</v>
      </c>
    </row>
    <row r="85" spans="2:2" x14ac:dyDescent="0.25">
      <c r="B85" s="11"/>
    </row>
    <row r="86" spans="2:2" x14ac:dyDescent="0.25">
      <c r="B86" s="11" t="s">
        <v>115</v>
      </c>
    </row>
    <row r="87" spans="2:2" x14ac:dyDescent="0.25">
      <c r="B87" s="11" t="s">
        <v>116</v>
      </c>
    </row>
    <row r="88" spans="2:2" x14ac:dyDescent="0.25">
      <c r="B88" s="11" t="s">
        <v>117</v>
      </c>
    </row>
    <row r="89" spans="2:2" x14ac:dyDescent="0.25">
      <c r="B89" s="11" t="s">
        <v>118</v>
      </c>
    </row>
    <row r="90" spans="2:2" x14ac:dyDescent="0.25">
      <c r="B90" s="11" t="s">
        <v>119</v>
      </c>
    </row>
    <row r="91" spans="2:2" x14ac:dyDescent="0.25">
      <c r="B91" s="11" t="s">
        <v>120</v>
      </c>
    </row>
    <row r="92" spans="2:2" x14ac:dyDescent="0.25">
      <c r="B92" s="11" t="s">
        <v>121</v>
      </c>
    </row>
    <row r="93" spans="2:2" x14ac:dyDescent="0.25">
      <c r="B93" s="11" t="s">
        <v>122</v>
      </c>
    </row>
    <row r="94" spans="2:2" x14ac:dyDescent="0.25">
      <c r="B94" s="11" t="s">
        <v>123</v>
      </c>
    </row>
    <row r="95" spans="2:2" x14ac:dyDescent="0.25">
      <c r="B95" s="11" t="s">
        <v>124</v>
      </c>
    </row>
    <row r="96" spans="2:2" x14ac:dyDescent="0.25">
      <c r="B96" s="11" t="s">
        <v>125</v>
      </c>
    </row>
    <row r="97" spans="2:2" x14ac:dyDescent="0.25">
      <c r="B97" s="11" t="s">
        <v>126</v>
      </c>
    </row>
    <row r="98" spans="2:2" x14ac:dyDescent="0.25">
      <c r="B98" s="11" t="s">
        <v>127</v>
      </c>
    </row>
    <row r="99" spans="2:2" x14ac:dyDescent="0.25">
      <c r="B99" s="11" t="s">
        <v>128</v>
      </c>
    </row>
    <row r="100" spans="2:2" x14ac:dyDescent="0.25">
      <c r="B100" s="11" t="s">
        <v>129</v>
      </c>
    </row>
    <row r="101" spans="2:2" x14ac:dyDescent="0.25">
      <c r="B101" s="11" t="s">
        <v>130</v>
      </c>
    </row>
    <row r="102" spans="2:2" x14ac:dyDescent="0.25">
      <c r="B102" s="11" t="s">
        <v>131</v>
      </c>
    </row>
    <row r="103" spans="2:2" x14ac:dyDescent="0.25">
      <c r="B103" s="11" t="s">
        <v>132</v>
      </c>
    </row>
    <row r="104" spans="2:2" x14ac:dyDescent="0.25">
      <c r="B104" s="11" t="s">
        <v>133</v>
      </c>
    </row>
    <row r="105" spans="2:2" x14ac:dyDescent="0.25">
      <c r="B105" s="11" t="s">
        <v>134</v>
      </c>
    </row>
    <row r="106" spans="2:2" x14ac:dyDescent="0.25">
      <c r="B106" s="11" t="s">
        <v>135</v>
      </c>
    </row>
    <row r="107" spans="2:2" x14ac:dyDescent="0.25">
      <c r="B107" s="11" t="s">
        <v>136</v>
      </c>
    </row>
    <row r="108" spans="2:2" x14ac:dyDescent="0.25">
      <c r="B108" s="11" t="s">
        <v>137</v>
      </c>
    </row>
    <row r="109" spans="2:2" x14ac:dyDescent="0.25">
      <c r="B109" s="11" t="s">
        <v>138</v>
      </c>
    </row>
    <row r="110" spans="2:2" x14ac:dyDescent="0.25">
      <c r="B110" s="11" t="s">
        <v>139</v>
      </c>
    </row>
    <row r="111" spans="2:2" x14ac:dyDescent="0.25">
      <c r="B111" s="11" t="s">
        <v>140</v>
      </c>
    </row>
    <row r="112" spans="2:2" x14ac:dyDescent="0.25">
      <c r="B112" s="11" t="s">
        <v>141</v>
      </c>
    </row>
    <row r="113" spans="2:2" x14ac:dyDescent="0.25">
      <c r="B113" s="11" t="s">
        <v>142</v>
      </c>
    </row>
    <row r="114" spans="2:2" x14ac:dyDescent="0.25">
      <c r="B114" s="11" t="s">
        <v>143</v>
      </c>
    </row>
    <row r="115" spans="2:2" x14ac:dyDescent="0.25">
      <c r="B115" s="11" t="s">
        <v>144</v>
      </c>
    </row>
    <row r="116" spans="2:2" x14ac:dyDescent="0.25">
      <c r="B116" s="11" t="s">
        <v>145</v>
      </c>
    </row>
    <row r="117" spans="2:2" x14ac:dyDescent="0.25">
      <c r="B117" s="11" t="s">
        <v>146</v>
      </c>
    </row>
    <row r="118" spans="2:2" x14ac:dyDescent="0.25">
      <c r="B118" s="11" t="s">
        <v>147</v>
      </c>
    </row>
    <row r="119" spans="2:2" x14ac:dyDescent="0.25">
      <c r="B119" s="11" t="s">
        <v>148</v>
      </c>
    </row>
    <row r="120" spans="2:2" x14ac:dyDescent="0.25">
      <c r="B120" s="11" t="s">
        <v>149</v>
      </c>
    </row>
    <row r="121" spans="2:2" x14ac:dyDescent="0.25">
      <c r="B121" s="11" t="s">
        <v>150</v>
      </c>
    </row>
    <row r="122" spans="2:2" x14ac:dyDescent="0.25">
      <c r="B122" s="11" t="s">
        <v>151</v>
      </c>
    </row>
    <row r="123" spans="2:2" x14ac:dyDescent="0.25">
      <c r="B123" s="11" t="s">
        <v>152</v>
      </c>
    </row>
    <row r="124" spans="2:2" x14ac:dyDescent="0.25">
      <c r="B124" s="11" t="s">
        <v>153</v>
      </c>
    </row>
    <row r="125" spans="2:2" x14ac:dyDescent="0.25">
      <c r="B125" s="11" t="s">
        <v>154</v>
      </c>
    </row>
    <row r="126" spans="2:2" x14ac:dyDescent="0.25">
      <c r="B126" s="11" t="s">
        <v>155</v>
      </c>
    </row>
    <row r="127" spans="2:2" x14ac:dyDescent="0.25">
      <c r="B127" s="11" t="s">
        <v>156</v>
      </c>
    </row>
    <row r="128" spans="2:2" x14ac:dyDescent="0.25">
      <c r="B128" s="11"/>
    </row>
    <row r="129" spans="2:2" x14ac:dyDescent="0.25">
      <c r="B129" s="11" t="s">
        <v>157</v>
      </c>
    </row>
    <row r="130" spans="2:2" x14ac:dyDescent="0.25">
      <c r="B130" s="11" t="s">
        <v>158</v>
      </c>
    </row>
    <row r="131" spans="2:2" x14ac:dyDescent="0.25">
      <c r="B131" s="11"/>
    </row>
    <row r="132" spans="2:2" x14ac:dyDescent="0.25">
      <c r="B132" s="11" t="s">
        <v>159</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160</v>
      </c>
      <c r="C2" s="2"/>
      <c r="D2" s="2"/>
    </row>
    <row r="3" spans="2:4" x14ac:dyDescent="0.25">
      <c r="B3" s="3" t="s">
        <v>161</v>
      </c>
    </row>
    <row r="5" spans="2:4" x14ac:dyDescent="0.25">
      <c r="B5" s="12" t="s">
        <v>162</v>
      </c>
      <c r="C5" t="str">
        <f>IF('Project Info'!C5="","",'Project Info'!C5)</f>
        <v>Norcross, GA</v>
      </c>
    </row>
    <row r="6" spans="2:4" x14ac:dyDescent="0.25">
      <c r="B6" s="12" t="s">
        <v>163</v>
      </c>
      <c r="C6" t="str">
        <f>IF('Project Info'!C6="","",'Project Info'!C6)</f>
        <v>#1517</v>
      </c>
    </row>
    <row r="7" spans="2:4" x14ac:dyDescent="0.25">
      <c r="B7" s="12" t="s">
        <v>164</v>
      </c>
      <c r="C7" s="13">
        <f ca="1">TODAY()</f>
        <v>46300</v>
      </c>
    </row>
    <row r="9" spans="2:4" x14ac:dyDescent="0.25">
      <c r="B9" s="14"/>
    </row>
    <row r="10" spans="2:4" x14ac:dyDescent="0.25">
      <c r="B10" s="15" t="s">
        <v>165</v>
      </c>
      <c r="C10" s="16"/>
    </row>
    <row r="11" spans="2:4" x14ac:dyDescent="0.25">
      <c r="B11" s="14" t="s">
        <v>166</v>
      </c>
      <c r="C11" s="4">
        <f ca="1">COUNTIF('RFI Log'!K2:K299,"Open")</f>
        <v>0</v>
      </c>
    </row>
    <row r="12" spans="2:4" x14ac:dyDescent="0.25">
      <c r="B12" s="14" t="s">
        <v>167</v>
      </c>
      <c r="C12" s="4">
        <f ca="1">COUNTIF('RFI Log'!K2:K299,"Overdue")</f>
        <v>0</v>
      </c>
    </row>
    <row r="13" spans="2:4" x14ac:dyDescent="0.25">
      <c r="B13" s="14" t="s">
        <v>168</v>
      </c>
      <c r="C13" s="4">
        <f ca="1">COUNTIF('RFI Log'!K2:K299,"Closed")</f>
        <v>6</v>
      </c>
    </row>
    <row r="14" spans="2:4" x14ac:dyDescent="0.25">
      <c r="B14" s="15" t="s">
        <v>169</v>
      </c>
      <c r="C14" s="16"/>
    </row>
    <row r="15" spans="2:4" x14ac:dyDescent="0.25">
      <c r="B15" s="14" t="s">
        <v>170</v>
      </c>
      <c r="C15" s="4">
        <f>COUNTIFS('Submittal Log'!G2:G299,"&lt;&gt;",'Submittal Log'!I2:I299,"")</f>
        <v>3</v>
      </c>
    </row>
    <row r="16" spans="2:4" x14ac:dyDescent="0.25">
      <c r="B16" s="14" t="s">
        <v>171</v>
      </c>
      <c r="C16" s="4">
        <f>COUNTIF('Submittal Log'!J2:J299,"Revise &amp; Resubmit")</f>
        <v>4</v>
      </c>
    </row>
    <row r="17" spans="2:3" x14ac:dyDescent="0.25">
      <c r="B17" s="15" t="s">
        <v>172</v>
      </c>
      <c r="C17" s="16"/>
    </row>
    <row r="18" spans="2:3" x14ac:dyDescent="0.25">
      <c r="B18" s="14" t="s">
        <v>173</v>
      </c>
      <c r="C18" s="4">
        <f>COUNTIF('Change Order Log'!J2:J299,"Pending")</f>
        <v>2</v>
      </c>
    </row>
    <row r="19" spans="2:3" x14ac:dyDescent="0.25">
      <c r="B19" s="14" t="s">
        <v>174</v>
      </c>
      <c r="C19" s="17">
        <f>SUMIFS('Change Order Log'!H2:H299,'Change Order Log'!J2:J299,"Approved")</f>
        <v>0</v>
      </c>
    </row>
    <row r="20" spans="2:3" x14ac:dyDescent="0.25">
      <c r="B20" s="15" t="s">
        <v>175</v>
      </c>
      <c r="C20" s="16"/>
    </row>
    <row r="21" spans="2:3" x14ac:dyDescent="0.25">
      <c r="B21" s="14" t="s">
        <v>176</v>
      </c>
      <c r="C21" s="4">
        <f>COUNTIF('Subcontractor CO Log'!K2:K299,"Under Review")</f>
        <v>0</v>
      </c>
    </row>
    <row r="22" spans="2:3" x14ac:dyDescent="0.25">
      <c r="B22" s="14" t="s">
        <v>177</v>
      </c>
      <c r="C22" s="4">
        <f>COUNTIF('Subcontractor CO Log'!K2:K299,"Rejected")</f>
        <v>0</v>
      </c>
    </row>
    <row r="23" spans="2:3" x14ac:dyDescent="0.25">
      <c r="B23" s="14" t="s">
        <v>174</v>
      </c>
      <c r="C23" s="17">
        <f>SUMIFS('Subcontractor CO Log'!N2:N299,'Subcontractor CO Log'!K2:K299,"Approved")</f>
        <v>56430</v>
      </c>
    </row>
    <row r="24" spans="2:3" x14ac:dyDescent="0.25">
      <c r="B24" s="15" t="s">
        <v>178</v>
      </c>
      <c r="C24" s="16"/>
    </row>
    <row r="25" spans="2:3" x14ac:dyDescent="0.25">
      <c r="B25" s="14" t="s">
        <v>166</v>
      </c>
      <c r="C25" s="4">
        <f>COUNTIF('Claims Log'!K2:K299,"Open")</f>
        <v>0</v>
      </c>
    </row>
    <row r="26" spans="2:3" x14ac:dyDescent="0.25">
      <c r="B26" s="14" t="s">
        <v>179</v>
      </c>
      <c r="C26" s="4">
        <f>COUNTIF('Claims Log'!F2:F299,"NO - LATE")</f>
        <v>0</v>
      </c>
    </row>
    <row r="27" spans="2:3" x14ac:dyDescent="0.25">
      <c r="B27" s="15" t="s">
        <v>180</v>
      </c>
      <c r="C27" s="16"/>
    </row>
    <row r="28" spans="2:3" x14ac:dyDescent="0.25">
      <c r="B28" s="14" t="s">
        <v>181</v>
      </c>
      <c r="C28" s="4">
        <f>COUNTIFS('Risk Register'!H2:H299,"High",'Risk Register'!M2:M299,"Open")</f>
        <v>0</v>
      </c>
    </row>
    <row r="29" spans="2:3" x14ac:dyDescent="0.25">
      <c r="B29" s="14" t="s">
        <v>182</v>
      </c>
      <c r="C29" s="4">
        <f>COUNTIF('Risk Register'!M2:M299,"Open")</f>
        <v>0</v>
      </c>
    </row>
    <row r="30" spans="2:3" x14ac:dyDescent="0.25">
      <c r="B30" s="15" t="s">
        <v>183</v>
      </c>
      <c r="C30" s="16"/>
    </row>
    <row r="31" spans="2:3" x14ac:dyDescent="0.25">
      <c r="B31" s="14" t="s">
        <v>166</v>
      </c>
      <c r="C31" s="4">
        <f>COUNTIF('Meeting Minutes Log'!I2:I299,"Open")</f>
        <v>12</v>
      </c>
    </row>
    <row r="32" spans="2:3" x14ac:dyDescent="0.25">
      <c r="B32" s="14" t="s">
        <v>167</v>
      </c>
      <c r="C32" s="4">
        <f ca="1">SUMPRODUCT(('Meeting Minutes Log'!$H$2:$H$299&lt;&gt;"")*('Meeting Minutes Log'!$H$2:$H$299&lt;TODAY())*('Meeting Minutes Log'!$I$2:$I$299&lt;&gt;"Closed"))</f>
        <v>0</v>
      </c>
    </row>
    <row r="33" spans="2:3" x14ac:dyDescent="0.25">
      <c r="B33" s="15" t="s">
        <v>184</v>
      </c>
      <c r="C33" s="16"/>
    </row>
    <row r="34" spans="2:3" x14ac:dyDescent="0.25">
      <c r="B34" s="14" t="s">
        <v>185</v>
      </c>
      <c r="C34" s="4">
        <f>COUNTIFS('Contract Review Log'!G2:G299,"High",'Contract Review Log'!I2:I299,"Open")</f>
        <v>0</v>
      </c>
    </row>
    <row r="35" spans="2:3" x14ac:dyDescent="0.25">
      <c r="B35" s="15" t="s">
        <v>186</v>
      </c>
      <c r="C35" s="16"/>
    </row>
    <row r="36" spans="2:3" x14ac:dyDescent="0.25">
      <c r="B36" s="14" t="s">
        <v>187</v>
      </c>
      <c r="C36" s="4">
        <f ca="1">COUNTIF('Contract Milestones'!D2:D296,"Missed")</f>
        <v>0</v>
      </c>
    </row>
    <row r="37" spans="2:3" x14ac:dyDescent="0.25">
      <c r="B37" s="14" t="s">
        <v>188</v>
      </c>
      <c r="C37" s="4">
        <f ca="1">COUNTIF('Contract Milestones'!D2:D296,"Met - Late")</f>
        <v>0</v>
      </c>
    </row>
    <row r="38" spans="2:3" x14ac:dyDescent="0.25">
      <c r="B38" s="14" t="s">
        <v>189</v>
      </c>
      <c r="C38" s="4">
        <f ca="1">COUNTIF('Contract Milestones'!D2:D296,"Due Soon")</f>
        <v>0</v>
      </c>
    </row>
    <row r="39" spans="2:3" x14ac:dyDescent="0.25">
      <c r="B39" s="15" t="s">
        <v>190</v>
      </c>
      <c r="C39" s="16"/>
    </row>
    <row r="40" spans="2:3" x14ac:dyDescent="0.25">
      <c r="B40" s="14" t="s">
        <v>191</v>
      </c>
      <c r="C40" s="4">
        <f ca="1">COUNTIF('Permit Tracker'!J6:J303,"ACTION NEEDED")</f>
        <v>0</v>
      </c>
    </row>
    <row r="41" spans="2:3" x14ac:dyDescent="0.25">
      <c r="B41" s="14" t="s">
        <v>192</v>
      </c>
      <c r="C41" s="4">
        <f ca="1">COUNTIF('Permit Tracker'!J6:J303,"EXPIRING SOON")</f>
        <v>0</v>
      </c>
    </row>
    <row r="42" spans="2:3" x14ac:dyDescent="0.25">
      <c r="B42" s="14" t="s">
        <v>193</v>
      </c>
      <c r="C42" s="4">
        <f>COUNTIF('Permit Tracker'!E6:E303,"In Hand")</f>
        <v>0</v>
      </c>
    </row>
    <row r="43" spans="2:3" x14ac:dyDescent="0.25">
      <c r="B43" s="15" t="s">
        <v>194</v>
      </c>
      <c r="C43" s="16"/>
    </row>
    <row r="44" spans="2:3" x14ac:dyDescent="0.25">
      <c r="B44" s="14" t="s">
        <v>195</v>
      </c>
      <c r="C44" s="4">
        <f>COUNTIF('Material Tracker'!F6:F303,"Not Ordered")</f>
        <v>0</v>
      </c>
    </row>
    <row r="45" spans="2:3" x14ac:dyDescent="0.25">
      <c r="B45" s="14" t="s">
        <v>196</v>
      </c>
      <c r="C45" s="4">
        <f ca="1">COUNTIF('Material Tracker'!M6:M303,"OVERDUE")</f>
        <v>0</v>
      </c>
    </row>
    <row r="46" spans="2:3" x14ac:dyDescent="0.25">
      <c r="B46" s="14" t="s">
        <v>197</v>
      </c>
      <c r="C46" s="4">
        <f>COUNTIF('Material Tracker'!F6:F303,"Received")</f>
        <v>0</v>
      </c>
    </row>
    <row r="47" spans="2:3" x14ac:dyDescent="0.25">
      <c r="B47" s="15" t="s">
        <v>198</v>
      </c>
      <c r="C47" s="16"/>
    </row>
    <row r="48" spans="2:3" x14ac:dyDescent="0.25">
      <c r="B48" s="14" t="s">
        <v>199</v>
      </c>
      <c r="C48" s="4">
        <f>COUNTIF(Schedule!H2:H299,"Delayed")</f>
        <v>0</v>
      </c>
    </row>
    <row r="49" spans="2:3" x14ac:dyDescent="0.25">
      <c r="B49" s="14" t="s">
        <v>200</v>
      </c>
      <c r="C49" s="4">
        <f>COUNTIF(Schedule!H2:H299,"At Risk")</f>
        <v>0</v>
      </c>
    </row>
    <row r="50" spans="2:3" x14ac:dyDescent="0.25">
      <c r="B50" s="15" t="s">
        <v>201</v>
      </c>
      <c r="C50" s="16"/>
    </row>
    <row r="51" spans="2:3" x14ac:dyDescent="0.25">
      <c r="B51" s="14" t="s">
        <v>202</v>
      </c>
      <c r="C51" s="4">
        <f ca="1">COUNTIF('RFI Log'!V2:V299,"&gt;=14")</f>
        <v>0</v>
      </c>
    </row>
    <row r="52" spans="2:3" x14ac:dyDescent="0.25">
      <c r="B52" s="14" t="s">
        <v>203</v>
      </c>
      <c r="C52" s="4">
        <f ca="1">COUNTIF('Submittal Log'!P2:P299,"&gt;=14")</f>
        <v>0</v>
      </c>
    </row>
    <row r="53" spans="2:3" x14ac:dyDescent="0.25">
      <c r="B53" s="14" t="s">
        <v>204</v>
      </c>
      <c r="C53" s="4">
        <f ca="1">COUNTIF('Change Order Log'!Q2:Q299,"&gt;=14")</f>
        <v>2</v>
      </c>
    </row>
    <row r="54" spans="2:3" x14ac:dyDescent="0.25">
      <c r="B54" s="14" t="s">
        <v>205</v>
      </c>
      <c r="C54" s="4">
        <f ca="1">COUNTIF('Subcontractor CO Log'!S2:S299,"&gt;=14")</f>
        <v>0</v>
      </c>
    </row>
    <row r="55" spans="2:3" x14ac:dyDescent="0.25">
      <c r="B55" s="14" t="s">
        <v>206</v>
      </c>
      <c r="C55" s="4">
        <f ca="1">COUNTIF('Claims Log'!P2:P299,"&gt;=14")</f>
        <v>0</v>
      </c>
    </row>
    <row r="56" spans="2:3" x14ac:dyDescent="0.25">
      <c r="B56" s="14" t="s">
        <v>207</v>
      </c>
      <c r="C56" s="4">
        <f ca="1">COUNTIF('Risk Register'!O2:O299,"&gt;=14")</f>
        <v>0</v>
      </c>
    </row>
    <row r="57" spans="2:3" x14ac:dyDescent="0.25">
      <c r="B57" s="14" t="s">
        <v>208</v>
      </c>
      <c r="C57" s="4">
        <f ca="1">COUNTIF('Permit Tracker'!N6:N303,"&gt;=14")</f>
        <v>0</v>
      </c>
    </row>
    <row r="58" spans="2:3" x14ac:dyDescent="0.25">
      <c r="B58" s="14" t="s">
        <v>209</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210</v>
      </c>
      <c r="B1" s="18" t="s">
        <v>211</v>
      </c>
      <c r="C1" s="18" t="s">
        <v>212</v>
      </c>
      <c r="D1" s="18" t="s">
        <v>213</v>
      </c>
      <c r="E1" s="18" t="s">
        <v>214</v>
      </c>
      <c r="F1" s="18" t="s">
        <v>215</v>
      </c>
      <c r="G1" s="18" t="s">
        <v>216</v>
      </c>
      <c r="H1" s="18" t="s">
        <v>217</v>
      </c>
      <c r="I1" s="18" t="s">
        <v>218</v>
      </c>
      <c r="J1" s="18" t="s">
        <v>219</v>
      </c>
      <c r="K1" s="18" t="s">
        <v>220</v>
      </c>
      <c r="L1" s="18" t="s">
        <v>221</v>
      </c>
      <c r="M1" s="18" t="s">
        <v>222</v>
      </c>
      <c r="N1" s="18" t="s">
        <v>223</v>
      </c>
      <c r="O1" s="18" t="s">
        <v>224</v>
      </c>
      <c r="P1" s="18" t="s">
        <v>225</v>
      </c>
      <c r="Q1" s="18" t="s">
        <v>226</v>
      </c>
      <c r="R1" s="18" t="s">
        <v>227</v>
      </c>
      <c r="S1" s="18" t="s">
        <v>228</v>
      </c>
      <c r="T1" s="18" t="s">
        <v>229</v>
      </c>
      <c r="U1" s="18" t="s">
        <v>230</v>
      </c>
      <c r="V1" s="18" t="s">
        <v>231</v>
      </c>
    </row>
    <row r="2" spans="1:22" ht="90" x14ac:dyDescent="0.25">
      <c r="A2" s="19" t="s">
        <v>232</v>
      </c>
      <c r="B2" s="20">
        <v>46119</v>
      </c>
      <c r="C2" s="19" t="s">
        <v>233</v>
      </c>
      <c r="D2" s="21" t="s">
        <v>234</v>
      </c>
      <c r="E2" s="21" t="s">
        <v>235</v>
      </c>
      <c r="F2" s="21" t="s">
        <v>236</v>
      </c>
      <c r="G2" s="21" t="s">
        <v>237</v>
      </c>
      <c r="H2" s="20">
        <v>46122</v>
      </c>
      <c r="I2" s="21" t="s">
        <v>238</v>
      </c>
      <c r="J2" s="20">
        <v>46129</v>
      </c>
      <c r="K2" s="19" t="str">
        <f t="shared" ref="K2:K65" ca="1" si="0">IF(A2="","",IF(T2="Yes","Void",IF(I2&lt;&gt;"","Closed",IF(AND(H2&lt;&gt;"",TODAY()&gt;H2),"Overdue","Open"))))</f>
        <v>Closed</v>
      </c>
      <c r="L2" s="19">
        <f t="shared" ref="L2:L65" ca="1" si="1">IF(A2="","",IF(I2&lt;&gt;"",J2-B2,TODAY()-B2))</f>
        <v>10</v>
      </c>
      <c r="M2" s="19">
        <v>0</v>
      </c>
      <c r="N2" s="19">
        <v>0</v>
      </c>
      <c r="Q2" s="21" t="s">
        <v>239</v>
      </c>
      <c r="R2" s="19" t="s">
        <v>240</v>
      </c>
      <c r="S2" s="19">
        <v>0</v>
      </c>
      <c r="T2" s="19" t="s">
        <v>240</v>
      </c>
      <c r="U2" s="20">
        <f t="shared" ref="U2:U65" si="2">IF(A2="","",MAX(B2+0,H2+0,J2+0))</f>
        <v>46129</v>
      </c>
      <c r="V2" s="19" t="str">
        <f t="shared" ref="V2:V65" ca="1" si="3">IF(A2="","",IF(K2="Closed","",TODAY()-U2))</f>
        <v/>
      </c>
    </row>
    <row r="3" spans="1:22" ht="135" x14ac:dyDescent="0.25">
      <c r="A3" s="19" t="s">
        <v>241</v>
      </c>
      <c r="B3" s="20">
        <v>46119</v>
      </c>
      <c r="C3" s="19" t="s">
        <v>233</v>
      </c>
      <c r="D3" s="21" t="s">
        <v>242</v>
      </c>
      <c r="E3" s="21" t="s">
        <v>243</v>
      </c>
      <c r="F3" s="21" t="s">
        <v>244</v>
      </c>
      <c r="G3" s="21" t="s">
        <v>245</v>
      </c>
      <c r="H3" s="20">
        <v>46122</v>
      </c>
      <c r="I3" s="21" t="s">
        <v>246</v>
      </c>
      <c r="J3" s="20">
        <v>46120</v>
      </c>
      <c r="K3" s="19" t="str">
        <f t="shared" ca="1" si="0"/>
        <v>Closed</v>
      </c>
      <c r="L3" s="19">
        <f t="shared" ca="1" si="1"/>
        <v>1</v>
      </c>
      <c r="M3" s="19">
        <v>0</v>
      </c>
      <c r="N3" s="19">
        <v>0</v>
      </c>
      <c r="Q3" s="21"/>
      <c r="R3" s="19" t="s">
        <v>240</v>
      </c>
      <c r="S3" s="19">
        <v>0</v>
      </c>
      <c r="T3" s="19" t="s">
        <v>240</v>
      </c>
      <c r="U3" s="20">
        <f t="shared" si="2"/>
        <v>46122</v>
      </c>
      <c r="V3" s="19" t="str">
        <f t="shared" ca="1" si="3"/>
        <v/>
      </c>
    </row>
    <row r="4" spans="1:22" ht="135" x14ac:dyDescent="0.25">
      <c r="A4" s="19" t="s">
        <v>247</v>
      </c>
      <c r="B4" s="20">
        <v>46127</v>
      </c>
      <c r="C4" s="19" t="s">
        <v>233</v>
      </c>
      <c r="D4" s="21" t="s">
        <v>248</v>
      </c>
      <c r="E4" s="21" t="s">
        <v>249</v>
      </c>
      <c r="F4" s="21" t="s">
        <v>250</v>
      </c>
      <c r="G4" s="21" t="s">
        <v>251</v>
      </c>
      <c r="H4" s="20">
        <v>46132</v>
      </c>
      <c r="I4" s="21" t="s">
        <v>252</v>
      </c>
      <c r="J4" s="20">
        <v>46132</v>
      </c>
      <c r="K4" s="19" t="str">
        <f t="shared" ca="1" si="0"/>
        <v>Closed</v>
      </c>
      <c r="L4" s="19">
        <f t="shared" ca="1" si="1"/>
        <v>5</v>
      </c>
      <c r="M4" s="19">
        <v>0</v>
      </c>
      <c r="N4" s="19">
        <v>0</v>
      </c>
      <c r="Q4" s="21"/>
      <c r="R4" s="19" t="s">
        <v>240</v>
      </c>
      <c r="S4" s="19">
        <v>0</v>
      </c>
      <c r="T4" s="19" t="s">
        <v>240</v>
      </c>
      <c r="U4" s="20">
        <f t="shared" si="2"/>
        <v>46132</v>
      </c>
      <c r="V4" s="19" t="str">
        <f t="shared" ca="1" si="3"/>
        <v/>
      </c>
    </row>
    <row r="5" spans="1:22" ht="180" x14ac:dyDescent="0.25">
      <c r="A5" s="19" t="s">
        <v>253</v>
      </c>
      <c r="B5" s="20">
        <v>46260</v>
      </c>
      <c r="C5" s="19" t="s">
        <v>233</v>
      </c>
      <c r="D5" s="21" t="s">
        <v>254</v>
      </c>
      <c r="E5" s="21" t="s">
        <v>255</v>
      </c>
      <c r="F5" s="21" t="s">
        <v>256</v>
      </c>
      <c r="G5" s="21" t="s">
        <v>257</v>
      </c>
      <c r="H5" s="20">
        <v>46265</v>
      </c>
      <c r="I5" s="21" t="s">
        <v>258</v>
      </c>
      <c r="J5" s="20">
        <v>46273</v>
      </c>
      <c r="K5" s="19" t="str">
        <f t="shared" ca="1" si="0"/>
        <v>Closed</v>
      </c>
      <c r="L5" s="19">
        <f t="shared" ca="1" si="1"/>
        <v>13</v>
      </c>
      <c r="M5" s="19">
        <v>0</v>
      </c>
      <c r="N5" s="19">
        <v>0</v>
      </c>
      <c r="Q5" s="21" t="s">
        <v>259</v>
      </c>
      <c r="R5" s="19" t="s">
        <v>240</v>
      </c>
      <c r="S5" s="19">
        <v>0</v>
      </c>
      <c r="T5" s="19" t="s">
        <v>240</v>
      </c>
      <c r="U5" s="20">
        <f t="shared" si="2"/>
        <v>46273</v>
      </c>
      <c r="V5" s="19" t="str">
        <f t="shared" ca="1" si="3"/>
        <v/>
      </c>
    </row>
    <row r="6" spans="1:22" ht="180" x14ac:dyDescent="0.25">
      <c r="A6" s="19" t="s">
        <v>260</v>
      </c>
      <c r="B6" s="20">
        <v>46265</v>
      </c>
      <c r="C6" s="19" t="s">
        <v>233</v>
      </c>
      <c r="D6" s="21" t="s">
        <v>261</v>
      </c>
      <c r="E6" s="21" t="s">
        <v>262</v>
      </c>
      <c r="F6" s="21" t="s">
        <v>263</v>
      </c>
      <c r="G6" s="21" t="s">
        <v>257</v>
      </c>
      <c r="H6" s="20">
        <v>46268</v>
      </c>
      <c r="I6" s="21" t="s">
        <v>264</v>
      </c>
      <c r="J6" s="20">
        <v>46276</v>
      </c>
      <c r="K6" s="19" t="str">
        <f t="shared" ca="1" si="0"/>
        <v>Closed</v>
      </c>
      <c r="L6" s="19">
        <f t="shared" ca="1" si="1"/>
        <v>11</v>
      </c>
      <c r="M6" s="19">
        <v>0</v>
      </c>
      <c r="N6" s="19">
        <v>0</v>
      </c>
      <c r="Q6" s="21" t="s">
        <v>265</v>
      </c>
      <c r="R6" s="19" t="s">
        <v>240</v>
      </c>
      <c r="S6" s="19">
        <v>0</v>
      </c>
      <c r="T6" s="19" t="s">
        <v>240</v>
      </c>
      <c r="U6" s="20">
        <f t="shared" si="2"/>
        <v>46276</v>
      </c>
      <c r="V6" s="19" t="str">
        <f t="shared" ca="1" si="3"/>
        <v/>
      </c>
    </row>
    <row r="7" spans="1:22" ht="195" x14ac:dyDescent="0.25">
      <c r="A7" s="19" t="s">
        <v>266</v>
      </c>
      <c r="B7" s="20">
        <v>46283</v>
      </c>
      <c r="C7" s="19" t="s">
        <v>267</v>
      </c>
      <c r="D7" s="21" t="s">
        <v>268</v>
      </c>
      <c r="E7" s="21" t="s">
        <v>269</v>
      </c>
      <c r="F7" s="21" t="s">
        <v>270</v>
      </c>
      <c r="G7" s="21" t="s">
        <v>271</v>
      </c>
      <c r="H7" s="20">
        <v>46288</v>
      </c>
      <c r="I7" s="21" t="s">
        <v>272</v>
      </c>
      <c r="J7" s="20">
        <v>46288</v>
      </c>
      <c r="K7" s="19" t="str">
        <f t="shared" ca="1" si="0"/>
        <v>Closed</v>
      </c>
      <c r="L7" s="19">
        <f t="shared" ca="1" si="1"/>
        <v>5</v>
      </c>
      <c r="M7" s="19">
        <v>0</v>
      </c>
      <c r="N7" s="19">
        <v>0</v>
      </c>
      <c r="Q7" s="21" t="s">
        <v>273</v>
      </c>
      <c r="R7" s="19" t="s">
        <v>274</v>
      </c>
      <c r="S7" s="19">
        <v>0</v>
      </c>
      <c r="T7" s="19" t="s">
        <v>240</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275</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276</v>
      </c>
      <c r="B1" s="18" t="s">
        <v>277</v>
      </c>
      <c r="C1" s="18" t="s">
        <v>278</v>
      </c>
      <c r="D1" s="18" t="s">
        <v>279</v>
      </c>
      <c r="E1" s="18" t="s">
        <v>280</v>
      </c>
      <c r="F1" s="18" t="s">
        <v>281</v>
      </c>
      <c r="G1" s="18" t="s">
        <v>282</v>
      </c>
      <c r="H1" s="18" t="s">
        <v>283</v>
      </c>
      <c r="I1" s="18" t="s">
        <v>284</v>
      </c>
      <c r="J1" s="18" t="s">
        <v>220</v>
      </c>
      <c r="K1" s="18" t="s">
        <v>285</v>
      </c>
      <c r="L1" s="18" t="s">
        <v>286</v>
      </c>
      <c r="M1" s="18" t="s">
        <v>226</v>
      </c>
      <c r="N1" s="18" t="s">
        <v>227</v>
      </c>
      <c r="O1" s="18" t="s">
        <v>230</v>
      </c>
      <c r="P1" s="18" t="s">
        <v>231</v>
      </c>
    </row>
    <row r="2" spans="1:16" x14ac:dyDescent="0.25">
      <c r="A2" t="s">
        <v>512</v>
      </c>
      <c r="B2" s="24" t="s">
        <v>513</v>
      </c>
      <c r="C2" t="s">
        <v>514</v>
      </c>
      <c r="D2" t="s">
        <v>515</v>
      </c>
      <c r="E2" t="s">
        <v>516</v>
      </c>
      <c r="F2" s="25">
        <v>46268</v>
      </c>
      <c r="G2" s="25">
        <v>46274</v>
      </c>
      <c r="H2" s="25">
        <v>46288</v>
      </c>
      <c r="I2" s="25">
        <v>46289</v>
      </c>
      <c r="J2" t="s">
        <v>517</v>
      </c>
      <c r="K2">
        <f t="shared" ref="K2:K65" ca="1" si="0">IF(A2="","",IF(I2&lt;&gt;"",I2-G2,IF(G2&lt;&gt;"",TODAY()-G2,"")))</f>
        <v>15</v>
      </c>
      <c r="M2" t="s">
        <v>518</v>
      </c>
      <c r="N2" t="s">
        <v>274</v>
      </c>
      <c r="O2" s="13">
        <f t="shared" ref="O2:O65" si="1">IF(A2="","",MAX(F2+0,G2+0,H2+0,I2+0))</f>
        <v>46289</v>
      </c>
      <c r="P2" t="str">
        <f t="shared" ref="P2:P65" ca="1" si="2">IF(A2="","",IF(OR(J2="Approved",J2="Approved as Noted"),"",TODAY()-O2))</f>
        <v/>
      </c>
    </row>
    <row r="3" spans="1:16" x14ac:dyDescent="0.25">
      <c r="A3" t="s">
        <v>519</v>
      </c>
      <c r="B3" s="24" t="s">
        <v>513</v>
      </c>
      <c r="C3" t="s">
        <v>520</v>
      </c>
      <c r="D3" t="s">
        <v>515</v>
      </c>
      <c r="E3" t="s">
        <v>516</v>
      </c>
      <c r="F3" s="25">
        <v>46287</v>
      </c>
      <c r="G3" s="25">
        <v>46287</v>
      </c>
      <c r="H3" s="25">
        <v>46309</v>
      </c>
      <c r="I3" s="25">
        <v>46293</v>
      </c>
      <c r="J3" t="s">
        <v>517</v>
      </c>
      <c r="K3">
        <f t="shared" ca="1" si="0"/>
        <v>6</v>
      </c>
      <c r="M3" t="s">
        <v>518</v>
      </c>
      <c r="N3" t="s">
        <v>274</v>
      </c>
      <c r="O3" s="13">
        <f t="shared" si="1"/>
        <v>46309</v>
      </c>
      <c r="P3" t="str">
        <f t="shared" ca="1" si="2"/>
        <v/>
      </c>
    </row>
    <row r="4" spans="1:16" x14ac:dyDescent="0.25">
      <c r="A4" t="s">
        <v>521</v>
      </c>
      <c r="B4" s="24" t="s">
        <v>522</v>
      </c>
      <c r="C4" t="s">
        <v>898</v>
      </c>
      <c r="D4" t="s">
        <v>515</v>
      </c>
      <c r="E4" t="s">
        <v>523</v>
      </c>
      <c r="F4" s="25">
        <v>46260</v>
      </c>
      <c r="G4" s="25">
        <v>46260</v>
      </c>
      <c r="H4" s="25">
        <v>46274</v>
      </c>
      <c r="I4" s="25">
        <v>46296</v>
      </c>
      <c r="J4" t="s">
        <v>897</v>
      </c>
      <c r="K4">
        <f t="shared" ca="1" si="0"/>
        <v>36</v>
      </c>
      <c r="M4" t="s">
        <v>899</v>
      </c>
      <c r="N4" t="s">
        <v>274</v>
      </c>
      <c r="O4" s="13">
        <f t="shared" si="1"/>
        <v>46296</v>
      </c>
      <c r="P4">
        <f t="shared" ca="1" si="2"/>
        <v>4</v>
      </c>
    </row>
    <row r="5" spans="1:16" x14ac:dyDescent="0.25">
      <c r="A5" t="s">
        <v>525</v>
      </c>
      <c r="B5" s="24" t="s">
        <v>522</v>
      </c>
      <c r="C5" t="s">
        <v>901</v>
      </c>
      <c r="D5" t="s">
        <v>515</v>
      </c>
      <c r="E5" t="s">
        <v>526</v>
      </c>
      <c r="F5" s="25">
        <v>46260</v>
      </c>
      <c r="G5" s="25">
        <v>46260</v>
      </c>
      <c r="H5" s="25">
        <v>46276</v>
      </c>
      <c r="I5" s="25">
        <v>46296</v>
      </c>
      <c r="J5" t="s">
        <v>900</v>
      </c>
      <c r="K5">
        <f t="shared" ca="1" si="0"/>
        <v>36</v>
      </c>
      <c r="M5" t="s">
        <v>902</v>
      </c>
      <c r="N5" t="s">
        <v>274</v>
      </c>
      <c r="O5" s="13">
        <f t="shared" si="1"/>
        <v>46296</v>
      </c>
      <c r="P5">
        <f t="shared" ca="1" si="2"/>
        <v>4</v>
      </c>
    </row>
    <row r="6" spans="1:16" x14ac:dyDescent="0.25">
      <c r="A6" t="s">
        <v>527</v>
      </c>
      <c r="B6" s="24" t="s">
        <v>528</v>
      </c>
      <c r="C6" t="s">
        <v>903</v>
      </c>
      <c r="D6" t="s">
        <v>515</v>
      </c>
      <c r="E6" t="s">
        <v>526</v>
      </c>
      <c r="F6" s="25">
        <v>46260</v>
      </c>
      <c r="G6" s="25">
        <v>46260</v>
      </c>
      <c r="H6" s="25">
        <v>46276</v>
      </c>
      <c r="I6" s="25">
        <v>46296</v>
      </c>
      <c r="J6" t="s">
        <v>900</v>
      </c>
      <c r="K6">
        <f t="shared" ca="1" si="0"/>
        <v>36</v>
      </c>
      <c r="M6" t="s">
        <v>904</v>
      </c>
      <c r="N6" t="s">
        <v>274</v>
      </c>
      <c r="O6" s="13">
        <f t="shared" si="1"/>
        <v>46296</v>
      </c>
      <c r="P6">
        <f t="shared" ca="1" si="2"/>
        <v>4</v>
      </c>
    </row>
    <row r="7" spans="1:16" x14ac:dyDescent="0.25">
      <c r="A7" t="s">
        <v>529</v>
      </c>
      <c r="B7" s="24" t="s">
        <v>530</v>
      </c>
      <c r="C7" t="s">
        <v>905</v>
      </c>
      <c r="D7" t="s">
        <v>515</v>
      </c>
      <c r="E7" t="s">
        <v>526</v>
      </c>
      <c r="F7" s="25">
        <v>46260</v>
      </c>
      <c r="G7" s="25">
        <v>46260</v>
      </c>
      <c r="H7" s="25">
        <v>46276</v>
      </c>
      <c r="I7" s="25">
        <v>46296</v>
      </c>
      <c r="J7" t="s">
        <v>900</v>
      </c>
      <c r="K7">
        <f t="shared" ca="1" si="0"/>
        <v>36</v>
      </c>
      <c r="M7" t="s">
        <v>906</v>
      </c>
      <c r="N7" t="s">
        <v>274</v>
      </c>
      <c r="O7" s="13">
        <f t="shared" si="1"/>
        <v>46296</v>
      </c>
      <c r="P7">
        <f t="shared" ca="1" si="2"/>
        <v>4</v>
      </c>
    </row>
    <row r="8" spans="1:16" x14ac:dyDescent="0.25">
      <c r="A8" t="s">
        <v>531</v>
      </c>
      <c r="B8" s="24" t="s">
        <v>532</v>
      </c>
      <c r="C8" t="s">
        <v>907</v>
      </c>
      <c r="D8" t="s">
        <v>515</v>
      </c>
      <c r="E8" t="s">
        <v>526</v>
      </c>
      <c r="F8" s="25">
        <v>46260</v>
      </c>
      <c r="G8" s="25">
        <v>46260</v>
      </c>
      <c r="H8" s="25">
        <v>46276</v>
      </c>
      <c r="I8" s="25">
        <v>46296</v>
      </c>
      <c r="J8" t="s">
        <v>900</v>
      </c>
      <c r="K8">
        <f t="shared" ca="1" si="0"/>
        <v>36</v>
      </c>
      <c r="M8" t="s">
        <v>908</v>
      </c>
      <c r="N8" t="s">
        <v>274</v>
      </c>
      <c r="O8" s="13">
        <f t="shared" si="1"/>
        <v>46296</v>
      </c>
      <c r="P8">
        <f t="shared" ca="1" si="2"/>
        <v>4</v>
      </c>
    </row>
    <row r="9" spans="1:16" x14ac:dyDescent="0.25">
      <c r="A9" t="s">
        <v>533</v>
      </c>
      <c r="B9" s="24" t="s">
        <v>534</v>
      </c>
      <c r="C9" t="s">
        <v>535</v>
      </c>
      <c r="D9" t="s">
        <v>515</v>
      </c>
      <c r="E9" t="s">
        <v>536</v>
      </c>
      <c r="F9" s="25">
        <v>46260</v>
      </c>
      <c r="G9" s="25">
        <v>46268</v>
      </c>
      <c r="H9" s="25">
        <v>46276</v>
      </c>
      <c r="I9" s="25">
        <v>46290</v>
      </c>
      <c r="J9" t="s">
        <v>517</v>
      </c>
      <c r="K9">
        <f t="shared" ca="1" si="0"/>
        <v>22</v>
      </c>
      <c r="M9" t="s">
        <v>537</v>
      </c>
      <c r="N9" t="s">
        <v>274</v>
      </c>
      <c r="O9" s="13">
        <f t="shared" si="1"/>
        <v>46290</v>
      </c>
      <c r="P9" t="str">
        <f t="shared" ca="1" si="2"/>
        <v/>
      </c>
    </row>
    <row r="10" spans="1:16" x14ac:dyDescent="0.25">
      <c r="A10" t="s">
        <v>538</v>
      </c>
      <c r="B10" s="24" t="s">
        <v>539</v>
      </c>
      <c r="C10" t="s">
        <v>540</v>
      </c>
      <c r="D10" t="s">
        <v>515</v>
      </c>
      <c r="E10" t="s">
        <v>541</v>
      </c>
      <c r="F10" s="25">
        <v>46265</v>
      </c>
      <c r="G10" s="25">
        <v>46283</v>
      </c>
      <c r="H10" s="25">
        <v>46290</v>
      </c>
      <c r="J10" t="s">
        <v>524</v>
      </c>
      <c r="K10">
        <f t="shared" ca="1" si="0"/>
        <v>17</v>
      </c>
      <c r="M10" t="s">
        <v>542</v>
      </c>
      <c r="N10" t="s">
        <v>274</v>
      </c>
      <c r="O10" s="13">
        <f t="shared" si="1"/>
        <v>46290</v>
      </c>
      <c r="P10">
        <f t="shared" ca="1" si="2"/>
        <v>10</v>
      </c>
    </row>
    <row r="11" spans="1:16" x14ac:dyDescent="0.25">
      <c r="A11" t="s">
        <v>543</v>
      </c>
      <c r="B11" s="24" t="s">
        <v>539</v>
      </c>
      <c r="C11" t="s">
        <v>544</v>
      </c>
      <c r="D11" t="s">
        <v>545</v>
      </c>
      <c r="E11" t="s">
        <v>546</v>
      </c>
      <c r="F11" s="25">
        <v>46265</v>
      </c>
      <c r="G11" s="25">
        <v>46283</v>
      </c>
      <c r="H11" s="25">
        <v>46290</v>
      </c>
      <c r="J11" t="s">
        <v>524</v>
      </c>
      <c r="K11">
        <f t="shared" ca="1" si="0"/>
        <v>17</v>
      </c>
      <c r="M11" t="s">
        <v>547</v>
      </c>
      <c r="N11" t="s">
        <v>274</v>
      </c>
      <c r="O11" s="13">
        <f t="shared" si="1"/>
        <v>46290</v>
      </c>
      <c r="P11">
        <f t="shared" ca="1" si="2"/>
        <v>10</v>
      </c>
    </row>
    <row r="12" spans="1:16" x14ac:dyDescent="0.25">
      <c r="A12" t="s">
        <v>548</v>
      </c>
      <c r="B12" s="24" t="s">
        <v>539</v>
      </c>
      <c r="C12" t="s">
        <v>549</v>
      </c>
      <c r="D12" t="s">
        <v>515</v>
      </c>
      <c r="E12" t="s">
        <v>550</v>
      </c>
      <c r="F12" s="25">
        <v>46265</v>
      </c>
      <c r="G12" s="25">
        <v>46283</v>
      </c>
      <c r="H12" s="25">
        <v>46290</v>
      </c>
      <c r="J12" t="s">
        <v>524</v>
      </c>
      <c r="K12">
        <f t="shared" ca="1" si="0"/>
        <v>17</v>
      </c>
      <c r="M12" t="s">
        <v>551</v>
      </c>
      <c r="N12" t="s">
        <v>274</v>
      </c>
      <c r="O12" s="13">
        <f t="shared" si="1"/>
        <v>46290</v>
      </c>
      <c r="P12">
        <f t="shared" ca="1" si="2"/>
        <v>10</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287</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288</v>
      </c>
      <c r="B1" s="18" t="s">
        <v>289</v>
      </c>
      <c r="C1" s="18" t="s">
        <v>278</v>
      </c>
      <c r="D1" s="18" t="s">
        <v>290</v>
      </c>
      <c r="E1" s="18" t="s">
        <v>291</v>
      </c>
      <c r="F1" s="18" t="s">
        <v>286</v>
      </c>
      <c r="G1" s="18" t="s">
        <v>292</v>
      </c>
      <c r="H1" s="18" t="s">
        <v>293</v>
      </c>
      <c r="I1" s="18" t="s">
        <v>223</v>
      </c>
      <c r="J1" s="18" t="s">
        <v>220</v>
      </c>
      <c r="K1" s="18" t="s">
        <v>294</v>
      </c>
      <c r="L1" s="18" t="s">
        <v>295</v>
      </c>
      <c r="M1" s="18" t="s">
        <v>296</v>
      </c>
      <c r="N1" s="18" t="s">
        <v>226</v>
      </c>
      <c r="O1" s="18" t="s">
        <v>227</v>
      </c>
      <c r="P1" s="18" t="s">
        <v>230</v>
      </c>
      <c r="Q1" s="18" t="s">
        <v>231</v>
      </c>
      <c r="R1" s="18" t="s">
        <v>297</v>
      </c>
    </row>
    <row r="2" spans="1:18" x14ac:dyDescent="0.25">
      <c r="A2" t="s">
        <v>552</v>
      </c>
      <c r="B2" s="25">
        <v>46254</v>
      </c>
      <c r="C2" t="s">
        <v>556</v>
      </c>
      <c r="D2" t="s">
        <v>553</v>
      </c>
      <c r="E2" t="s">
        <v>554</v>
      </c>
      <c r="H2">
        <v>99986.52</v>
      </c>
      <c r="I2">
        <v>0</v>
      </c>
      <c r="J2" t="s">
        <v>524</v>
      </c>
      <c r="M2">
        <f>IF(A2="","",SUMIFS(H$2:H2,J$2:J2,"Approved"))</f>
        <v>0</v>
      </c>
      <c r="N2" t="s">
        <v>557</v>
      </c>
      <c r="O2" t="s">
        <v>274</v>
      </c>
      <c r="P2" s="13">
        <f t="shared" ref="P2:P65" si="0">IF(A2="","",MAX(B2+0,K2+0,L2+0))</f>
        <v>46254</v>
      </c>
      <c r="Q2">
        <f t="shared" ref="Q2:Q65" ca="1" si="1">IF(A2="","",IF(OR(J2="Approved",J2="Rejected",J2="Void"),"",TODAY()-P2))</f>
        <v>46</v>
      </c>
      <c r="R2" t="s">
        <v>555</v>
      </c>
    </row>
    <row r="3" spans="1:18" x14ac:dyDescent="0.25">
      <c r="A3" t="s">
        <v>561</v>
      </c>
      <c r="B3" s="25">
        <v>46259</v>
      </c>
      <c r="C3" t="s">
        <v>562</v>
      </c>
      <c r="D3" t="s">
        <v>553</v>
      </c>
      <c r="E3" t="s">
        <v>569</v>
      </c>
      <c r="H3">
        <v>0</v>
      </c>
      <c r="I3">
        <v>0</v>
      </c>
      <c r="J3" t="s">
        <v>524</v>
      </c>
      <c r="M3">
        <f>IF(A3="","",SUMIFS(H$2:H3,J$2:J3,"Approved"))</f>
        <v>0</v>
      </c>
      <c r="N3" t="s">
        <v>568</v>
      </c>
      <c r="O3" t="s">
        <v>274</v>
      </c>
      <c r="P3" s="13">
        <f t="shared" si="0"/>
        <v>46259</v>
      </c>
      <c r="Q3">
        <f t="shared" ca="1" si="1"/>
        <v>41</v>
      </c>
      <c r="R3" t="s">
        <v>563</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298</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299</v>
      </c>
      <c r="B1" s="18" t="s">
        <v>211</v>
      </c>
      <c r="C1" s="18" t="s">
        <v>300</v>
      </c>
      <c r="D1" s="18" t="s">
        <v>301</v>
      </c>
      <c r="E1" s="18" t="s">
        <v>278</v>
      </c>
      <c r="F1" s="18" t="s">
        <v>302</v>
      </c>
      <c r="G1" s="18" t="s">
        <v>303</v>
      </c>
      <c r="H1" s="18" t="s">
        <v>304</v>
      </c>
      <c r="I1" s="18" t="s">
        <v>305</v>
      </c>
      <c r="J1" s="18" t="s">
        <v>306</v>
      </c>
      <c r="K1" s="18" t="s">
        <v>220</v>
      </c>
      <c r="L1" s="18" t="s">
        <v>307</v>
      </c>
      <c r="M1" s="18" t="s">
        <v>308</v>
      </c>
      <c r="N1" s="18" t="s">
        <v>309</v>
      </c>
      <c r="O1" s="18" t="s">
        <v>310</v>
      </c>
      <c r="P1" s="18" t="s">
        <v>226</v>
      </c>
      <c r="Q1" s="18" t="s">
        <v>227</v>
      </c>
      <c r="R1" s="18" t="s">
        <v>230</v>
      </c>
      <c r="S1" s="18" t="s">
        <v>231</v>
      </c>
    </row>
    <row r="2" spans="1:19" x14ac:dyDescent="0.25">
      <c r="A2" t="s">
        <v>558</v>
      </c>
      <c r="B2" s="25">
        <v>46257</v>
      </c>
      <c r="C2" t="s">
        <v>510</v>
      </c>
      <c r="D2">
        <v>7</v>
      </c>
      <c r="E2" t="s">
        <v>559</v>
      </c>
      <c r="F2">
        <v>56430</v>
      </c>
      <c r="G2">
        <v>0</v>
      </c>
      <c r="H2" t="s">
        <v>560</v>
      </c>
      <c r="J2" t="s">
        <v>567</v>
      </c>
      <c r="K2" t="s">
        <v>564</v>
      </c>
      <c r="L2" s="25">
        <v>46296</v>
      </c>
      <c r="M2" t="s">
        <v>565</v>
      </c>
      <c r="N2">
        <v>56430</v>
      </c>
      <c r="O2">
        <f>IF(C2="","",SUMIFS($N$2:N2,$C$2:C2,C2,$K$2:K2,"Approved"))</f>
        <v>56430</v>
      </c>
      <c r="P2" t="s">
        <v>566</v>
      </c>
      <c r="Q2" t="s">
        <v>274</v>
      </c>
      <c r="R2" s="13">
        <f t="shared" ref="R2:R65" si="0">IF(C2="","",MAX(B2+0,L2+0))</f>
        <v>46296</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311</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312</v>
      </c>
      <c r="B1" s="18" t="s">
        <v>313</v>
      </c>
      <c r="C1" s="18" t="s">
        <v>314</v>
      </c>
      <c r="D1" s="18" t="s">
        <v>315</v>
      </c>
      <c r="E1" s="18" t="s">
        <v>316</v>
      </c>
      <c r="F1" s="18" t="s">
        <v>317</v>
      </c>
      <c r="G1" s="18" t="s">
        <v>278</v>
      </c>
      <c r="H1" s="18" t="s">
        <v>318</v>
      </c>
      <c r="I1" s="18" t="s">
        <v>319</v>
      </c>
      <c r="J1" s="18" t="s">
        <v>224</v>
      </c>
      <c r="K1" s="18" t="s">
        <v>220</v>
      </c>
      <c r="L1" s="18" t="s">
        <v>320</v>
      </c>
      <c r="M1" s="18" t="s">
        <v>226</v>
      </c>
      <c r="N1" s="18" t="s">
        <v>227</v>
      </c>
      <c r="O1" s="18" t="s">
        <v>230</v>
      </c>
      <c r="P1" s="18" t="s">
        <v>231</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321</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322</v>
      </c>
      <c r="B1" s="18" t="s">
        <v>323</v>
      </c>
      <c r="C1" s="18" t="s">
        <v>324</v>
      </c>
      <c r="D1" s="18" t="s">
        <v>278</v>
      </c>
      <c r="E1" s="18" t="s">
        <v>325</v>
      </c>
      <c r="F1" s="18" t="s">
        <v>326</v>
      </c>
      <c r="G1" s="18" t="s">
        <v>327</v>
      </c>
      <c r="H1" s="18" t="s">
        <v>328</v>
      </c>
      <c r="I1" s="18" t="s">
        <v>329</v>
      </c>
      <c r="J1" s="18" t="s">
        <v>12</v>
      </c>
      <c r="K1" s="18" t="s">
        <v>224</v>
      </c>
      <c r="L1" s="18" t="s">
        <v>292</v>
      </c>
      <c r="M1" s="18" t="s">
        <v>220</v>
      </c>
      <c r="N1" s="18" t="s">
        <v>36</v>
      </c>
      <c r="O1" s="18" t="s">
        <v>330</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331</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332</v>
      </c>
      <c r="B1" s="18" t="s">
        <v>333</v>
      </c>
      <c r="C1" s="18" t="s">
        <v>334</v>
      </c>
      <c r="D1" s="18" t="s">
        <v>335</v>
      </c>
      <c r="E1" s="18" t="s">
        <v>336</v>
      </c>
      <c r="F1" s="18" t="s">
        <v>337</v>
      </c>
      <c r="G1" s="18" t="s">
        <v>338</v>
      </c>
      <c r="H1" s="18" t="s">
        <v>339</v>
      </c>
      <c r="I1" s="18" t="s">
        <v>340</v>
      </c>
      <c r="J1" s="18" t="s">
        <v>341</v>
      </c>
      <c r="K1" s="18" t="s">
        <v>342</v>
      </c>
      <c r="L1" s="18" t="s">
        <v>343</v>
      </c>
      <c r="M1" s="18" t="s">
        <v>344</v>
      </c>
      <c r="N1" s="18" t="s">
        <v>345</v>
      </c>
    </row>
    <row r="301" spans="1:1" x14ac:dyDescent="0.25">
      <c r="A301" s="3" t="s">
        <v>346</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347</v>
      </c>
      <c r="B1" s="18" t="s">
        <v>332</v>
      </c>
      <c r="C1" s="18" t="s">
        <v>279</v>
      </c>
      <c r="D1" s="18" t="s">
        <v>348</v>
      </c>
      <c r="E1" s="18" t="s">
        <v>349</v>
      </c>
      <c r="F1" s="18" t="s">
        <v>350</v>
      </c>
      <c r="G1" s="18" t="s">
        <v>351</v>
      </c>
      <c r="H1" s="18" t="s">
        <v>352</v>
      </c>
      <c r="I1" s="18" t="s">
        <v>220</v>
      </c>
      <c r="J1" s="18" t="s">
        <v>353</v>
      </c>
      <c r="K1" s="18" t="s">
        <v>226</v>
      </c>
    </row>
    <row r="2" spans="1:11" x14ac:dyDescent="0.25">
      <c r="A2" t="s">
        <v>468</v>
      </c>
      <c r="B2" s="13">
        <v>46296</v>
      </c>
      <c r="C2" t="s">
        <v>469</v>
      </c>
      <c r="D2" t="s">
        <v>471</v>
      </c>
      <c r="E2" t="s">
        <v>472</v>
      </c>
      <c r="F2" t="s">
        <v>473</v>
      </c>
      <c r="G2" t="s">
        <v>474</v>
      </c>
      <c r="H2" s="24" t="s">
        <v>475</v>
      </c>
      <c r="I2" t="s">
        <v>470</v>
      </c>
      <c r="K2" t="s">
        <v>511</v>
      </c>
    </row>
    <row r="3" spans="1:11" x14ac:dyDescent="0.25">
      <c r="A3" t="s">
        <v>468</v>
      </c>
      <c r="B3" s="13">
        <v>46296</v>
      </c>
      <c r="C3" t="s">
        <v>469</v>
      </c>
      <c r="D3" t="s">
        <v>471</v>
      </c>
      <c r="E3" t="s">
        <v>476</v>
      </c>
      <c r="F3" t="s">
        <v>477</v>
      </c>
      <c r="G3" t="s">
        <v>478</v>
      </c>
      <c r="H3" s="24" t="s">
        <v>479</v>
      </c>
      <c r="I3" t="s">
        <v>470</v>
      </c>
      <c r="J3" t="s">
        <v>266</v>
      </c>
    </row>
    <row r="4" spans="1:11" x14ac:dyDescent="0.25">
      <c r="A4" t="s">
        <v>468</v>
      </c>
      <c r="B4" s="13">
        <v>46296</v>
      </c>
      <c r="C4" t="s">
        <v>469</v>
      </c>
      <c r="D4" t="s">
        <v>471</v>
      </c>
      <c r="E4" t="s">
        <v>509</v>
      </c>
      <c r="F4" t="s">
        <v>480</v>
      </c>
      <c r="G4" t="s">
        <v>510</v>
      </c>
      <c r="H4" s="24" t="s">
        <v>481</v>
      </c>
      <c r="I4" t="s">
        <v>470</v>
      </c>
    </row>
    <row r="5" spans="1:11" x14ac:dyDescent="0.25">
      <c r="A5" t="s">
        <v>468</v>
      </c>
      <c r="B5" s="13">
        <v>46296</v>
      </c>
      <c r="C5" t="s">
        <v>469</v>
      </c>
      <c r="D5" t="s">
        <v>471</v>
      </c>
      <c r="E5" t="s">
        <v>482</v>
      </c>
      <c r="F5" t="s">
        <v>483</v>
      </c>
      <c r="G5" t="s">
        <v>474</v>
      </c>
      <c r="H5" s="24" t="s">
        <v>484</v>
      </c>
      <c r="I5" t="s">
        <v>470</v>
      </c>
    </row>
    <row r="6" spans="1:11" x14ac:dyDescent="0.25">
      <c r="A6" t="s">
        <v>468</v>
      </c>
      <c r="B6" s="13">
        <v>46296</v>
      </c>
      <c r="C6" t="s">
        <v>469</v>
      </c>
      <c r="D6" t="s">
        <v>471</v>
      </c>
      <c r="E6" t="s">
        <v>485</v>
      </c>
      <c r="F6" t="s">
        <v>486</v>
      </c>
      <c r="G6" t="s">
        <v>487</v>
      </c>
      <c r="H6" s="24" t="s">
        <v>488</v>
      </c>
      <c r="I6" t="s">
        <v>470</v>
      </c>
    </row>
    <row r="7" spans="1:11" x14ac:dyDescent="0.25">
      <c r="A7" t="s">
        <v>468</v>
      </c>
      <c r="B7" s="13">
        <v>46296</v>
      </c>
      <c r="C7" t="s">
        <v>469</v>
      </c>
      <c r="D7" t="s">
        <v>471</v>
      </c>
      <c r="E7" t="s">
        <v>485</v>
      </c>
      <c r="F7" t="s">
        <v>489</v>
      </c>
      <c r="G7" t="s">
        <v>474</v>
      </c>
      <c r="H7" s="24" t="s">
        <v>475</v>
      </c>
      <c r="I7" t="s">
        <v>470</v>
      </c>
    </row>
    <row r="8" spans="1:11" x14ac:dyDescent="0.25">
      <c r="A8" t="s">
        <v>468</v>
      </c>
      <c r="B8" s="13">
        <v>46296</v>
      </c>
      <c r="C8" t="s">
        <v>469</v>
      </c>
      <c r="D8" t="s">
        <v>471</v>
      </c>
      <c r="E8" t="s">
        <v>490</v>
      </c>
      <c r="F8" t="s">
        <v>491</v>
      </c>
      <c r="G8" t="s">
        <v>487</v>
      </c>
      <c r="H8" s="24" t="s">
        <v>492</v>
      </c>
      <c r="I8" t="s">
        <v>470</v>
      </c>
    </row>
    <row r="9" spans="1:11" x14ac:dyDescent="0.25">
      <c r="A9" t="s">
        <v>468</v>
      </c>
      <c r="B9" s="13">
        <v>46296</v>
      </c>
      <c r="C9" t="s">
        <v>469</v>
      </c>
      <c r="D9" t="s">
        <v>471</v>
      </c>
      <c r="E9" t="s">
        <v>493</v>
      </c>
      <c r="F9" t="s">
        <v>494</v>
      </c>
      <c r="G9" t="s">
        <v>495</v>
      </c>
      <c r="H9" s="24" t="s">
        <v>496</v>
      </c>
      <c r="I9" t="s">
        <v>470</v>
      </c>
    </row>
    <row r="10" spans="1:11" x14ac:dyDescent="0.25">
      <c r="A10" t="s">
        <v>468</v>
      </c>
      <c r="B10" s="13">
        <v>46296</v>
      </c>
      <c r="C10" t="s">
        <v>469</v>
      </c>
      <c r="D10" t="s">
        <v>471</v>
      </c>
      <c r="E10" t="s">
        <v>497</v>
      </c>
      <c r="F10" t="s">
        <v>498</v>
      </c>
      <c r="G10" t="s">
        <v>499</v>
      </c>
      <c r="H10" s="13">
        <v>46303</v>
      </c>
      <c r="I10" t="s">
        <v>470</v>
      </c>
    </row>
    <row r="11" spans="1:11" x14ac:dyDescent="0.25">
      <c r="A11" t="s">
        <v>468</v>
      </c>
      <c r="B11" s="13">
        <v>46296</v>
      </c>
      <c r="C11" t="s">
        <v>469</v>
      </c>
      <c r="D11" t="s">
        <v>471</v>
      </c>
      <c r="E11" t="s">
        <v>508</v>
      </c>
      <c r="F11" t="s">
        <v>500</v>
      </c>
      <c r="G11" t="s">
        <v>499</v>
      </c>
      <c r="H11" s="24" t="s">
        <v>501</v>
      </c>
      <c r="I11" t="s">
        <v>470</v>
      </c>
    </row>
    <row r="12" spans="1:11" x14ac:dyDescent="0.25">
      <c r="A12" t="s">
        <v>468</v>
      </c>
      <c r="B12" s="13">
        <v>46296</v>
      </c>
      <c r="C12" t="s">
        <v>469</v>
      </c>
      <c r="D12" t="s">
        <v>471</v>
      </c>
      <c r="E12" t="s">
        <v>502</v>
      </c>
      <c r="F12" t="s">
        <v>503</v>
      </c>
      <c r="G12" t="s">
        <v>499</v>
      </c>
      <c r="H12" s="24" t="s">
        <v>488</v>
      </c>
      <c r="I12" t="s">
        <v>470</v>
      </c>
    </row>
    <row r="13" spans="1:11" x14ac:dyDescent="0.25">
      <c r="A13" t="s">
        <v>468</v>
      </c>
      <c r="B13" s="13">
        <v>46296</v>
      </c>
      <c r="C13" t="s">
        <v>469</v>
      </c>
      <c r="D13" t="s">
        <v>471</v>
      </c>
      <c r="E13" t="s">
        <v>504</v>
      </c>
      <c r="F13" t="s">
        <v>505</v>
      </c>
      <c r="G13" t="s">
        <v>474</v>
      </c>
      <c r="H13" s="24" t="s">
        <v>506</v>
      </c>
      <c r="I13" t="s">
        <v>470</v>
      </c>
      <c r="J13" t="s">
        <v>507</v>
      </c>
    </row>
    <row r="301" spans="1:1" x14ac:dyDescent="0.25">
      <c r="A301" s="3" t="s">
        <v>354</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355</v>
      </c>
      <c r="B1" s="18" t="s">
        <v>356</v>
      </c>
      <c r="C1" s="18" t="s">
        <v>357</v>
      </c>
      <c r="D1" s="18" t="s">
        <v>358</v>
      </c>
      <c r="E1" s="18" t="s">
        <v>359</v>
      </c>
      <c r="F1" s="18" t="s">
        <v>360</v>
      </c>
      <c r="G1" s="18" t="s">
        <v>361</v>
      </c>
      <c r="H1" s="18" t="s">
        <v>362</v>
      </c>
      <c r="I1" s="18" t="s">
        <v>220</v>
      </c>
      <c r="J1" s="18" t="s">
        <v>226</v>
      </c>
    </row>
    <row r="301" spans="1:1" x14ac:dyDescent="0.25">
      <c r="A301" s="3" t="s">
        <v>363</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364</v>
      </c>
      <c r="B1" s="18" t="s">
        <v>365</v>
      </c>
      <c r="C1" s="18" t="s">
        <v>366</v>
      </c>
      <c r="D1" s="18" t="s">
        <v>367</v>
      </c>
      <c r="E1" s="18" t="s">
        <v>368</v>
      </c>
      <c r="F1" s="18" t="s">
        <v>369</v>
      </c>
      <c r="G1" s="18" t="s">
        <v>370</v>
      </c>
      <c r="H1" s="18" t="s">
        <v>220</v>
      </c>
      <c r="I1" s="18" t="s">
        <v>371</v>
      </c>
      <c r="J1" s="18" t="s">
        <v>372</v>
      </c>
      <c r="K1" s="18" t="s">
        <v>373</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374</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375</v>
      </c>
      <c r="B1" s="18" t="s">
        <v>376</v>
      </c>
      <c r="C1" s="18" t="s">
        <v>377</v>
      </c>
      <c r="D1" s="18" t="s">
        <v>220</v>
      </c>
      <c r="E1" s="18" t="s">
        <v>372</v>
      </c>
      <c r="F1" s="18" t="s">
        <v>373</v>
      </c>
    </row>
    <row r="2" spans="1:6" x14ac:dyDescent="0.25">
      <c r="D2" t="str">
        <f t="shared" ref="D2:D65" ca="1" si="0">IF(A2="","",IF(C2&lt;&gt;"",IF(C2&lt;=B2,"Met - On Time","Met - Late"),IF(TODAY()&gt;B2,"Missed",IF(B2-TODAY()&lt;=14,"Due Soon","On Track"))))</f>
        <v/>
      </c>
    </row>
    <row r="3" spans="1:6" x14ac:dyDescent="0.25">
      <c r="D3" t="str">
        <f t="shared" ca="1" si="0"/>
        <v/>
      </c>
    </row>
    <row r="4" spans="1:6" x14ac:dyDescent="0.25">
      <c r="D4" t="str">
        <f t="shared" ca="1" si="0"/>
        <v/>
      </c>
    </row>
    <row r="5" spans="1:6" x14ac:dyDescent="0.25">
      <c r="D5" t="str">
        <f t="shared" ca="1" si="0"/>
        <v/>
      </c>
    </row>
    <row r="6" spans="1:6" x14ac:dyDescent="0.25">
      <c r="D6" t="str">
        <f t="shared" ca="1" si="0"/>
        <v/>
      </c>
    </row>
    <row r="7" spans="1:6" x14ac:dyDescent="0.25">
      <c r="D7" t="str">
        <f t="shared" ca="1" si="0"/>
        <v/>
      </c>
    </row>
    <row r="8" spans="1:6" x14ac:dyDescent="0.25">
      <c r="D8" t="str">
        <f t="shared" ca="1" si="0"/>
        <v/>
      </c>
    </row>
    <row r="9" spans="1:6" x14ac:dyDescent="0.25">
      <c r="D9" t="str">
        <f t="shared" ca="1" si="0"/>
        <v/>
      </c>
    </row>
    <row r="10" spans="1:6" x14ac:dyDescent="0.25">
      <c r="D10" t="str">
        <f t="shared" ca="1" si="0"/>
        <v/>
      </c>
    </row>
    <row r="11" spans="1:6" x14ac:dyDescent="0.25">
      <c r="D11" t="str">
        <f t="shared" ca="1" si="0"/>
        <v/>
      </c>
    </row>
    <row r="12" spans="1:6" x14ac:dyDescent="0.25">
      <c r="D12" t="str">
        <f t="shared" ca="1" si="0"/>
        <v/>
      </c>
    </row>
    <row r="13" spans="1:6" x14ac:dyDescent="0.25">
      <c r="D13" t="str">
        <f t="shared" ca="1" si="0"/>
        <v/>
      </c>
    </row>
    <row r="14" spans="1:6" x14ac:dyDescent="0.25">
      <c r="D14" t="str">
        <f t="shared" ca="1" si="0"/>
        <v/>
      </c>
    </row>
    <row r="15" spans="1:6" x14ac:dyDescent="0.25">
      <c r="D15" t="str">
        <f t="shared" ca="1" si="0"/>
        <v/>
      </c>
    </row>
    <row r="16" spans="1:6" x14ac:dyDescent="0.25">
      <c r="D16" t="str">
        <f t="shared" ca="1" si="0"/>
        <v/>
      </c>
    </row>
    <row r="17" spans="4:4" x14ac:dyDescent="0.25">
      <c r="D17" t="str">
        <f t="shared" ca="1" si="0"/>
        <v/>
      </c>
    </row>
    <row r="18" spans="4:4" x14ac:dyDescent="0.25">
      <c r="D18" t="str">
        <f t="shared" ca="1" si="0"/>
        <v/>
      </c>
    </row>
    <row r="19" spans="4:4" x14ac:dyDescent="0.25">
      <c r="D19" t="str">
        <f t="shared" ca="1" si="0"/>
        <v/>
      </c>
    </row>
    <row r="20" spans="4:4" x14ac:dyDescent="0.25">
      <c r="D20" t="str">
        <f t="shared" ca="1" si="0"/>
        <v/>
      </c>
    </row>
    <row r="21" spans="4:4" x14ac:dyDescent="0.25">
      <c r="D21" t="str">
        <f t="shared" ca="1" si="0"/>
        <v/>
      </c>
    </row>
    <row r="22" spans="4:4" x14ac:dyDescent="0.25">
      <c r="D22" t="str">
        <f t="shared" ca="1" si="0"/>
        <v/>
      </c>
    </row>
    <row r="23" spans="4:4" x14ac:dyDescent="0.25">
      <c r="D23" t="str">
        <f t="shared" ca="1" si="0"/>
        <v/>
      </c>
    </row>
    <row r="24" spans="4:4" x14ac:dyDescent="0.25">
      <c r="D24" t="str">
        <f t="shared" ca="1" si="0"/>
        <v/>
      </c>
    </row>
    <row r="25" spans="4:4" x14ac:dyDescent="0.25">
      <c r="D25" t="str">
        <f t="shared" ca="1" si="0"/>
        <v/>
      </c>
    </row>
    <row r="26" spans="4:4" x14ac:dyDescent="0.25">
      <c r="D26" t="str">
        <f t="shared" ca="1" si="0"/>
        <v/>
      </c>
    </row>
    <row r="27" spans="4:4" x14ac:dyDescent="0.25">
      <c r="D27" t="str">
        <f t="shared" ca="1" si="0"/>
        <v/>
      </c>
    </row>
    <row r="28" spans="4:4" x14ac:dyDescent="0.25">
      <c r="D28" t="str">
        <f t="shared" ca="1" si="0"/>
        <v/>
      </c>
    </row>
    <row r="29" spans="4:4" x14ac:dyDescent="0.25">
      <c r="D29" t="str">
        <f t="shared" ca="1" si="0"/>
        <v/>
      </c>
    </row>
    <row r="30" spans="4:4" x14ac:dyDescent="0.25">
      <c r="D30" t="str">
        <f t="shared" ca="1" si="0"/>
        <v/>
      </c>
    </row>
    <row r="31" spans="4:4" x14ac:dyDescent="0.25">
      <c r="D31" t="str">
        <f t="shared" ca="1" si="0"/>
        <v/>
      </c>
    </row>
    <row r="32" spans="4:4"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ca="1" si="0"/>
        <v/>
      </c>
    </row>
    <row r="66" spans="4:4" x14ac:dyDescent="0.25">
      <c r="D66" t="str">
        <f t="shared" ref="D66:D129" ca="1" si="1">IF(A66="","",IF(C66&lt;&gt;"",IF(C66&lt;=B66,"Met - On Time","Met - Late"),IF(TODAY()&gt;B66,"Missed",IF(B66-TODAY()&lt;=14,"Due Soon","On Track"))))</f>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ca="1" si="1"/>
        <v/>
      </c>
    </row>
    <row r="130" spans="4:4" x14ac:dyDescent="0.25">
      <c r="D130" t="str">
        <f t="shared" ref="D130:D193" ca="1" si="2">IF(A130="","",IF(C130&lt;&gt;"",IF(C130&lt;=B130,"Met - On Time","Met - Late"),IF(TODAY()&gt;B130,"Missed",IF(B130-TODAY()&lt;=14,"Due Soon","On Track"))))</f>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ca="1" si="2"/>
        <v/>
      </c>
    </row>
    <row r="194" spans="4:4" x14ac:dyDescent="0.25">
      <c r="D194" t="str">
        <f t="shared" ref="D194:D257" ca="1" si="3">IF(A194="","",IF(C194&lt;&gt;"",IF(C194&lt;=B194,"Met - On Time","Met - Late"),IF(TODAY()&gt;B194,"Missed",IF(B194-TODAY()&lt;=14,"Due Soon","On Track"))))</f>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ca="1" si="3"/>
        <v/>
      </c>
    </row>
    <row r="258" spans="4:4" x14ac:dyDescent="0.25">
      <c r="D258" t="str">
        <f t="shared" ref="D258:D295" ca="1" si="4">IF(A258="","",IF(C258&lt;&gt;"",IF(C258&lt;=B258,"Met - On Time","Met - Late"),IF(TODAY()&gt;B258,"Missed",IF(B258-TODAY()&lt;=14,"Due Soon","On Track"))))</f>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5" spans="1:4" x14ac:dyDescent="0.25">
      <c r="D295" t="str">
        <f t="shared" ca="1" si="4"/>
        <v/>
      </c>
    </row>
    <row r="298" spans="1:4" x14ac:dyDescent="0.25">
      <c r="A298" s="3" t="s">
        <v>378</v>
      </c>
    </row>
  </sheetData>
  <conditionalFormatting sqref="D2:D296">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379</v>
      </c>
      <c r="B1" s="18" t="s">
        <v>380</v>
      </c>
      <c r="C1" s="18" t="s">
        <v>381</v>
      </c>
      <c r="D1" s="18" t="s">
        <v>382</v>
      </c>
      <c r="E1" s="18" t="s">
        <v>383</v>
      </c>
      <c r="F1" s="18" t="s">
        <v>384</v>
      </c>
      <c r="G1" s="18" t="s">
        <v>220</v>
      </c>
      <c r="H1" s="18" t="s">
        <v>373</v>
      </c>
    </row>
    <row r="298" spans="1:1" x14ac:dyDescent="0.25">
      <c r="A298" s="3" t="s">
        <v>385</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386</v>
      </c>
      <c r="B1" s="18" t="s">
        <v>387</v>
      </c>
      <c r="C1" s="18" t="s">
        <v>388</v>
      </c>
      <c r="D1" s="18" t="s">
        <v>278</v>
      </c>
      <c r="E1" s="18" t="s">
        <v>389</v>
      </c>
      <c r="F1" s="18" t="s">
        <v>353</v>
      </c>
      <c r="G1" s="18" t="s">
        <v>390</v>
      </c>
      <c r="H1" s="18" t="s">
        <v>391</v>
      </c>
    </row>
    <row r="301" spans="1:1" x14ac:dyDescent="0.25">
      <c r="A301" s="3" t="s">
        <v>392</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393</v>
      </c>
      <c r="C2" t="str">
        <f>IF('Project Info'!C5="","",'Project Info'!C5)</f>
        <v>Norcross, GA</v>
      </c>
      <c r="P2" s="4" t="s">
        <v>394</v>
      </c>
      <c r="Q2">
        <f>SUMPRODUCT((A6:A303&lt;&gt;"")*1)</f>
        <v>0</v>
      </c>
      <c r="R2" s="4" t="s">
        <v>395</v>
      </c>
      <c r="S2">
        <f>COUNTIF(E6:E303,"In Hand")</f>
        <v>0</v>
      </c>
    </row>
    <row r="3" spans="1:19" x14ac:dyDescent="0.25">
      <c r="B3" s="12" t="s">
        <v>396</v>
      </c>
      <c r="C3" t="str">
        <f>IF('Project Info'!C9="","",'Project Info'!C9)</f>
        <v>Gwinnett County, GA; Norcross, GA</v>
      </c>
      <c r="P3" s="4" t="s">
        <v>397</v>
      </c>
      <c r="Q3">
        <f ca="1">COUNTIF(J6:J303,"ACTION NEEDED")</f>
        <v>0</v>
      </c>
      <c r="R3" s="4" t="s">
        <v>398</v>
      </c>
      <c r="S3">
        <f ca="1">COUNTIF(J6:J303,"EXPIRING SOON")</f>
        <v>0</v>
      </c>
    </row>
    <row r="5" spans="1:19" ht="31.5" customHeight="1" x14ac:dyDescent="0.25">
      <c r="A5" s="18" t="s">
        <v>399</v>
      </c>
      <c r="B5" s="18" t="s">
        <v>400</v>
      </c>
      <c r="C5" s="18" t="s">
        <v>351</v>
      </c>
      <c r="D5" s="18" t="s">
        <v>401</v>
      </c>
      <c r="E5" s="18" t="s">
        <v>220</v>
      </c>
      <c r="F5" s="18" t="s">
        <v>402</v>
      </c>
      <c r="G5" s="18" t="s">
        <v>403</v>
      </c>
      <c r="H5" s="18" t="s">
        <v>404</v>
      </c>
      <c r="I5" s="18" t="s">
        <v>405</v>
      </c>
      <c r="J5" s="18" t="s">
        <v>406</v>
      </c>
      <c r="K5" s="18" t="s">
        <v>226</v>
      </c>
      <c r="L5" s="18" t="s">
        <v>227</v>
      </c>
      <c r="M5" s="18" t="s">
        <v>230</v>
      </c>
      <c r="N5" s="18" t="s">
        <v>231</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407</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393</v>
      </c>
      <c r="C2" t="str">
        <f>IF('Project Info'!C5="","",'Project Info'!C5)</f>
        <v>Norcross, GA</v>
      </c>
      <c r="U2" s="4" t="s">
        <v>408</v>
      </c>
      <c r="V2">
        <f>SUMPRODUCT((A6:A303&lt;&gt;"")*1)</f>
        <v>0</v>
      </c>
      <c r="W2" s="4" t="s">
        <v>409</v>
      </c>
      <c r="X2">
        <f ca="1">COUNTIF(M6:M303,"OVERDUE")</f>
        <v>0</v>
      </c>
    </row>
    <row r="3" spans="1:24" x14ac:dyDescent="0.25">
      <c r="B3" s="12" t="s">
        <v>410</v>
      </c>
      <c r="C3" t="str">
        <f>IF('Project Info'!C7="","",'Project Info'!C7)</f>
        <v>15170000GR</v>
      </c>
      <c r="U3" s="4" t="s">
        <v>411</v>
      </c>
      <c r="V3">
        <f>COUNTIF(F6:F303,"Not Ordered")</f>
        <v>0</v>
      </c>
      <c r="W3" s="4" t="s">
        <v>412</v>
      </c>
      <c r="X3">
        <f>COUNTIF(F6:F303,"Received")</f>
        <v>0</v>
      </c>
    </row>
    <row r="5" spans="1:24" ht="31.5" customHeight="1" x14ac:dyDescent="0.25">
      <c r="A5" s="18" t="s">
        <v>413</v>
      </c>
      <c r="B5" s="18" t="s">
        <v>414</v>
      </c>
      <c r="C5" s="18" t="s">
        <v>278</v>
      </c>
      <c r="D5" s="18" t="s">
        <v>415</v>
      </c>
      <c r="E5" s="18" t="s">
        <v>328</v>
      </c>
      <c r="F5" s="18" t="s">
        <v>416</v>
      </c>
      <c r="G5" s="18" t="s">
        <v>417</v>
      </c>
      <c r="H5" s="18" t="s">
        <v>418</v>
      </c>
      <c r="I5" s="18" t="s">
        <v>419</v>
      </c>
      <c r="J5" s="18" t="s">
        <v>420</v>
      </c>
      <c r="K5" s="18" t="s">
        <v>225</v>
      </c>
      <c r="L5" s="18" t="s">
        <v>405</v>
      </c>
      <c r="M5" s="18" t="s">
        <v>406</v>
      </c>
      <c r="N5" s="18" t="s">
        <v>226</v>
      </c>
      <c r="O5" s="18" t="s">
        <v>227</v>
      </c>
      <c r="P5" s="18" t="s">
        <v>421</v>
      </c>
      <c r="Q5" s="18" t="s">
        <v>422</v>
      </c>
      <c r="R5" s="18" t="s">
        <v>230</v>
      </c>
      <c r="S5" s="18" t="s">
        <v>231</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423</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393</v>
      </c>
      <c r="C2" t="str">
        <f>IF('Project Info'!C5="","",'Project Info'!C5)</f>
        <v>Norcross, GA</v>
      </c>
    </row>
    <row r="4" spans="1:13" ht="31.5" customHeight="1" x14ac:dyDescent="0.25">
      <c r="A4" s="18" t="s">
        <v>424</v>
      </c>
      <c r="B4" s="18" t="s">
        <v>425</v>
      </c>
      <c r="C4" s="18" t="s">
        <v>426</v>
      </c>
      <c r="D4" s="18" t="s">
        <v>427</v>
      </c>
      <c r="E4" s="18" t="s">
        <v>428</v>
      </c>
      <c r="F4" s="18" t="s">
        <v>429</v>
      </c>
      <c r="G4" s="18" t="s">
        <v>430</v>
      </c>
      <c r="H4" s="18" t="s">
        <v>431</v>
      </c>
      <c r="I4" s="18" t="s">
        <v>432</v>
      </c>
      <c r="J4" s="18" t="s">
        <v>433</v>
      </c>
      <c r="K4" s="18" t="s">
        <v>434</v>
      </c>
      <c r="L4" s="18" t="s">
        <v>220</v>
      </c>
      <c r="M4" s="18" t="s">
        <v>226</v>
      </c>
    </row>
    <row r="5" spans="1:13" x14ac:dyDescent="0.25">
      <c r="A5" t="s">
        <v>597</v>
      </c>
      <c r="B5" t="s">
        <v>598</v>
      </c>
      <c r="C5" t="s">
        <v>599</v>
      </c>
      <c r="D5" t="s">
        <v>600</v>
      </c>
      <c r="E5" t="s">
        <v>601</v>
      </c>
      <c r="J5">
        <v>1</v>
      </c>
      <c r="K5" s="25">
        <v>46036</v>
      </c>
      <c r="L5" t="s">
        <v>577</v>
      </c>
      <c r="M5" t="s">
        <v>602</v>
      </c>
    </row>
    <row r="6" spans="1:13" x14ac:dyDescent="0.25">
      <c r="A6" t="s">
        <v>603</v>
      </c>
      <c r="B6" t="s">
        <v>604</v>
      </c>
      <c r="C6" t="s">
        <v>599</v>
      </c>
      <c r="D6" t="s">
        <v>600</v>
      </c>
      <c r="E6" t="s">
        <v>605</v>
      </c>
      <c r="J6">
        <v>1</v>
      </c>
      <c r="K6" s="25">
        <v>46036</v>
      </c>
      <c r="L6" t="s">
        <v>577</v>
      </c>
      <c r="M6" t="s">
        <v>602</v>
      </c>
    </row>
    <row r="7" spans="1:13" x14ac:dyDescent="0.25">
      <c r="A7" t="s">
        <v>606</v>
      </c>
      <c r="B7" t="s">
        <v>607</v>
      </c>
      <c r="C7" t="s">
        <v>599</v>
      </c>
      <c r="D7" t="s">
        <v>600</v>
      </c>
      <c r="J7">
        <v>0</v>
      </c>
      <c r="K7" s="25">
        <v>46008</v>
      </c>
      <c r="L7" t="s">
        <v>577</v>
      </c>
      <c r="M7" t="s">
        <v>608</v>
      </c>
    </row>
    <row r="8" spans="1:13" x14ac:dyDescent="0.25">
      <c r="A8" t="s">
        <v>609</v>
      </c>
      <c r="B8" t="s">
        <v>610</v>
      </c>
      <c r="C8" t="s">
        <v>599</v>
      </c>
      <c r="D8" t="s">
        <v>600</v>
      </c>
      <c r="E8" t="s">
        <v>611</v>
      </c>
      <c r="J8">
        <v>1</v>
      </c>
      <c r="K8" s="25">
        <v>46170</v>
      </c>
      <c r="L8" t="s">
        <v>577</v>
      </c>
      <c r="M8" t="s">
        <v>602</v>
      </c>
    </row>
    <row r="9" spans="1:13" x14ac:dyDescent="0.25">
      <c r="A9" t="s">
        <v>612</v>
      </c>
      <c r="B9" t="s">
        <v>613</v>
      </c>
      <c r="C9" t="s">
        <v>599</v>
      </c>
      <c r="D9" t="s">
        <v>600</v>
      </c>
      <c r="E9" t="s">
        <v>574</v>
      </c>
      <c r="F9" t="s">
        <v>614</v>
      </c>
      <c r="J9">
        <v>2</v>
      </c>
      <c r="K9" s="25">
        <v>46170</v>
      </c>
      <c r="L9" t="s">
        <v>577</v>
      </c>
      <c r="M9" t="s">
        <v>602</v>
      </c>
    </row>
    <row r="10" spans="1:13" x14ac:dyDescent="0.25">
      <c r="A10" t="s">
        <v>615</v>
      </c>
      <c r="B10" t="s">
        <v>616</v>
      </c>
      <c r="C10" t="s">
        <v>599</v>
      </c>
      <c r="D10" t="s">
        <v>617</v>
      </c>
      <c r="J10">
        <v>0</v>
      </c>
      <c r="K10" s="25">
        <v>45968</v>
      </c>
      <c r="L10" t="s">
        <v>577</v>
      </c>
      <c r="M10" t="s">
        <v>608</v>
      </c>
    </row>
    <row r="11" spans="1:13" x14ac:dyDescent="0.25">
      <c r="A11" t="s">
        <v>618</v>
      </c>
      <c r="B11" t="s">
        <v>619</v>
      </c>
      <c r="C11" t="s">
        <v>599</v>
      </c>
      <c r="D11" t="s">
        <v>617</v>
      </c>
      <c r="J11">
        <v>0</v>
      </c>
      <c r="K11" s="25">
        <v>45968</v>
      </c>
      <c r="L11" t="s">
        <v>577</v>
      </c>
      <c r="M11" t="s">
        <v>608</v>
      </c>
    </row>
    <row r="12" spans="1:13" x14ac:dyDescent="0.25">
      <c r="A12" t="s">
        <v>620</v>
      </c>
      <c r="B12" t="s">
        <v>621</v>
      </c>
      <c r="C12" t="s">
        <v>599</v>
      </c>
      <c r="D12" t="s">
        <v>617</v>
      </c>
      <c r="J12">
        <v>0</v>
      </c>
      <c r="K12" s="25">
        <v>45968</v>
      </c>
      <c r="L12" t="s">
        <v>577</v>
      </c>
      <c r="M12" t="s">
        <v>608</v>
      </c>
    </row>
    <row r="13" spans="1:13" x14ac:dyDescent="0.25">
      <c r="A13" t="s">
        <v>622</v>
      </c>
      <c r="B13" t="s">
        <v>623</v>
      </c>
      <c r="C13" t="s">
        <v>599</v>
      </c>
      <c r="D13" t="s">
        <v>600</v>
      </c>
      <c r="J13">
        <v>0</v>
      </c>
      <c r="K13" s="25">
        <v>46008</v>
      </c>
      <c r="L13" t="s">
        <v>577</v>
      </c>
      <c r="M13" t="s">
        <v>608</v>
      </c>
    </row>
    <row r="14" spans="1:13" x14ac:dyDescent="0.25">
      <c r="A14" t="s">
        <v>624</v>
      </c>
      <c r="B14" t="s">
        <v>625</v>
      </c>
      <c r="C14" t="s">
        <v>599</v>
      </c>
      <c r="D14" t="s">
        <v>617</v>
      </c>
      <c r="J14">
        <v>0</v>
      </c>
      <c r="K14" s="25">
        <v>45968</v>
      </c>
      <c r="L14" t="s">
        <v>577</v>
      </c>
      <c r="M14" t="s">
        <v>608</v>
      </c>
    </row>
    <row r="15" spans="1:13" x14ac:dyDescent="0.25">
      <c r="A15" t="s">
        <v>626</v>
      </c>
      <c r="B15" t="s">
        <v>627</v>
      </c>
      <c r="C15" t="s">
        <v>628</v>
      </c>
      <c r="D15" t="s">
        <v>617</v>
      </c>
      <c r="E15" t="s">
        <v>574</v>
      </c>
      <c r="F15" t="s">
        <v>629</v>
      </c>
      <c r="J15">
        <v>2</v>
      </c>
      <c r="K15" s="25">
        <v>46170</v>
      </c>
      <c r="L15" t="s">
        <v>577</v>
      </c>
      <c r="M15" t="s">
        <v>630</v>
      </c>
    </row>
    <row r="16" spans="1:13" x14ac:dyDescent="0.25">
      <c r="A16" t="s">
        <v>631</v>
      </c>
      <c r="B16" t="s">
        <v>632</v>
      </c>
      <c r="C16" t="s">
        <v>628</v>
      </c>
      <c r="D16" t="s">
        <v>617</v>
      </c>
      <c r="E16" t="s">
        <v>574</v>
      </c>
      <c r="F16" t="s">
        <v>633</v>
      </c>
      <c r="J16">
        <v>2</v>
      </c>
      <c r="K16" s="25">
        <v>46170</v>
      </c>
      <c r="L16" t="s">
        <v>577</v>
      </c>
      <c r="M16" t="s">
        <v>630</v>
      </c>
    </row>
    <row r="17" spans="1:13" x14ac:dyDescent="0.25">
      <c r="A17" t="s">
        <v>634</v>
      </c>
      <c r="B17" t="s">
        <v>635</v>
      </c>
      <c r="C17" t="s">
        <v>628</v>
      </c>
      <c r="D17" t="s">
        <v>600</v>
      </c>
      <c r="J17">
        <v>0</v>
      </c>
      <c r="K17" s="25">
        <v>46008</v>
      </c>
      <c r="L17" t="s">
        <v>577</v>
      </c>
      <c r="M17" t="s">
        <v>636</v>
      </c>
    </row>
    <row r="18" spans="1:13" x14ac:dyDescent="0.25">
      <c r="A18" t="s">
        <v>637</v>
      </c>
      <c r="B18" t="s">
        <v>638</v>
      </c>
      <c r="C18" t="s">
        <v>628</v>
      </c>
      <c r="D18" t="s">
        <v>600</v>
      </c>
      <c r="J18">
        <v>0</v>
      </c>
      <c r="K18" s="25">
        <v>46008</v>
      </c>
      <c r="L18" t="s">
        <v>577</v>
      </c>
      <c r="M18" t="s">
        <v>636</v>
      </c>
    </row>
    <row r="19" spans="1:13" x14ac:dyDescent="0.25">
      <c r="A19" t="s">
        <v>639</v>
      </c>
      <c r="B19" t="s">
        <v>640</v>
      </c>
      <c r="C19" t="s">
        <v>628</v>
      </c>
      <c r="D19" t="s">
        <v>600</v>
      </c>
      <c r="E19" t="s">
        <v>574</v>
      </c>
      <c r="F19" t="s">
        <v>641</v>
      </c>
      <c r="J19">
        <v>2</v>
      </c>
      <c r="K19" s="25">
        <v>46170</v>
      </c>
      <c r="L19" t="s">
        <v>577</v>
      </c>
      <c r="M19" t="s">
        <v>630</v>
      </c>
    </row>
    <row r="20" spans="1:13" x14ac:dyDescent="0.25">
      <c r="A20" t="s">
        <v>642</v>
      </c>
      <c r="B20" t="s">
        <v>643</v>
      </c>
      <c r="C20" t="s">
        <v>628</v>
      </c>
      <c r="D20" t="s">
        <v>600</v>
      </c>
      <c r="E20" t="s">
        <v>644</v>
      </c>
      <c r="J20">
        <v>1</v>
      </c>
      <c r="K20" s="25">
        <v>46170</v>
      </c>
      <c r="L20" t="s">
        <v>577</v>
      </c>
      <c r="M20" t="s">
        <v>630</v>
      </c>
    </row>
    <row r="21" spans="1:13" x14ac:dyDescent="0.25">
      <c r="A21" t="s">
        <v>645</v>
      </c>
      <c r="B21" t="s">
        <v>646</v>
      </c>
      <c r="C21" t="s">
        <v>628</v>
      </c>
      <c r="D21" t="s">
        <v>617</v>
      </c>
      <c r="E21" t="s">
        <v>647</v>
      </c>
      <c r="J21">
        <v>1</v>
      </c>
      <c r="K21" s="25">
        <v>46170</v>
      </c>
      <c r="L21" t="s">
        <v>577</v>
      </c>
      <c r="M21" t="s">
        <v>630</v>
      </c>
    </row>
    <row r="22" spans="1:13" x14ac:dyDescent="0.25">
      <c r="A22" t="s">
        <v>648</v>
      </c>
      <c r="B22" t="s">
        <v>646</v>
      </c>
      <c r="C22" t="s">
        <v>628</v>
      </c>
      <c r="D22" t="s">
        <v>617</v>
      </c>
      <c r="E22" t="s">
        <v>649</v>
      </c>
      <c r="J22">
        <v>1</v>
      </c>
      <c r="K22" s="25">
        <v>46170</v>
      </c>
      <c r="L22" t="s">
        <v>577</v>
      </c>
      <c r="M22" t="s">
        <v>630</v>
      </c>
    </row>
    <row r="23" spans="1:13" x14ac:dyDescent="0.25">
      <c r="A23" t="s">
        <v>650</v>
      </c>
      <c r="B23" t="s">
        <v>651</v>
      </c>
      <c r="C23" t="s">
        <v>628</v>
      </c>
      <c r="D23" t="s">
        <v>617</v>
      </c>
      <c r="E23" t="s">
        <v>652</v>
      </c>
      <c r="J23">
        <v>1</v>
      </c>
      <c r="K23" s="25">
        <v>46170</v>
      </c>
      <c r="L23" t="s">
        <v>577</v>
      </c>
      <c r="M23" t="s">
        <v>630</v>
      </c>
    </row>
    <row r="24" spans="1:13" x14ac:dyDescent="0.25">
      <c r="A24" t="s">
        <v>653</v>
      </c>
      <c r="B24" t="s">
        <v>651</v>
      </c>
      <c r="C24" t="s">
        <v>628</v>
      </c>
      <c r="D24" t="s">
        <v>617</v>
      </c>
      <c r="J24">
        <v>0</v>
      </c>
      <c r="K24" s="25">
        <v>45968</v>
      </c>
      <c r="L24" t="s">
        <v>577</v>
      </c>
      <c r="M24" t="s">
        <v>636</v>
      </c>
    </row>
    <row r="25" spans="1:13" x14ac:dyDescent="0.25">
      <c r="A25" t="s">
        <v>654</v>
      </c>
      <c r="B25" t="s">
        <v>651</v>
      </c>
      <c r="C25" t="s">
        <v>628</v>
      </c>
      <c r="D25" t="s">
        <v>617</v>
      </c>
      <c r="J25">
        <v>0</v>
      </c>
      <c r="K25" s="25">
        <v>45968</v>
      </c>
      <c r="L25" t="s">
        <v>577</v>
      </c>
      <c r="M25" t="s">
        <v>636</v>
      </c>
    </row>
    <row r="26" spans="1:13" x14ac:dyDescent="0.25">
      <c r="A26" t="s">
        <v>655</v>
      </c>
      <c r="B26" t="s">
        <v>651</v>
      </c>
      <c r="C26" t="s">
        <v>628</v>
      </c>
      <c r="D26" t="s">
        <v>617</v>
      </c>
      <c r="J26">
        <v>0</v>
      </c>
      <c r="K26" s="25">
        <v>45968</v>
      </c>
      <c r="L26" t="s">
        <v>577</v>
      </c>
      <c r="M26" t="s">
        <v>636</v>
      </c>
    </row>
    <row r="27" spans="1:13" x14ac:dyDescent="0.25">
      <c r="A27" t="s">
        <v>656</v>
      </c>
      <c r="B27" t="s">
        <v>651</v>
      </c>
      <c r="C27" t="s">
        <v>628</v>
      </c>
      <c r="D27" t="s">
        <v>617</v>
      </c>
      <c r="J27">
        <v>0</v>
      </c>
      <c r="K27" s="25">
        <v>45968</v>
      </c>
      <c r="L27" t="s">
        <v>577</v>
      </c>
      <c r="M27" t="s">
        <v>636</v>
      </c>
    </row>
    <row r="28" spans="1:13" x14ac:dyDescent="0.25">
      <c r="A28" t="s">
        <v>657</v>
      </c>
      <c r="B28" t="s">
        <v>658</v>
      </c>
      <c r="C28" t="s">
        <v>628</v>
      </c>
      <c r="D28" t="s">
        <v>600</v>
      </c>
      <c r="E28" t="s">
        <v>659</v>
      </c>
      <c r="J28">
        <v>1</v>
      </c>
      <c r="K28" s="25">
        <v>46170</v>
      </c>
      <c r="L28" t="s">
        <v>577</v>
      </c>
      <c r="M28" t="s">
        <v>630</v>
      </c>
    </row>
    <row r="29" spans="1:13" x14ac:dyDescent="0.25">
      <c r="A29" t="s">
        <v>660</v>
      </c>
      <c r="B29" t="s">
        <v>658</v>
      </c>
      <c r="C29" t="s">
        <v>628</v>
      </c>
      <c r="D29" t="s">
        <v>600</v>
      </c>
      <c r="E29" t="s">
        <v>661</v>
      </c>
      <c r="J29">
        <v>1</v>
      </c>
      <c r="K29" s="25">
        <v>46036</v>
      </c>
      <c r="L29" t="s">
        <v>577</v>
      </c>
      <c r="M29" t="s">
        <v>630</v>
      </c>
    </row>
    <row r="30" spans="1:13" x14ac:dyDescent="0.25">
      <c r="A30" t="s">
        <v>662</v>
      </c>
      <c r="B30" t="s">
        <v>663</v>
      </c>
      <c r="C30" t="s">
        <v>628</v>
      </c>
      <c r="D30" t="s">
        <v>617</v>
      </c>
      <c r="J30">
        <v>0</v>
      </c>
      <c r="K30" s="25">
        <v>45968</v>
      </c>
      <c r="L30" t="s">
        <v>577</v>
      </c>
      <c r="M30" t="s">
        <v>636</v>
      </c>
    </row>
    <row r="31" spans="1:13" x14ac:dyDescent="0.25">
      <c r="A31" t="s">
        <v>664</v>
      </c>
      <c r="B31" t="s">
        <v>663</v>
      </c>
      <c r="C31" t="s">
        <v>628</v>
      </c>
      <c r="D31" t="s">
        <v>617</v>
      </c>
      <c r="E31" t="s">
        <v>665</v>
      </c>
      <c r="J31">
        <v>1</v>
      </c>
      <c r="K31" s="25">
        <v>46170</v>
      </c>
      <c r="L31" t="s">
        <v>577</v>
      </c>
      <c r="M31" t="s">
        <v>630</v>
      </c>
    </row>
    <row r="32" spans="1:13" x14ac:dyDescent="0.25">
      <c r="A32" t="s">
        <v>666</v>
      </c>
      <c r="B32" t="s">
        <v>663</v>
      </c>
      <c r="C32" t="s">
        <v>628</v>
      </c>
      <c r="D32" t="s">
        <v>617</v>
      </c>
      <c r="E32" t="s">
        <v>667</v>
      </c>
      <c r="J32">
        <v>1</v>
      </c>
      <c r="K32" s="25">
        <v>46170</v>
      </c>
      <c r="L32" t="s">
        <v>577</v>
      </c>
      <c r="M32" t="s">
        <v>630</v>
      </c>
    </row>
    <row r="33" spans="1:13" x14ac:dyDescent="0.25">
      <c r="A33" t="s">
        <v>668</v>
      </c>
      <c r="B33" t="s">
        <v>669</v>
      </c>
      <c r="C33" t="s">
        <v>628</v>
      </c>
      <c r="D33" t="s">
        <v>670</v>
      </c>
      <c r="E33" t="s">
        <v>671</v>
      </c>
      <c r="J33">
        <v>0</v>
      </c>
      <c r="K33" s="25">
        <v>45908</v>
      </c>
      <c r="L33" t="s">
        <v>672</v>
      </c>
      <c r="M33" t="s">
        <v>673</v>
      </c>
    </row>
    <row r="34" spans="1:13" x14ac:dyDescent="0.25">
      <c r="A34" t="s">
        <v>674</v>
      </c>
      <c r="B34" t="s">
        <v>675</v>
      </c>
      <c r="C34" t="s">
        <v>628</v>
      </c>
      <c r="D34" t="s">
        <v>600</v>
      </c>
      <c r="J34">
        <v>0</v>
      </c>
      <c r="K34" s="25">
        <v>46008</v>
      </c>
      <c r="L34" t="s">
        <v>577</v>
      </c>
      <c r="M34" t="s">
        <v>636</v>
      </c>
    </row>
    <row r="35" spans="1:13" x14ac:dyDescent="0.25">
      <c r="A35" t="s">
        <v>676</v>
      </c>
      <c r="B35" t="s">
        <v>675</v>
      </c>
      <c r="C35" t="s">
        <v>628</v>
      </c>
      <c r="D35" t="s">
        <v>617</v>
      </c>
      <c r="J35">
        <v>0</v>
      </c>
      <c r="K35" s="25">
        <v>45968</v>
      </c>
      <c r="L35" t="s">
        <v>577</v>
      </c>
      <c r="M35" t="s">
        <v>636</v>
      </c>
    </row>
    <row r="36" spans="1:13" x14ac:dyDescent="0.25">
      <c r="A36" t="s">
        <v>677</v>
      </c>
      <c r="B36" t="s">
        <v>678</v>
      </c>
      <c r="C36" t="s">
        <v>628</v>
      </c>
      <c r="D36" t="s">
        <v>617</v>
      </c>
      <c r="J36">
        <v>0</v>
      </c>
      <c r="K36" s="25">
        <v>45968</v>
      </c>
      <c r="L36" t="s">
        <v>577</v>
      </c>
      <c r="M36" t="s">
        <v>636</v>
      </c>
    </row>
    <row r="37" spans="1:13" x14ac:dyDescent="0.25">
      <c r="A37" t="s">
        <v>679</v>
      </c>
      <c r="B37" t="s">
        <v>680</v>
      </c>
      <c r="C37" t="s">
        <v>628</v>
      </c>
      <c r="D37" t="s">
        <v>617</v>
      </c>
      <c r="J37">
        <v>0</v>
      </c>
      <c r="K37" s="25">
        <v>45968</v>
      </c>
      <c r="L37" t="s">
        <v>577</v>
      </c>
      <c r="M37" t="s">
        <v>636</v>
      </c>
    </row>
    <row r="38" spans="1:13" x14ac:dyDescent="0.25">
      <c r="A38" t="s">
        <v>681</v>
      </c>
      <c r="B38" t="s">
        <v>682</v>
      </c>
      <c r="C38" t="s">
        <v>628</v>
      </c>
      <c r="D38" t="s">
        <v>617</v>
      </c>
      <c r="J38">
        <v>0</v>
      </c>
      <c r="K38" s="25">
        <v>45968</v>
      </c>
      <c r="L38" t="s">
        <v>577</v>
      </c>
      <c r="M38" t="s">
        <v>636</v>
      </c>
    </row>
    <row r="39" spans="1:13" x14ac:dyDescent="0.25">
      <c r="A39" t="s">
        <v>683</v>
      </c>
      <c r="B39" t="s">
        <v>682</v>
      </c>
      <c r="C39" t="s">
        <v>628</v>
      </c>
      <c r="D39" t="s">
        <v>617</v>
      </c>
      <c r="J39">
        <v>0</v>
      </c>
      <c r="K39" s="25">
        <v>45968</v>
      </c>
      <c r="L39" t="s">
        <v>577</v>
      </c>
      <c r="M39" t="s">
        <v>636</v>
      </c>
    </row>
    <row r="40" spans="1:13" x14ac:dyDescent="0.25">
      <c r="A40" t="s">
        <v>684</v>
      </c>
      <c r="B40" t="s">
        <v>682</v>
      </c>
      <c r="C40" t="s">
        <v>628</v>
      </c>
      <c r="D40" t="s">
        <v>617</v>
      </c>
      <c r="J40">
        <v>0</v>
      </c>
      <c r="K40" s="25">
        <v>45968</v>
      </c>
      <c r="L40" t="s">
        <v>577</v>
      </c>
      <c r="M40" t="s">
        <v>636</v>
      </c>
    </row>
    <row r="41" spans="1:13" x14ac:dyDescent="0.25">
      <c r="A41" t="s">
        <v>685</v>
      </c>
      <c r="B41" t="s">
        <v>682</v>
      </c>
      <c r="C41" t="s">
        <v>628</v>
      </c>
      <c r="D41" t="s">
        <v>617</v>
      </c>
      <c r="J41">
        <v>0</v>
      </c>
      <c r="K41" s="25">
        <v>45968</v>
      </c>
      <c r="L41" t="s">
        <v>577</v>
      </c>
      <c r="M41" t="s">
        <v>636</v>
      </c>
    </row>
    <row r="42" spans="1:13" x14ac:dyDescent="0.25">
      <c r="A42" t="s">
        <v>686</v>
      </c>
      <c r="B42" t="s">
        <v>687</v>
      </c>
      <c r="C42" t="s">
        <v>628</v>
      </c>
      <c r="D42" t="s">
        <v>617</v>
      </c>
      <c r="J42">
        <v>0</v>
      </c>
      <c r="K42" s="25">
        <v>45968</v>
      </c>
      <c r="L42" t="s">
        <v>577</v>
      </c>
      <c r="M42" t="s">
        <v>636</v>
      </c>
    </row>
    <row r="43" spans="1:13" x14ac:dyDescent="0.25">
      <c r="A43" t="s">
        <v>688</v>
      </c>
      <c r="B43" t="s">
        <v>689</v>
      </c>
      <c r="C43" t="s">
        <v>628</v>
      </c>
      <c r="D43" t="s">
        <v>617</v>
      </c>
      <c r="J43">
        <v>0</v>
      </c>
      <c r="K43" s="25">
        <v>45968</v>
      </c>
      <c r="L43" t="s">
        <v>577</v>
      </c>
      <c r="M43" t="s">
        <v>636</v>
      </c>
    </row>
    <row r="44" spans="1:13" x14ac:dyDescent="0.25">
      <c r="A44" t="s">
        <v>690</v>
      </c>
      <c r="B44" t="s">
        <v>691</v>
      </c>
      <c r="C44" t="s">
        <v>628</v>
      </c>
      <c r="D44" t="s">
        <v>617</v>
      </c>
      <c r="J44">
        <v>0</v>
      </c>
      <c r="K44" s="25">
        <v>45968</v>
      </c>
      <c r="L44" t="s">
        <v>577</v>
      </c>
      <c r="M44" t="s">
        <v>636</v>
      </c>
    </row>
    <row r="45" spans="1:13" x14ac:dyDescent="0.25">
      <c r="A45" t="s">
        <v>692</v>
      </c>
      <c r="B45" t="s">
        <v>691</v>
      </c>
      <c r="C45" t="s">
        <v>628</v>
      </c>
      <c r="D45" t="s">
        <v>617</v>
      </c>
      <c r="J45">
        <v>0</v>
      </c>
      <c r="K45" s="25">
        <v>45968</v>
      </c>
      <c r="L45" t="s">
        <v>577</v>
      </c>
      <c r="M45" t="s">
        <v>636</v>
      </c>
    </row>
    <row r="46" spans="1:13" x14ac:dyDescent="0.25">
      <c r="A46" t="s">
        <v>693</v>
      </c>
      <c r="B46" t="s">
        <v>694</v>
      </c>
      <c r="C46" t="s">
        <v>628</v>
      </c>
      <c r="D46" t="s">
        <v>617</v>
      </c>
      <c r="J46">
        <v>0</v>
      </c>
      <c r="K46" s="25">
        <v>45968</v>
      </c>
      <c r="L46" t="s">
        <v>577</v>
      </c>
      <c r="M46" t="s">
        <v>636</v>
      </c>
    </row>
    <row r="47" spans="1:13" x14ac:dyDescent="0.25">
      <c r="A47" t="s">
        <v>695</v>
      </c>
      <c r="B47" t="s">
        <v>696</v>
      </c>
      <c r="C47" t="s">
        <v>628</v>
      </c>
      <c r="D47" t="s">
        <v>617</v>
      </c>
      <c r="J47">
        <v>0</v>
      </c>
      <c r="K47" s="25">
        <v>45968</v>
      </c>
      <c r="L47" t="s">
        <v>577</v>
      </c>
      <c r="M47" t="s">
        <v>636</v>
      </c>
    </row>
    <row r="48" spans="1:13" x14ac:dyDescent="0.25">
      <c r="A48" t="s">
        <v>697</v>
      </c>
      <c r="B48" t="s">
        <v>698</v>
      </c>
      <c r="C48" t="s">
        <v>628</v>
      </c>
      <c r="D48" t="s">
        <v>617</v>
      </c>
      <c r="J48">
        <v>0</v>
      </c>
      <c r="K48" s="25">
        <v>45968</v>
      </c>
      <c r="L48" t="s">
        <v>577</v>
      </c>
      <c r="M48" t="s">
        <v>636</v>
      </c>
    </row>
    <row r="49" spans="1:13" x14ac:dyDescent="0.25">
      <c r="A49" t="s">
        <v>699</v>
      </c>
      <c r="B49" t="s">
        <v>700</v>
      </c>
      <c r="C49" t="s">
        <v>628</v>
      </c>
      <c r="D49" t="s">
        <v>617</v>
      </c>
      <c r="E49" t="s">
        <v>701</v>
      </c>
      <c r="J49">
        <v>1</v>
      </c>
      <c r="K49" s="25">
        <v>46036</v>
      </c>
      <c r="L49" t="s">
        <v>577</v>
      </c>
      <c r="M49" t="s">
        <v>630</v>
      </c>
    </row>
    <row r="50" spans="1:13" x14ac:dyDescent="0.25">
      <c r="A50" t="s">
        <v>702</v>
      </c>
      <c r="B50" t="s">
        <v>703</v>
      </c>
      <c r="C50" t="s">
        <v>628</v>
      </c>
      <c r="D50" t="s">
        <v>617</v>
      </c>
      <c r="E50" t="s">
        <v>704</v>
      </c>
      <c r="J50">
        <v>1</v>
      </c>
      <c r="K50" s="25">
        <v>46170</v>
      </c>
      <c r="L50" t="s">
        <v>577</v>
      </c>
      <c r="M50" t="s">
        <v>630</v>
      </c>
    </row>
    <row r="51" spans="1:13" x14ac:dyDescent="0.25">
      <c r="A51" t="s">
        <v>705</v>
      </c>
      <c r="B51" t="s">
        <v>706</v>
      </c>
      <c r="C51" t="s">
        <v>628</v>
      </c>
      <c r="D51" t="s">
        <v>617</v>
      </c>
      <c r="J51">
        <v>0</v>
      </c>
      <c r="K51" s="25">
        <v>45968</v>
      </c>
      <c r="L51" t="s">
        <v>577</v>
      </c>
      <c r="M51" t="s">
        <v>636</v>
      </c>
    </row>
    <row r="52" spans="1:13" x14ac:dyDescent="0.25">
      <c r="A52" t="s">
        <v>707</v>
      </c>
      <c r="B52" t="s">
        <v>708</v>
      </c>
      <c r="C52" t="s">
        <v>628</v>
      </c>
      <c r="D52" t="s">
        <v>617</v>
      </c>
      <c r="J52">
        <v>0</v>
      </c>
      <c r="K52" s="25">
        <v>45968</v>
      </c>
      <c r="L52" t="s">
        <v>577</v>
      </c>
      <c r="M52" t="s">
        <v>636</v>
      </c>
    </row>
    <row r="53" spans="1:13" x14ac:dyDescent="0.25">
      <c r="A53" t="s">
        <v>709</v>
      </c>
      <c r="B53" t="s">
        <v>710</v>
      </c>
      <c r="C53" t="s">
        <v>628</v>
      </c>
      <c r="D53" t="s">
        <v>617</v>
      </c>
      <c r="E53" t="s">
        <v>574</v>
      </c>
      <c r="F53" t="s">
        <v>711</v>
      </c>
      <c r="J53">
        <v>2</v>
      </c>
      <c r="K53" s="25">
        <v>46170</v>
      </c>
      <c r="L53" t="s">
        <v>577</v>
      </c>
      <c r="M53" t="s">
        <v>630</v>
      </c>
    </row>
    <row r="54" spans="1:13" x14ac:dyDescent="0.25">
      <c r="A54" t="s">
        <v>712</v>
      </c>
      <c r="B54" t="s">
        <v>713</v>
      </c>
      <c r="C54" t="s">
        <v>628</v>
      </c>
      <c r="D54" t="s">
        <v>617</v>
      </c>
      <c r="E54" t="s">
        <v>574</v>
      </c>
      <c r="F54" t="s">
        <v>714</v>
      </c>
      <c r="J54">
        <v>2</v>
      </c>
      <c r="K54" s="25">
        <v>46170</v>
      </c>
      <c r="L54" t="s">
        <v>577</v>
      </c>
      <c r="M54" t="s">
        <v>630</v>
      </c>
    </row>
    <row r="55" spans="1:13" x14ac:dyDescent="0.25">
      <c r="A55" t="s">
        <v>715</v>
      </c>
      <c r="B55" t="s">
        <v>716</v>
      </c>
      <c r="C55" t="s">
        <v>628</v>
      </c>
      <c r="D55" t="s">
        <v>617</v>
      </c>
      <c r="J55">
        <v>0</v>
      </c>
      <c r="K55" s="25">
        <v>45968</v>
      </c>
      <c r="L55" t="s">
        <v>577</v>
      </c>
      <c r="M55" t="s">
        <v>636</v>
      </c>
    </row>
    <row r="56" spans="1:13" x14ac:dyDescent="0.25">
      <c r="A56" t="s">
        <v>717</v>
      </c>
      <c r="B56" t="s">
        <v>604</v>
      </c>
      <c r="C56" t="s">
        <v>718</v>
      </c>
      <c r="D56" t="s">
        <v>573</v>
      </c>
      <c r="J56">
        <v>0</v>
      </c>
      <c r="K56" s="25">
        <v>46009</v>
      </c>
      <c r="L56" t="s">
        <v>577</v>
      </c>
      <c r="M56" t="s">
        <v>719</v>
      </c>
    </row>
    <row r="57" spans="1:13" x14ac:dyDescent="0.25">
      <c r="A57" t="s">
        <v>720</v>
      </c>
      <c r="B57" t="s">
        <v>721</v>
      </c>
      <c r="C57" t="s">
        <v>718</v>
      </c>
      <c r="D57" t="s">
        <v>617</v>
      </c>
      <c r="J57">
        <v>0</v>
      </c>
      <c r="K57" s="25">
        <v>45968</v>
      </c>
      <c r="L57" t="s">
        <v>577</v>
      </c>
      <c r="M57" t="s">
        <v>719</v>
      </c>
    </row>
    <row r="58" spans="1:13" x14ac:dyDescent="0.25">
      <c r="A58" t="s">
        <v>722</v>
      </c>
      <c r="B58" t="s">
        <v>723</v>
      </c>
      <c r="C58" t="s">
        <v>718</v>
      </c>
      <c r="D58" t="s">
        <v>573</v>
      </c>
      <c r="E58" t="s">
        <v>724</v>
      </c>
      <c r="F58" t="s">
        <v>725</v>
      </c>
      <c r="J58">
        <v>2</v>
      </c>
      <c r="K58" s="25">
        <v>46170</v>
      </c>
      <c r="L58" t="s">
        <v>577</v>
      </c>
      <c r="M58" t="s">
        <v>726</v>
      </c>
    </row>
    <row r="59" spans="1:13" x14ac:dyDescent="0.25">
      <c r="A59" t="s">
        <v>727</v>
      </c>
      <c r="B59" t="s">
        <v>728</v>
      </c>
      <c r="C59" t="s">
        <v>718</v>
      </c>
      <c r="D59" t="s">
        <v>573</v>
      </c>
      <c r="E59" t="s">
        <v>729</v>
      </c>
      <c r="F59" t="s">
        <v>730</v>
      </c>
      <c r="J59">
        <v>2</v>
      </c>
      <c r="K59" s="25">
        <v>46170</v>
      </c>
      <c r="L59" t="s">
        <v>577</v>
      </c>
      <c r="M59" t="s">
        <v>726</v>
      </c>
    </row>
    <row r="60" spans="1:13" x14ac:dyDescent="0.25">
      <c r="A60" t="s">
        <v>731</v>
      </c>
      <c r="B60" t="s">
        <v>732</v>
      </c>
      <c r="C60" t="s">
        <v>718</v>
      </c>
      <c r="D60" t="s">
        <v>617</v>
      </c>
      <c r="J60">
        <v>0</v>
      </c>
      <c r="K60" s="25">
        <v>45968</v>
      </c>
      <c r="L60" t="s">
        <v>577</v>
      </c>
      <c r="M60" t="s">
        <v>719</v>
      </c>
    </row>
    <row r="61" spans="1:13" x14ac:dyDescent="0.25">
      <c r="A61" t="s">
        <v>733</v>
      </c>
      <c r="B61" t="s">
        <v>734</v>
      </c>
      <c r="C61" t="s">
        <v>718</v>
      </c>
      <c r="D61" t="s">
        <v>573</v>
      </c>
      <c r="J61">
        <v>0</v>
      </c>
      <c r="K61" s="25">
        <v>46009</v>
      </c>
      <c r="L61" t="s">
        <v>577</v>
      </c>
      <c r="M61" t="s">
        <v>719</v>
      </c>
    </row>
    <row r="62" spans="1:13" x14ac:dyDescent="0.25">
      <c r="A62" t="s">
        <v>735</v>
      </c>
      <c r="B62" t="s">
        <v>734</v>
      </c>
      <c r="C62" t="s">
        <v>718</v>
      </c>
      <c r="D62" t="s">
        <v>573</v>
      </c>
      <c r="J62">
        <v>0</v>
      </c>
      <c r="K62" s="25">
        <v>46009</v>
      </c>
      <c r="L62" t="s">
        <v>577</v>
      </c>
      <c r="M62" t="s">
        <v>719</v>
      </c>
    </row>
    <row r="63" spans="1:13" x14ac:dyDescent="0.25">
      <c r="A63" t="s">
        <v>736</v>
      </c>
      <c r="B63" t="s">
        <v>737</v>
      </c>
      <c r="C63" t="s">
        <v>718</v>
      </c>
      <c r="D63" t="s">
        <v>573</v>
      </c>
      <c r="J63">
        <v>0</v>
      </c>
      <c r="K63" s="25">
        <v>46009</v>
      </c>
      <c r="L63" t="s">
        <v>577</v>
      </c>
      <c r="M63" t="s">
        <v>719</v>
      </c>
    </row>
    <row r="64" spans="1:13" x14ac:dyDescent="0.25">
      <c r="A64" t="s">
        <v>738</v>
      </c>
      <c r="B64" t="s">
        <v>739</v>
      </c>
      <c r="C64" t="s">
        <v>718</v>
      </c>
      <c r="D64" t="s">
        <v>573</v>
      </c>
      <c r="J64">
        <v>0</v>
      </c>
      <c r="K64" s="25">
        <v>46009</v>
      </c>
      <c r="L64" t="s">
        <v>577</v>
      </c>
      <c r="M64" t="s">
        <v>719</v>
      </c>
    </row>
    <row r="65" spans="1:13" x14ac:dyDescent="0.25">
      <c r="A65" t="s">
        <v>740</v>
      </c>
      <c r="B65" t="s">
        <v>739</v>
      </c>
      <c r="C65" t="s">
        <v>718</v>
      </c>
      <c r="D65" t="s">
        <v>573</v>
      </c>
      <c r="J65">
        <v>0</v>
      </c>
      <c r="K65" s="25">
        <v>46009</v>
      </c>
      <c r="L65" t="s">
        <v>577</v>
      </c>
      <c r="M65" t="s">
        <v>719</v>
      </c>
    </row>
    <row r="66" spans="1:13" x14ac:dyDescent="0.25">
      <c r="A66" t="s">
        <v>741</v>
      </c>
      <c r="B66" t="s">
        <v>739</v>
      </c>
      <c r="C66" t="s">
        <v>718</v>
      </c>
      <c r="D66" t="s">
        <v>573</v>
      </c>
      <c r="J66">
        <v>0</v>
      </c>
      <c r="K66" s="25">
        <v>46009</v>
      </c>
      <c r="L66" t="s">
        <v>577</v>
      </c>
      <c r="M66" t="s">
        <v>719</v>
      </c>
    </row>
    <row r="67" spans="1:13" x14ac:dyDescent="0.25">
      <c r="A67" t="s">
        <v>742</v>
      </c>
      <c r="B67" t="s">
        <v>739</v>
      </c>
      <c r="C67" t="s">
        <v>718</v>
      </c>
      <c r="D67" t="s">
        <v>617</v>
      </c>
      <c r="J67">
        <v>0</v>
      </c>
      <c r="K67" s="25">
        <v>45968</v>
      </c>
      <c r="L67" t="s">
        <v>577</v>
      </c>
      <c r="M67" t="s">
        <v>719</v>
      </c>
    </row>
    <row r="68" spans="1:13" x14ac:dyDescent="0.25">
      <c r="A68" t="s">
        <v>743</v>
      </c>
      <c r="B68" t="s">
        <v>744</v>
      </c>
      <c r="C68" t="s">
        <v>745</v>
      </c>
      <c r="D68" t="s">
        <v>617</v>
      </c>
      <c r="J68">
        <v>0</v>
      </c>
      <c r="K68" s="25">
        <v>45968</v>
      </c>
      <c r="L68" t="s">
        <v>577</v>
      </c>
      <c r="M68" t="s">
        <v>746</v>
      </c>
    </row>
    <row r="69" spans="1:13" x14ac:dyDescent="0.25">
      <c r="A69" t="s">
        <v>747</v>
      </c>
      <c r="B69" t="s">
        <v>748</v>
      </c>
      <c r="C69" t="s">
        <v>745</v>
      </c>
      <c r="D69" t="s">
        <v>573</v>
      </c>
      <c r="E69" t="s">
        <v>749</v>
      </c>
      <c r="J69">
        <v>1</v>
      </c>
      <c r="K69" s="25">
        <v>46170</v>
      </c>
      <c r="L69" t="s">
        <v>577</v>
      </c>
      <c r="M69" t="s">
        <v>750</v>
      </c>
    </row>
    <row r="70" spans="1:13" x14ac:dyDescent="0.25">
      <c r="A70" t="s">
        <v>751</v>
      </c>
      <c r="B70" t="s">
        <v>752</v>
      </c>
      <c r="C70" t="s">
        <v>745</v>
      </c>
      <c r="D70" t="s">
        <v>617</v>
      </c>
      <c r="E70" t="s">
        <v>753</v>
      </c>
      <c r="J70">
        <v>1</v>
      </c>
      <c r="K70" s="25">
        <v>46170</v>
      </c>
      <c r="L70" t="s">
        <v>577</v>
      </c>
      <c r="M70" t="s">
        <v>750</v>
      </c>
    </row>
    <row r="71" spans="1:13" x14ac:dyDescent="0.25">
      <c r="A71" t="s">
        <v>754</v>
      </c>
      <c r="B71" t="s">
        <v>755</v>
      </c>
      <c r="C71" t="s">
        <v>745</v>
      </c>
      <c r="D71" t="s">
        <v>573</v>
      </c>
      <c r="E71" t="s">
        <v>756</v>
      </c>
      <c r="J71">
        <v>1</v>
      </c>
      <c r="K71" s="25">
        <v>46170</v>
      </c>
      <c r="L71" t="s">
        <v>577</v>
      </c>
      <c r="M71" t="s">
        <v>750</v>
      </c>
    </row>
    <row r="72" spans="1:13" x14ac:dyDescent="0.25">
      <c r="A72" t="s">
        <v>757</v>
      </c>
      <c r="B72" t="s">
        <v>758</v>
      </c>
      <c r="C72" t="s">
        <v>745</v>
      </c>
      <c r="D72" t="s">
        <v>759</v>
      </c>
      <c r="E72" t="s">
        <v>760</v>
      </c>
      <c r="J72">
        <v>0</v>
      </c>
      <c r="K72" s="25">
        <v>45968</v>
      </c>
      <c r="L72" t="s">
        <v>672</v>
      </c>
      <c r="M72" t="s">
        <v>761</v>
      </c>
    </row>
    <row r="73" spans="1:13" x14ac:dyDescent="0.25">
      <c r="A73" t="s">
        <v>762</v>
      </c>
      <c r="B73" t="s">
        <v>763</v>
      </c>
      <c r="C73" t="s">
        <v>745</v>
      </c>
      <c r="D73" t="s">
        <v>617</v>
      </c>
      <c r="E73" t="s">
        <v>764</v>
      </c>
      <c r="J73">
        <v>1</v>
      </c>
      <c r="K73" s="25">
        <v>46170</v>
      </c>
      <c r="L73" t="s">
        <v>577</v>
      </c>
      <c r="M73" t="s">
        <v>750</v>
      </c>
    </row>
    <row r="74" spans="1:13" x14ac:dyDescent="0.25">
      <c r="A74" t="s">
        <v>765</v>
      </c>
      <c r="B74" t="s">
        <v>766</v>
      </c>
      <c r="C74" t="s">
        <v>745</v>
      </c>
      <c r="D74" t="s">
        <v>617</v>
      </c>
      <c r="J74">
        <v>0</v>
      </c>
      <c r="K74" s="25">
        <v>45968</v>
      </c>
      <c r="L74" t="s">
        <v>577</v>
      </c>
      <c r="M74" t="s">
        <v>746</v>
      </c>
    </row>
    <row r="75" spans="1:13" x14ac:dyDescent="0.25">
      <c r="A75" t="s">
        <v>767</v>
      </c>
      <c r="B75" t="s">
        <v>766</v>
      </c>
      <c r="C75" t="s">
        <v>745</v>
      </c>
      <c r="D75" t="s">
        <v>617</v>
      </c>
      <c r="J75">
        <v>0</v>
      </c>
      <c r="K75" s="25">
        <v>45968</v>
      </c>
      <c r="L75" t="s">
        <v>577</v>
      </c>
      <c r="M75" t="s">
        <v>746</v>
      </c>
    </row>
    <row r="76" spans="1:13" x14ac:dyDescent="0.25">
      <c r="A76" t="s">
        <v>768</v>
      </c>
      <c r="B76" t="s">
        <v>769</v>
      </c>
      <c r="C76" t="s">
        <v>745</v>
      </c>
      <c r="D76" t="s">
        <v>617</v>
      </c>
      <c r="J76">
        <v>0</v>
      </c>
      <c r="K76" s="25">
        <v>45968</v>
      </c>
      <c r="L76" t="s">
        <v>577</v>
      </c>
      <c r="M76" t="s">
        <v>746</v>
      </c>
    </row>
    <row r="77" spans="1:13" x14ac:dyDescent="0.25">
      <c r="A77" t="s">
        <v>770</v>
      </c>
      <c r="B77" t="s">
        <v>771</v>
      </c>
      <c r="C77" t="s">
        <v>745</v>
      </c>
      <c r="D77" t="s">
        <v>573</v>
      </c>
      <c r="J77">
        <v>0</v>
      </c>
      <c r="K77" s="25">
        <v>46009</v>
      </c>
      <c r="L77" t="s">
        <v>577</v>
      </c>
      <c r="M77" t="s">
        <v>746</v>
      </c>
    </row>
    <row r="78" spans="1:13" x14ac:dyDescent="0.25">
      <c r="A78" t="s">
        <v>772</v>
      </c>
      <c r="B78" t="s">
        <v>771</v>
      </c>
      <c r="C78" t="s">
        <v>745</v>
      </c>
      <c r="D78" t="s">
        <v>573</v>
      </c>
      <c r="J78">
        <v>0</v>
      </c>
      <c r="K78" s="25">
        <v>46009</v>
      </c>
      <c r="L78" t="s">
        <v>577</v>
      </c>
      <c r="M78" t="s">
        <v>746</v>
      </c>
    </row>
    <row r="79" spans="1:13" x14ac:dyDescent="0.25">
      <c r="A79" t="s">
        <v>773</v>
      </c>
      <c r="B79" t="s">
        <v>774</v>
      </c>
      <c r="C79" t="s">
        <v>775</v>
      </c>
      <c r="D79" t="s">
        <v>617</v>
      </c>
      <c r="J79">
        <v>0</v>
      </c>
      <c r="K79" s="25">
        <v>45968</v>
      </c>
      <c r="L79" t="s">
        <v>577</v>
      </c>
      <c r="M79" t="s">
        <v>776</v>
      </c>
    </row>
    <row r="80" spans="1:13" x14ac:dyDescent="0.25">
      <c r="A80" t="s">
        <v>777</v>
      </c>
      <c r="B80" t="s">
        <v>778</v>
      </c>
      <c r="C80" t="s">
        <v>775</v>
      </c>
      <c r="D80" t="s">
        <v>573</v>
      </c>
      <c r="E80" t="s">
        <v>779</v>
      </c>
      <c r="J80">
        <v>1</v>
      </c>
      <c r="K80" s="25">
        <v>46170</v>
      </c>
      <c r="L80" t="s">
        <v>577</v>
      </c>
      <c r="M80" t="s">
        <v>780</v>
      </c>
    </row>
    <row r="81" spans="1:13" x14ac:dyDescent="0.25">
      <c r="A81" t="s">
        <v>781</v>
      </c>
      <c r="B81" t="s">
        <v>782</v>
      </c>
      <c r="C81" t="s">
        <v>775</v>
      </c>
      <c r="D81" t="s">
        <v>617</v>
      </c>
      <c r="J81">
        <v>0</v>
      </c>
      <c r="K81" s="25">
        <v>45968</v>
      </c>
      <c r="L81" t="s">
        <v>577</v>
      </c>
      <c r="M81" t="s">
        <v>776</v>
      </c>
    </row>
    <row r="82" spans="1:13" x14ac:dyDescent="0.25">
      <c r="A82" t="s">
        <v>783</v>
      </c>
      <c r="B82" t="s">
        <v>784</v>
      </c>
      <c r="C82" t="s">
        <v>775</v>
      </c>
      <c r="D82" t="s">
        <v>573</v>
      </c>
      <c r="E82" t="s">
        <v>785</v>
      </c>
      <c r="J82">
        <v>1</v>
      </c>
      <c r="K82" s="25">
        <v>46170</v>
      </c>
      <c r="L82" t="s">
        <v>577</v>
      </c>
      <c r="M82" t="s">
        <v>780</v>
      </c>
    </row>
    <row r="83" spans="1:13" x14ac:dyDescent="0.25">
      <c r="A83" t="s">
        <v>786</v>
      </c>
      <c r="B83" t="s">
        <v>787</v>
      </c>
      <c r="C83" t="s">
        <v>775</v>
      </c>
      <c r="D83" t="s">
        <v>573</v>
      </c>
      <c r="E83" t="s">
        <v>574</v>
      </c>
      <c r="F83" t="s">
        <v>788</v>
      </c>
      <c r="J83">
        <v>2</v>
      </c>
      <c r="K83" s="25">
        <v>46170</v>
      </c>
      <c r="L83" t="s">
        <v>577</v>
      </c>
      <c r="M83" t="s">
        <v>780</v>
      </c>
    </row>
    <row r="84" spans="1:13" x14ac:dyDescent="0.25">
      <c r="A84" t="s">
        <v>789</v>
      </c>
      <c r="B84" t="s">
        <v>790</v>
      </c>
      <c r="C84" t="s">
        <v>775</v>
      </c>
      <c r="D84" t="s">
        <v>573</v>
      </c>
      <c r="J84">
        <v>0</v>
      </c>
      <c r="K84" s="25">
        <v>46009</v>
      </c>
      <c r="L84" t="s">
        <v>577</v>
      </c>
      <c r="M84" t="s">
        <v>776</v>
      </c>
    </row>
    <row r="85" spans="1:13" x14ac:dyDescent="0.25">
      <c r="A85" t="s">
        <v>791</v>
      </c>
      <c r="B85" t="s">
        <v>792</v>
      </c>
      <c r="C85" t="s">
        <v>793</v>
      </c>
      <c r="D85" t="s">
        <v>617</v>
      </c>
      <c r="J85">
        <v>0</v>
      </c>
      <c r="K85" s="25">
        <v>45968</v>
      </c>
      <c r="L85" t="s">
        <v>577</v>
      </c>
      <c r="M85" t="s">
        <v>794</v>
      </c>
    </row>
    <row r="86" spans="1:13" x14ac:dyDescent="0.25">
      <c r="A86" t="s">
        <v>795</v>
      </c>
      <c r="B86" t="s">
        <v>796</v>
      </c>
      <c r="C86" t="s">
        <v>793</v>
      </c>
      <c r="D86" t="s">
        <v>617</v>
      </c>
      <c r="E86" t="s">
        <v>797</v>
      </c>
      <c r="J86">
        <v>1</v>
      </c>
      <c r="K86" s="25">
        <v>46170</v>
      </c>
      <c r="L86" t="s">
        <v>577</v>
      </c>
      <c r="M86" t="s">
        <v>798</v>
      </c>
    </row>
    <row r="87" spans="1:13" x14ac:dyDescent="0.25">
      <c r="A87" t="s">
        <v>799</v>
      </c>
      <c r="B87" t="s">
        <v>800</v>
      </c>
      <c r="C87" t="s">
        <v>793</v>
      </c>
      <c r="D87" t="s">
        <v>617</v>
      </c>
      <c r="J87">
        <v>0</v>
      </c>
      <c r="K87" s="25">
        <v>45968</v>
      </c>
      <c r="L87" t="s">
        <v>577</v>
      </c>
      <c r="M87" t="s">
        <v>794</v>
      </c>
    </row>
    <row r="88" spans="1:13" x14ac:dyDescent="0.25">
      <c r="A88" t="s">
        <v>801</v>
      </c>
      <c r="B88" t="s">
        <v>802</v>
      </c>
      <c r="C88" t="s">
        <v>572</v>
      </c>
      <c r="D88" t="s">
        <v>573</v>
      </c>
      <c r="J88">
        <v>0</v>
      </c>
      <c r="K88" s="25">
        <v>46009</v>
      </c>
      <c r="L88" t="s">
        <v>577</v>
      </c>
      <c r="M88" t="s">
        <v>803</v>
      </c>
    </row>
    <row r="89" spans="1:13" x14ac:dyDescent="0.25">
      <c r="A89" t="s">
        <v>804</v>
      </c>
      <c r="B89" t="s">
        <v>805</v>
      </c>
      <c r="C89" t="s">
        <v>572</v>
      </c>
      <c r="D89" t="s">
        <v>617</v>
      </c>
      <c r="E89" t="s">
        <v>806</v>
      </c>
      <c r="F89" t="s">
        <v>807</v>
      </c>
      <c r="J89">
        <v>2</v>
      </c>
      <c r="K89" s="25">
        <v>46036</v>
      </c>
      <c r="L89" t="s">
        <v>577</v>
      </c>
      <c r="M89" t="s">
        <v>808</v>
      </c>
    </row>
    <row r="90" spans="1:13" x14ac:dyDescent="0.25">
      <c r="A90" t="s">
        <v>570</v>
      </c>
      <c r="B90" t="s">
        <v>571</v>
      </c>
      <c r="C90" t="s">
        <v>572</v>
      </c>
      <c r="D90" t="s">
        <v>573</v>
      </c>
      <c r="E90" t="s">
        <v>574</v>
      </c>
      <c r="F90" t="s">
        <v>575</v>
      </c>
      <c r="G90" t="s">
        <v>576</v>
      </c>
      <c r="J90">
        <v>3</v>
      </c>
      <c r="K90" s="25">
        <v>46233</v>
      </c>
      <c r="L90" t="s">
        <v>577</v>
      </c>
      <c r="M90" t="s">
        <v>809</v>
      </c>
    </row>
    <row r="91" spans="1:13" x14ac:dyDescent="0.25">
      <c r="A91" t="s">
        <v>810</v>
      </c>
      <c r="B91" t="s">
        <v>811</v>
      </c>
      <c r="C91" t="s">
        <v>572</v>
      </c>
      <c r="D91" t="s">
        <v>617</v>
      </c>
      <c r="E91" t="s">
        <v>812</v>
      </c>
      <c r="J91">
        <v>1</v>
      </c>
      <c r="K91" s="25">
        <v>46009</v>
      </c>
      <c r="L91" t="s">
        <v>577</v>
      </c>
      <c r="M91" t="s">
        <v>808</v>
      </c>
    </row>
    <row r="92" spans="1:13" x14ac:dyDescent="0.25">
      <c r="A92" t="s">
        <v>813</v>
      </c>
      <c r="B92" t="s">
        <v>814</v>
      </c>
      <c r="C92" t="s">
        <v>572</v>
      </c>
      <c r="D92" t="s">
        <v>573</v>
      </c>
      <c r="J92">
        <v>0</v>
      </c>
      <c r="K92" s="25">
        <v>46009</v>
      </c>
      <c r="L92" t="s">
        <v>577</v>
      </c>
      <c r="M92" t="s">
        <v>803</v>
      </c>
    </row>
    <row r="93" spans="1:13" x14ac:dyDescent="0.25">
      <c r="A93" t="s">
        <v>815</v>
      </c>
      <c r="B93" t="s">
        <v>816</v>
      </c>
      <c r="C93" t="s">
        <v>572</v>
      </c>
      <c r="D93" t="s">
        <v>573</v>
      </c>
      <c r="E93" t="s">
        <v>817</v>
      </c>
      <c r="J93">
        <v>1</v>
      </c>
      <c r="K93" s="25">
        <v>46170</v>
      </c>
      <c r="L93" t="s">
        <v>577</v>
      </c>
      <c r="M93" t="s">
        <v>808</v>
      </c>
    </row>
    <row r="94" spans="1:13" x14ac:dyDescent="0.25">
      <c r="A94" t="s">
        <v>818</v>
      </c>
      <c r="B94" t="s">
        <v>819</v>
      </c>
      <c r="C94" t="s">
        <v>572</v>
      </c>
      <c r="D94" t="s">
        <v>573</v>
      </c>
      <c r="E94" t="s">
        <v>574</v>
      </c>
      <c r="F94" t="s">
        <v>820</v>
      </c>
      <c r="J94">
        <v>2</v>
      </c>
      <c r="K94" s="25">
        <v>46170</v>
      </c>
      <c r="L94" t="s">
        <v>577</v>
      </c>
      <c r="M94" t="s">
        <v>808</v>
      </c>
    </row>
    <row r="95" spans="1:13" x14ac:dyDescent="0.25">
      <c r="A95" t="s">
        <v>821</v>
      </c>
      <c r="B95" t="s">
        <v>822</v>
      </c>
      <c r="C95" t="s">
        <v>572</v>
      </c>
      <c r="D95" t="s">
        <v>573</v>
      </c>
      <c r="E95" t="s">
        <v>823</v>
      </c>
      <c r="J95">
        <v>1</v>
      </c>
      <c r="K95" s="25">
        <v>46170</v>
      </c>
      <c r="L95" t="s">
        <v>577</v>
      </c>
      <c r="M95" t="s">
        <v>808</v>
      </c>
    </row>
    <row r="96" spans="1:13" x14ac:dyDescent="0.25">
      <c r="A96" t="s">
        <v>824</v>
      </c>
      <c r="B96" t="s">
        <v>825</v>
      </c>
      <c r="C96" t="s">
        <v>572</v>
      </c>
      <c r="D96" t="s">
        <v>617</v>
      </c>
      <c r="E96" t="s">
        <v>806</v>
      </c>
      <c r="F96" t="s">
        <v>574</v>
      </c>
      <c r="G96" t="s">
        <v>826</v>
      </c>
      <c r="J96">
        <v>3</v>
      </c>
      <c r="K96" s="25">
        <v>46170</v>
      </c>
      <c r="L96" t="s">
        <v>577</v>
      </c>
      <c r="M96" t="s">
        <v>808</v>
      </c>
    </row>
    <row r="97" spans="1:13" x14ac:dyDescent="0.25">
      <c r="A97" t="s">
        <v>578</v>
      </c>
      <c r="B97" t="s">
        <v>579</v>
      </c>
      <c r="C97" t="s">
        <v>572</v>
      </c>
      <c r="D97" t="s">
        <v>573</v>
      </c>
      <c r="E97" t="s">
        <v>827</v>
      </c>
      <c r="F97" t="s">
        <v>580</v>
      </c>
      <c r="J97">
        <v>2</v>
      </c>
      <c r="K97" s="25">
        <v>46233</v>
      </c>
      <c r="L97" t="s">
        <v>577</v>
      </c>
      <c r="M97" t="s">
        <v>809</v>
      </c>
    </row>
    <row r="98" spans="1:13" x14ac:dyDescent="0.25">
      <c r="A98" t="s">
        <v>581</v>
      </c>
      <c r="B98" t="s">
        <v>582</v>
      </c>
      <c r="C98" t="s">
        <v>572</v>
      </c>
      <c r="D98" t="s">
        <v>573</v>
      </c>
      <c r="E98" t="s">
        <v>574</v>
      </c>
      <c r="F98" t="s">
        <v>583</v>
      </c>
      <c r="G98" t="s">
        <v>584</v>
      </c>
      <c r="J98">
        <v>3</v>
      </c>
      <c r="K98" s="25">
        <v>46233</v>
      </c>
      <c r="L98" t="s">
        <v>577</v>
      </c>
      <c r="M98" t="s">
        <v>809</v>
      </c>
    </row>
    <row r="99" spans="1:13" x14ac:dyDescent="0.25">
      <c r="A99" t="s">
        <v>828</v>
      </c>
      <c r="B99" t="s">
        <v>829</v>
      </c>
      <c r="C99" t="s">
        <v>572</v>
      </c>
      <c r="D99" t="s">
        <v>573</v>
      </c>
      <c r="E99" t="s">
        <v>830</v>
      </c>
      <c r="J99">
        <v>1</v>
      </c>
      <c r="K99" s="25">
        <v>46170</v>
      </c>
      <c r="L99" t="s">
        <v>577</v>
      </c>
      <c r="M99" t="s">
        <v>808</v>
      </c>
    </row>
    <row r="100" spans="1:13" x14ac:dyDescent="0.25">
      <c r="A100" t="s">
        <v>831</v>
      </c>
      <c r="B100" t="s">
        <v>832</v>
      </c>
      <c r="C100" t="s">
        <v>572</v>
      </c>
      <c r="D100" t="s">
        <v>617</v>
      </c>
      <c r="E100" t="s">
        <v>806</v>
      </c>
      <c r="J100">
        <v>1</v>
      </c>
      <c r="K100" s="25">
        <v>46009</v>
      </c>
      <c r="L100" t="s">
        <v>577</v>
      </c>
      <c r="M100" t="s">
        <v>808</v>
      </c>
    </row>
    <row r="101" spans="1:13" x14ac:dyDescent="0.25">
      <c r="A101" t="s">
        <v>833</v>
      </c>
      <c r="B101" t="s">
        <v>834</v>
      </c>
      <c r="C101" t="s">
        <v>572</v>
      </c>
      <c r="D101" t="s">
        <v>617</v>
      </c>
      <c r="E101" t="s">
        <v>806</v>
      </c>
      <c r="J101">
        <v>1</v>
      </c>
      <c r="K101" s="25">
        <v>46009</v>
      </c>
      <c r="L101" t="s">
        <v>577</v>
      </c>
      <c r="M101" t="s">
        <v>808</v>
      </c>
    </row>
    <row r="102" spans="1:13" x14ac:dyDescent="0.25">
      <c r="A102" t="s">
        <v>585</v>
      </c>
      <c r="B102" t="s">
        <v>586</v>
      </c>
      <c r="C102" t="s">
        <v>572</v>
      </c>
      <c r="D102" t="s">
        <v>573</v>
      </c>
      <c r="E102" t="s">
        <v>587</v>
      </c>
      <c r="F102" t="s">
        <v>588</v>
      </c>
      <c r="J102">
        <v>2</v>
      </c>
      <c r="K102" s="25">
        <v>46233</v>
      </c>
      <c r="L102" t="s">
        <v>577</v>
      </c>
      <c r="M102" t="s">
        <v>809</v>
      </c>
    </row>
    <row r="103" spans="1:13" x14ac:dyDescent="0.25">
      <c r="A103" t="s">
        <v>589</v>
      </c>
      <c r="B103" t="s">
        <v>586</v>
      </c>
      <c r="C103" t="s">
        <v>572</v>
      </c>
      <c r="D103" t="s">
        <v>573</v>
      </c>
      <c r="E103" t="s">
        <v>574</v>
      </c>
      <c r="F103" t="s">
        <v>590</v>
      </c>
      <c r="G103" t="s">
        <v>591</v>
      </c>
      <c r="J103">
        <v>3</v>
      </c>
      <c r="K103" s="25">
        <v>46233</v>
      </c>
      <c r="L103" t="s">
        <v>577</v>
      </c>
      <c r="M103" t="s">
        <v>809</v>
      </c>
    </row>
    <row r="104" spans="1:13" x14ac:dyDescent="0.25">
      <c r="A104" t="s">
        <v>835</v>
      </c>
      <c r="B104" t="s">
        <v>836</v>
      </c>
      <c r="C104" t="s">
        <v>572</v>
      </c>
      <c r="D104" t="s">
        <v>573</v>
      </c>
      <c r="J104">
        <v>0</v>
      </c>
      <c r="K104" s="25">
        <v>46009</v>
      </c>
      <c r="L104" t="s">
        <v>577</v>
      </c>
      <c r="M104" t="s">
        <v>803</v>
      </c>
    </row>
    <row r="105" spans="1:13" x14ac:dyDescent="0.25">
      <c r="A105" t="s">
        <v>837</v>
      </c>
      <c r="B105" t="s">
        <v>836</v>
      </c>
      <c r="C105" t="s">
        <v>572</v>
      </c>
      <c r="D105" t="s">
        <v>573</v>
      </c>
      <c r="J105">
        <v>0</v>
      </c>
      <c r="K105" s="25">
        <v>46009</v>
      </c>
      <c r="L105" t="s">
        <v>577</v>
      </c>
      <c r="M105" t="s">
        <v>803</v>
      </c>
    </row>
    <row r="106" spans="1:13" x14ac:dyDescent="0.25">
      <c r="A106" t="s">
        <v>838</v>
      </c>
      <c r="B106" t="s">
        <v>839</v>
      </c>
      <c r="C106" t="s">
        <v>572</v>
      </c>
      <c r="D106" t="s">
        <v>617</v>
      </c>
      <c r="E106" t="s">
        <v>806</v>
      </c>
      <c r="J106">
        <v>1</v>
      </c>
      <c r="K106" s="25">
        <v>46009</v>
      </c>
      <c r="L106" t="s">
        <v>577</v>
      </c>
      <c r="M106" t="s">
        <v>808</v>
      </c>
    </row>
    <row r="107" spans="1:13" x14ac:dyDescent="0.25">
      <c r="A107" t="s">
        <v>840</v>
      </c>
      <c r="B107" t="s">
        <v>839</v>
      </c>
      <c r="C107" t="s">
        <v>572</v>
      </c>
      <c r="D107" t="s">
        <v>617</v>
      </c>
      <c r="E107" t="s">
        <v>806</v>
      </c>
      <c r="J107">
        <v>1</v>
      </c>
      <c r="K107" s="25">
        <v>46009</v>
      </c>
      <c r="L107" t="s">
        <v>577</v>
      </c>
      <c r="M107" t="s">
        <v>808</v>
      </c>
    </row>
    <row r="108" spans="1:13" x14ac:dyDescent="0.25">
      <c r="A108" t="s">
        <v>841</v>
      </c>
      <c r="B108" t="s">
        <v>839</v>
      </c>
      <c r="C108" t="s">
        <v>572</v>
      </c>
      <c r="D108" t="s">
        <v>617</v>
      </c>
      <c r="E108" t="s">
        <v>806</v>
      </c>
      <c r="J108">
        <v>1</v>
      </c>
      <c r="K108" s="25">
        <v>46009</v>
      </c>
      <c r="L108" t="s">
        <v>577</v>
      </c>
      <c r="M108" t="s">
        <v>808</v>
      </c>
    </row>
    <row r="109" spans="1:13" x14ac:dyDescent="0.25">
      <c r="A109" t="s">
        <v>842</v>
      </c>
      <c r="B109" t="s">
        <v>839</v>
      </c>
      <c r="C109" t="s">
        <v>572</v>
      </c>
      <c r="D109" t="s">
        <v>617</v>
      </c>
      <c r="E109" t="s">
        <v>806</v>
      </c>
      <c r="J109">
        <v>1</v>
      </c>
      <c r="K109" s="25">
        <v>46009</v>
      </c>
      <c r="L109" t="s">
        <v>577</v>
      </c>
      <c r="M109" t="s">
        <v>808</v>
      </c>
    </row>
    <row r="110" spans="1:13" x14ac:dyDescent="0.25">
      <c r="A110" t="s">
        <v>843</v>
      </c>
      <c r="B110" t="s">
        <v>844</v>
      </c>
      <c r="C110" t="s">
        <v>572</v>
      </c>
      <c r="D110" t="s">
        <v>617</v>
      </c>
      <c r="E110" t="s">
        <v>806</v>
      </c>
      <c r="J110">
        <v>1</v>
      </c>
      <c r="K110" s="25">
        <v>46009</v>
      </c>
      <c r="L110" t="s">
        <v>577</v>
      </c>
      <c r="M110" t="s">
        <v>808</v>
      </c>
    </row>
    <row r="111" spans="1:13" x14ac:dyDescent="0.25">
      <c r="A111" t="s">
        <v>845</v>
      </c>
      <c r="B111" t="s">
        <v>846</v>
      </c>
      <c r="C111" t="s">
        <v>572</v>
      </c>
      <c r="D111" t="s">
        <v>617</v>
      </c>
      <c r="E111" t="s">
        <v>806</v>
      </c>
      <c r="J111">
        <v>1</v>
      </c>
      <c r="K111" s="25">
        <v>46009</v>
      </c>
      <c r="L111" t="s">
        <v>577</v>
      </c>
      <c r="M111" t="s">
        <v>808</v>
      </c>
    </row>
    <row r="112" spans="1:13" x14ac:dyDescent="0.25">
      <c r="A112" t="s">
        <v>847</v>
      </c>
      <c r="B112" t="s">
        <v>848</v>
      </c>
      <c r="C112" t="s">
        <v>849</v>
      </c>
      <c r="D112" t="s">
        <v>617</v>
      </c>
      <c r="E112" t="s">
        <v>850</v>
      </c>
      <c r="J112">
        <v>1</v>
      </c>
      <c r="K112" s="25">
        <v>46009</v>
      </c>
      <c r="L112" t="s">
        <v>577</v>
      </c>
      <c r="M112" t="s">
        <v>851</v>
      </c>
    </row>
    <row r="113" spans="1:13" x14ac:dyDescent="0.25">
      <c r="A113" t="s">
        <v>852</v>
      </c>
      <c r="B113" t="s">
        <v>853</v>
      </c>
      <c r="C113" t="s">
        <v>849</v>
      </c>
      <c r="D113" t="s">
        <v>617</v>
      </c>
      <c r="E113" t="s">
        <v>854</v>
      </c>
      <c r="J113">
        <v>1</v>
      </c>
      <c r="K113" s="25">
        <v>46009</v>
      </c>
      <c r="L113" t="s">
        <v>577</v>
      </c>
      <c r="M113" t="s">
        <v>851</v>
      </c>
    </row>
    <row r="114" spans="1:13" x14ac:dyDescent="0.25">
      <c r="A114" t="s">
        <v>855</v>
      </c>
      <c r="B114" t="s">
        <v>856</v>
      </c>
      <c r="C114" t="s">
        <v>594</v>
      </c>
      <c r="D114" t="s">
        <v>617</v>
      </c>
      <c r="E114" t="s">
        <v>806</v>
      </c>
      <c r="J114">
        <v>1</v>
      </c>
      <c r="K114" s="25">
        <v>46009</v>
      </c>
      <c r="L114" t="s">
        <v>577</v>
      </c>
      <c r="M114" t="s">
        <v>857</v>
      </c>
    </row>
    <row r="115" spans="1:13" x14ac:dyDescent="0.25">
      <c r="A115" t="s">
        <v>592</v>
      </c>
      <c r="B115" t="s">
        <v>593</v>
      </c>
      <c r="C115" t="s">
        <v>594</v>
      </c>
      <c r="D115" t="s">
        <v>617</v>
      </c>
      <c r="E115" t="s">
        <v>806</v>
      </c>
      <c r="F115" t="s">
        <v>574</v>
      </c>
      <c r="G115" t="s">
        <v>595</v>
      </c>
      <c r="H115" t="s">
        <v>596</v>
      </c>
      <c r="J115">
        <v>4</v>
      </c>
      <c r="K115" s="25">
        <v>46233</v>
      </c>
      <c r="L115" t="s">
        <v>577</v>
      </c>
      <c r="M115" t="s">
        <v>858</v>
      </c>
    </row>
    <row r="116" spans="1:13" x14ac:dyDescent="0.25">
      <c r="A116" t="s">
        <v>859</v>
      </c>
      <c r="B116" t="s">
        <v>860</v>
      </c>
      <c r="C116" t="s">
        <v>594</v>
      </c>
      <c r="D116" t="s">
        <v>617</v>
      </c>
      <c r="E116" t="s">
        <v>806</v>
      </c>
      <c r="F116" t="s">
        <v>574</v>
      </c>
      <c r="G116" t="s">
        <v>861</v>
      </c>
      <c r="J116">
        <v>3</v>
      </c>
      <c r="K116" s="25">
        <v>46170</v>
      </c>
      <c r="L116" t="s">
        <v>577</v>
      </c>
      <c r="M116" t="s">
        <v>857</v>
      </c>
    </row>
    <row r="117" spans="1:13" x14ac:dyDescent="0.25">
      <c r="A117" t="s">
        <v>862</v>
      </c>
      <c r="B117" t="s">
        <v>863</v>
      </c>
      <c r="C117" t="s">
        <v>594</v>
      </c>
      <c r="D117" t="s">
        <v>617</v>
      </c>
      <c r="E117" t="s">
        <v>806</v>
      </c>
      <c r="J117">
        <v>1</v>
      </c>
      <c r="K117" s="25">
        <v>46009</v>
      </c>
      <c r="L117" t="s">
        <v>577</v>
      </c>
      <c r="M117" t="s">
        <v>857</v>
      </c>
    </row>
    <row r="118" spans="1:13" x14ac:dyDescent="0.25">
      <c r="A118" t="s">
        <v>864</v>
      </c>
      <c r="B118" t="s">
        <v>865</v>
      </c>
      <c r="C118" t="s">
        <v>594</v>
      </c>
      <c r="D118" t="s">
        <v>617</v>
      </c>
      <c r="E118" t="s">
        <v>866</v>
      </c>
      <c r="J118">
        <v>1</v>
      </c>
      <c r="K118" s="25">
        <v>46009</v>
      </c>
      <c r="L118" t="s">
        <v>577</v>
      </c>
      <c r="M118" t="s">
        <v>857</v>
      </c>
    </row>
    <row r="119" spans="1:13" x14ac:dyDescent="0.25">
      <c r="A119" t="s">
        <v>867</v>
      </c>
      <c r="B119" t="s">
        <v>868</v>
      </c>
      <c r="C119" t="s">
        <v>594</v>
      </c>
      <c r="D119" t="s">
        <v>759</v>
      </c>
      <c r="E119" t="s">
        <v>869</v>
      </c>
      <c r="J119">
        <v>0</v>
      </c>
      <c r="K119" s="25">
        <v>45968</v>
      </c>
      <c r="L119" t="s">
        <v>672</v>
      </c>
      <c r="M119" t="s">
        <v>870</v>
      </c>
    </row>
    <row r="120" spans="1:13" x14ac:dyDescent="0.25">
      <c r="A120" t="s">
        <v>871</v>
      </c>
      <c r="B120" t="s">
        <v>872</v>
      </c>
      <c r="C120" t="s">
        <v>594</v>
      </c>
      <c r="D120" t="s">
        <v>759</v>
      </c>
      <c r="E120" t="s">
        <v>869</v>
      </c>
      <c r="J120">
        <v>0</v>
      </c>
      <c r="K120" s="25">
        <v>45968</v>
      </c>
      <c r="L120" t="s">
        <v>672</v>
      </c>
      <c r="M120" t="s">
        <v>870</v>
      </c>
    </row>
    <row r="121" spans="1:13" x14ac:dyDescent="0.25">
      <c r="A121" t="s">
        <v>873</v>
      </c>
      <c r="B121" t="s">
        <v>874</v>
      </c>
      <c r="C121" t="s">
        <v>875</v>
      </c>
      <c r="D121" t="s">
        <v>617</v>
      </c>
      <c r="J121">
        <v>0</v>
      </c>
      <c r="K121" s="25">
        <v>45968</v>
      </c>
      <c r="L121" t="s">
        <v>577</v>
      </c>
      <c r="M121" t="s">
        <v>876</v>
      </c>
    </row>
    <row r="122" spans="1:13" x14ac:dyDescent="0.25">
      <c r="A122" t="s">
        <v>877</v>
      </c>
      <c r="B122" t="s">
        <v>878</v>
      </c>
      <c r="C122" t="s">
        <v>875</v>
      </c>
      <c r="D122" t="s">
        <v>617</v>
      </c>
      <c r="E122" t="s">
        <v>879</v>
      </c>
      <c r="F122" t="s">
        <v>880</v>
      </c>
      <c r="J122">
        <v>2</v>
      </c>
      <c r="K122" s="25">
        <v>46170</v>
      </c>
      <c r="L122" t="s">
        <v>577</v>
      </c>
      <c r="M122" t="s">
        <v>881</v>
      </c>
    </row>
    <row r="123" spans="1:13" x14ac:dyDescent="0.25">
      <c r="A123" t="s">
        <v>882</v>
      </c>
      <c r="B123" t="s">
        <v>883</v>
      </c>
      <c r="C123" t="s">
        <v>875</v>
      </c>
      <c r="D123" t="s">
        <v>617</v>
      </c>
      <c r="J123">
        <v>0</v>
      </c>
      <c r="K123" s="25">
        <v>45968</v>
      </c>
      <c r="L123" t="s">
        <v>577</v>
      </c>
      <c r="M123" t="s">
        <v>876</v>
      </c>
    </row>
    <row r="124" spans="1:13" x14ac:dyDescent="0.25">
      <c r="A124" t="s">
        <v>884</v>
      </c>
      <c r="B124" t="s">
        <v>885</v>
      </c>
      <c r="C124" t="s">
        <v>875</v>
      </c>
      <c r="D124" t="s">
        <v>617</v>
      </c>
      <c r="J124">
        <v>0</v>
      </c>
      <c r="K124" s="25">
        <v>45968</v>
      </c>
      <c r="L124" t="s">
        <v>577</v>
      </c>
      <c r="M124" t="s">
        <v>876</v>
      </c>
    </row>
    <row r="125" spans="1:13" x14ac:dyDescent="0.25">
      <c r="A125" t="s">
        <v>886</v>
      </c>
      <c r="B125" t="s">
        <v>887</v>
      </c>
      <c r="C125" t="s">
        <v>875</v>
      </c>
      <c r="D125" t="s">
        <v>617</v>
      </c>
      <c r="J125">
        <v>0</v>
      </c>
      <c r="K125" s="25">
        <v>45968</v>
      </c>
      <c r="L125" t="s">
        <v>577</v>
      </c>
      <c r="M125" t="s">
        <v>876</v>
      </c>
    </row>
    <row r="126" spans="1:13" x14ac:dyDescent="0.25">
      <c r="A126" t="s">
        <v>888</v>
      </c>
      <c r="B126" t="s">
        <v>889</v>
      </c>
      <c r="C126" t="s">
        <v>875</v>
      </c>
      <c r="D126" t="s">
        <v>617</v>
      </c>
      <c r="J126">
        <v>0</v>
      </c>
      <c r="K126" s="25">
        <v>45968</v>
      </c>
      <c r="L126" t="s">
        <v>577</v>
      </c>
      <c r="M126" t="s">
        <v>876</v>
      </c>
    </row>
    <row r="127" spans="1:13" x14ac:dyDescent="0.25">
      <c r="A127" t="s">
        <v>890</v>
      </c>
      <c r="B127" t="s">
        <v>891</v>
      </c>
      <c r="C127" t="s">
        <v>875</v>
      </c>
      <c r="D127" t="s">
        <v>617</v>
      </c>
      <c r="E127" t="s">
        <v>892</v>
      </c>
      <c r="J127">
        <v>1</v>
      </c>
      <c r="K127" s="25">
        <v>46170</v>
      </c>
      <c r="L127" t="s">
        <v>577</v>
      </c>
      <c r="M127" t="s">
        <v>881</v>
      </c>
    </row>
    <row r="128" spans="1:13" x14ac:dyDescent="0.25">
      <c r="A128" t="s">
        <v>893</v>
      </c>
      <c r="B128" t="s">
        <v>894</v>
      </c>
      <c r="C128" t="s">
        <v>875</v>
      </c>
      <c r="D128" t="s">
        <v>617</v>
      </c>
      <c r="J128">
        <v>0</v>
      </c>
      <c r="K128" s="25">
        <v>45968</v>
      </c>
      <c r="L128" t="s">
        <v>577</v>
      </c>
      <c r="M128" t="s">
        <v>876</v>
      </c>
    </row>
    <row r="129" spans="1:13" x14ac:dyDescent="0.25">
      <c r="A129" t="s">
        <v>895</v>
      </c>
      <c r="B129" t="s">
        <v>896</v>
      </c>
      <c r="C129" t="s">
        <v>875</v>
      </c>
      <c r="D129" t="s">
        <v>617</v>
      </c>
      <c r="J129">
        <v>0</v>
      </c>
      <c r="K129" s="25">
        <v>45968</v>
      </c>
      <c r="L129" t="s">
        <v>577</v>
      </c>
      <c r="M129" t="s">
        <v>876</v>
      </c>
    </row>
    <row r="307" spans="1:1" x14ac:dyDescent="0.25">
      <c r="A307" s="3" t="s">
        <v>435</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393</v>
      </c>
      <c r="C2" t="str">
        <f>IF('Project Info'!C5="","",'Project Info'!C5)</f>
        <v>Norcross, GA</v>
      </c>
    </row>
    <row r="3" spans="1:15" x14ac:dyDescent="0.25">
      <c r="B3" s="12" t="s">
        <v>436</v>
      </c>
      <c r="C3" s="22"/>
    </row>
    <row r="5" spans="1:15" ht="31.5" customHeight="1" x14ac:dyDescent="0.25">
      <c r="A5" s="18" t="s">
        <v>437</v>
      </c>
      <c r="B5" s="18" t="s">
        <v>438</v>
      </c>
      <c r="C5" s="18" t="s">
        <v>439</v>
      </c>
      <c r="D5" s="18" t="s">
        <v>440</v>
      </c>
      <c r="E5" s="18" t="s">
        <v>441</v>
      </c>
      <c r="F5" s="18" t="s">
        <v>442</v>
      </c>
      <c r="G5" s="18" t="s">
        <v>443</v>
      </c>
      <c r="H5" s="18" t="s">
        <v>444</v>
      </c>
      <c r="I5" s="18" t="s">
        <v>445</v>
      </c>
      <c r="J5" s="18" t="s">
        <v>286</v>
      </c>
      <c r="K5" s="18" t="s">
        <v>225</v>
      </c>
      <c r="L5" s="18" t="s">
        <v>446</v>
      </c>
      <c r="M5" s="18" t="s">
        <v>220</v>
      </c>
      <c r="N5" s="18" t="s">
        <v>373</v>
      </c>
      <c r="O5" s="18" t="s">
        <v>226</v>
      </c>
    </row>
    <row r="307" spans="1:1" x14ac:dyDescent="0.25">
      <c r="A307" s="3" t="s">
        <v>447</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23"/>
  <sheetViews>
    <sheetView showGridLines="0" tabSelected="1" zoomScaleNormal="100" workbookViewId="0">
      <selection activeCell="J24" sqref="J24"/>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448</v>
      </c>
      <c r="C2" s="2"/>
    </row>
    <row r="3" spans="2:3" x14ac:dyDescent="0.25">
      <c r="B3" s="3" t="s">
        <v>449</v>
      </c>
    </row>
    <row r="5" spans="2:3" x14ac:dyDescent="0.25">
      <c r="B5" s="4" t="s">
        <v>450</v>
      </c>
      <c r="C5" s="5"/>
    </row>
    <row r="6" spans="2:3" x14ac:dyDescent="0.25">
      <c r="B6" s="4" t="s">
        <v>451</v>
      </c>
      <c r="C6" s="5"/>
    </row>
    <row r="7" spans="2:3" x14ac:dyDescent="0.25">
      <c r="B7" s="4" t="s">
        <v>452</v>
      </c>
      <c r="C7" s="5"/>
    </row>
    <row r="8" spans="2:3" x14ac:dyDescent="0.25">
      <c r="B8" s="4" t="s">
        <v>453</v>
      </c>
      <c r="C8" s="5"/>
    </row>
    <row r="9" spans="2:3" x14ac:dyDescent="0.25">
      <c r="B9" s="4" t="s">
        <v>454</v>
      </c>
      <c r="C9" s="5"/>
    </row>
    <row r="10" spans="2:3" x14ac:dyDescent="0.25">
      <c r="B10" s="4" t="s">
        <v>455</v>
      </c>
      <c r="C10" s="5"/>
    </row>
    <row r="11" spans="2:3" x14ac:dyDescent="0.25">
      <c r="B11" s="4" t="s">
        <v>456</v>
      </c>
      <c r="C11" s="5"/>
    </row>
    <row r="12" spans="2:3" x14ac:dyDescent="0.25">
      <c r="B12" s="4" t="s">
        <v>457</v>
      </c>
      <c r="C12" s="5"/>
    </row>
    <row r="13" spans="2:3" x14ac:dyDescent="0.25">
      <c r="B13" s="4" t="s">
        <v>458</v>
      </c>
      <c r="C13" s="5"/>
    </row>
    <row r="14" spans="2:3" x14ac:dyDescent="0.25">
      <c r="B14" s="4" t="s">
        <v>459</v>
      </c>
      <c r="C14" s="5"/>
    </row>
    <row r="15" spans="2:3" x14ac:dyDescent="0.25">
      <c r="B15" s="4" t="s">
        <v>460</v>
      </c>
      <c r="C15" s="5"/>
    </row>
    <row r="16" spans="2:3" x14ac:dyDescent="0.25">
      <c r="B16" s="4" t="s">
        <v>461</v>
      </c>
      <c r="C16" s="5"/>
    </row>
    <row r="17" spans="2:3" x14ac:dyDescent="0.25">
      <c r="B17" s="4" t="s">
        <v>462</v>
      </c>
      <c r="C17" s="5"/>
    </row>
    <row r="18" spans="2:3" x14ac:dyDescent="0.25">
      <c r="B18" s="4" t="s">
        <v>463</v>
      </c>
      <c r="C18" s="5"/>
    </row>
    <row r="19" spans="2:3" x14ac:dyDescent="0.25">
      <c r="B19" s="4" t="s">
        <v>464</v>
      </c>
      <c r="C19" s="5"/>
    </row>
    <row r="20" spans="2:3" x14ac:dyDescent="0.25">
      <c r="B20" s="4" t="s">
        <v>465</v>
      </c>
      <c r="C20" s="5"/>
    </row>
    <row r="21" spans="2:3" x14ac:dyDescent="0.25">
      <c r="B21" s="4" t="s">
        <v>466</v>
      </c>
      <c r="C21" s="23">
        <f ca="1">TODAY()</f>
        <v>46300</v>
      </c>
    </row>
    <row r="23" spans="2:3" x14ac:dyDescent="0.25">
      <c r="B23" s="3" t="s">
        <v>467</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2026-10-05T23:45:54Z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