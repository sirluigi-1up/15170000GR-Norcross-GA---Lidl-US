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93735117-5662-4D5E-B51E-847CDB303717}" xr6:coauthVersionLast="47" xr6:coauthVersionMax="47" xr10:uidLastSave="{00000000-0000-0000-0000-000000000000}"/>
  <bookViews>
    <workbookView xWindow="-120" yWindow="-120" windowWidth="38640" windowHeight="23520" tabRatio="500" firstSheet="13"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Milestones'!$A$1:$F$56</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5" i="14"/>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S2" i="7"/>
  <c r="R2" i="7"/>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Q3" i="6"/>
  <c r="P3" i="6"/>
  <c r="M3" i="6"/>
  <c r="Q2" i="6"/>
  <c r="P2" i="6"/>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<sst xmlns="http://schemas.openxmlformats.org/spreadsheetml/2006/main" count="746" uniqueCount="562">
  <si>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</si>
  <si>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</si>
  <si>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</si>
  <si>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</si>
  <si>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</si>
  <si>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</si>
  <si>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</si>
  <si>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</si>
  <si>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</si>
  <si>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</si>
  <si>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</si>
  <si>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</si>
  <si>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</si>
  <si>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</si>
  <si>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</si>
  <si>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</si>
  <si>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</si>
  <si>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</si>
  <si>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</si>
  <si>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</si>
  <si>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</si>
  <si>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</si>
  <si>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</si>
  <si>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</si>
  <si>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</si>
  <si>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</si>
  <si>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Lump Sum</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</si>
  <si>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</si>
  <si>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</si>
  <si>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</si>
  <si>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</si>
  <si>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</si>
  <si>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</si>
  <si>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</si>
  <si>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</si>
  <si>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</si>
  <si>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</si>
  <si>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</si>
  <si>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</si>
  <si>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</si>
  <si>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</si>
  <si>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</si>
  <si>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</si>
  <si>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</si>
  <si>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</si>
  <si>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</si>
  <si>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</si>
  <si>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</si>
  <si>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</si>
  <si>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</si>
  <si>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</si>
  <si>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</si>
  <si>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</si>
  <si>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</si>
  <si>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</si>
  <si>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</si>
  <si>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</si>
  <si>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</si>
  <si>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</si>
  <si>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</si>
  <si>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</si>
  <si>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</si>
  <si>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</si>
  <si>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</si>
  <si>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</si>
  <si>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</si>
  <si>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</si>
  <si>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</si>
  <si>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</si>
  <si>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</si>
  <si>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</si>
  <si>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</si>
  <si>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</si>
  <si>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</si>
  <si>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</si>
  <si>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</si>
  <si>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</si>
  <si>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</si>
  <si>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</si>
  <si>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</si>
  <si>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</si>
  <si>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</si>
  <si>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</si>
  <si>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</si>
  <si>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</si>
  <si>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</si>
  <si>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</si>
  <si>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</si>
  <si>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</si>
  <si>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</si>
  <si>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</si>
  <si>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</si>
  <si>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</si>
  <si>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</si>
  <si>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</si>
  <si>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</si>
  <si>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</si>
  <si>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</si>
  <si>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</si>
  <si>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</si>
  <si>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</si>
  <si>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</si>
  <si>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</si>
  <si>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</si>
  <si>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</si>
  <si>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</si>
  <si>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</si>
  <si>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</si>
  <si>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</si>
  <si>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</si>
  <si>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</si>
  <si>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</si>
  <si>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</si>
  <si>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</si>
  <si>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</si>
  <si>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</si>
  <si>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</si>
  <si>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</si>
  <si>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</si>
  <si>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</si>
  <si>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</si>
  <si>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</si>
  <si>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</si>
  <si>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</si>
  <si>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</si>
  <si>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</si>
  <si>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</si>
  <si>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</si>
  <si>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</si>
  <si>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</si>
  <si>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</si>
  <si>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</si>
  <si>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</si>
  <si>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</si>
  <si>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</si>
  <si>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</si>
  <si>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</si>
  <si>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</si>
  <si>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</si>
  <si>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</si>
  <si>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</si>
  <si>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</si>
  <si>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</si>
  <si>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</si>
  <si>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</si>
  <si>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</si>
  <si>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</si>
  <si>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</si>
  <si>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</si>
  <si>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</si>
  <si>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</si>
  <si>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</si>
  <si>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</si>
  <si>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</si>
  <si>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</si>
  <si>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</si>
  <si>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</si>
  <si>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</si>
  <si>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</si>
  <si>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</si>
  <si>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</si>
  <si>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</si>
  <si>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</si>
  <si>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</si>
  <si>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</si>
  <si>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</si>
  <si>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</si>
  <si>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</si>
  <si>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</si>
  <si>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</si>
  <si>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</si>
  <si>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</si>
  <si>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</si>
  <si>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</si>
  <si>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</si>
  <si>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</si>
  <si>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</si>
  <si>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</si>
  <si>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</si>
  <si>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</si>
  <si>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</si>
  <si>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</si>
  <si>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</si>
  <si>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</si>
  <si>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</si>
  <si>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</si>
  <si>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</si>
  <si>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</si>
  <si>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</si>
  <si>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</si>
  <si>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</si>
  <si>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</si>
  <si>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</si>
  <si>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</si>
  <si>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</si>
  <si>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</si>
  <si>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</si>
  <si>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</si>
  <si>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</si>
  <si>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</si>
  <si>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</si>
  <si>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</si>
  <si>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</si>
  <si>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</si>
  <si>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</si>
  <si>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</si>
  <si>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</si>
  <si>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</si>
  <si>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</si>
  <si>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</si>
  <si>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</si>
  <si>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</si>
  <si>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</si>
  <si>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</si>
  <si>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</si>
  <si>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</si>
  <si>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</si>
  <si>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</si>
  <si>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</si>
  <si>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</si>
  <si>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</si>
  <si>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</si>
  <si>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</si>
  <si>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</si>
  <si>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</si>
  <si>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</si>
  <si>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</si>
  <si>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</si>
  <si>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</si>
  <si>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</si>
  <si>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</si>
  <si>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</si>
  <si>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</si>
  <si>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</si>
  <si>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</si>
  <si>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</si>
  <si>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</si>
  <si>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</si>
  <si>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</si>
  <si>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</si>
  <si>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</si>
  <si>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</si>
  <si>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</si>
  <si>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</si>
  <si>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</si>
  <si>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</si>
  <si>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</si>
  <si>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</si>
  <si>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</si>
  <si>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</si>
  <si>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</si>
  <si>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</si>
  <si>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</si>
  <si>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</si>
  <si>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</si>
  <si>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</si>
  <si>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</si>
  <si>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</si>
  <si>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</si>
  <si>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</si>
  <si>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</si>
  <si>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</si>
  <si>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</si>
  <si>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</si>
  <si>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</si>
  <si>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</si>
  <si>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</si>
  <si>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</si>
  <si>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</si>
  <si>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</si>
  <si>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</si>
  <si>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</si>
  <si>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</si>
  <si>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</si>
  <si>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</si>
  <si>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</si>
  <si>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</si>
  <si>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</si>
  <si>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</si>
  <si>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</si>
  <si>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</si>
  <si>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</si>
  <si>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</si>
  <si>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</si>
  <si>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</si>
  <si>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</si>
  <si>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</si>
  <si>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</si>
  <si>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</si>
  <si>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</si>
  <si>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</si>
  <si>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</si>
  <si>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</si>
  <si>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</si>
  <si>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</si>
  <si>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</si>
  <si>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</si>
  <si>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</si>
  <si>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</si>
  <si>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</si>
  <si>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</si>
  <si>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</si>
  <si>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</si>
  <si>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</si>
  <si>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</si>
  <si>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</si>
  <si>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</si>
  <si>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</si>
  <si>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</si>
  <si>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</si>
  <si>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</si>
  <si>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</si>
  <si>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</si>
  <si>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</si>
  <si>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</si>
  <si>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</si>
  <si>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</si>
  <si>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</si>
  <si>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</si>
  <si>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</si>
  <si>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</si>
  <si>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</si>
  <si>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</si>
  <si>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</si>
  <si>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</si>
  <si>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</si>
  <si>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</si>
  <si>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</si>
  <si>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</si>
  <si>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</si>
  <si>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</si>
  <si>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</si>
  <si>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</si>
  <si>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</si>
  <si>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</si>
  <si>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</si>
  <si>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</si>
  <si>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</si>
  <si>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</si>
  <si>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</si>
  <si>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</si>
  <si>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</si>
  <si>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</si>
  <si>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</si>
  <si>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</si>
  <si>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</si>
  <si>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</si>
  <si>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</si>
  <si>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</si>
  <si>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</si>
  <si>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</si>
  <si>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</si>
  <si>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</si>
  <si>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</si>
  <si>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</si>
  <si>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</si>
  <si>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</si>
  <si>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</si>
  <si>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</si>
  <si>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</si>
  <si>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</si>
  <si>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</si>
  <si>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</si>
  <si>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</si>
  <si>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</si>
  <si>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</si>
  <si>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</si>
  <si>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</si>
  <si>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</si>
  <si>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</si>
  <si>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</si>
  <si>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</si>
  <si>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</si>
  <si>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</si>
  <si>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</si>
  <si>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</si>
  <si>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</si>
  <si>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</si>
  <si>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</si>
  <si>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</si>
  <si>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</si>
  <si>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</si>
  <si>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</si>
  <si>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</si>
  <si>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</si>
  <si>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</si>
  <si>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</si>
  <si>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</si>
  <si>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</si>
  <si>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</si>
  <si>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</si>
  <si>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</si>
  <si>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</si>
  <si>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</si>
  <si>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</si>
  <si>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</si>
  <si>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</si>
  <si>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</si>
  <si>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</si>
  <si>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</si>
  <si>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</si>
  <si>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</si>
  <si>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</si>
  <si>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</si>
  <si>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</si>
  <si>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</si>
  <si>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</si>
  <si>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</si>
  <si>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</si>
  <si>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</si>
  <si>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</si>
  <si>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</si>
  <si>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</si>
  <si>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</si>
  <si>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</si>
  <si>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</si>
  <si>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</si>
  <si>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</si>
  <si>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</si>
  <si>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</si>
  <si>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</si>
  <si>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</si>
  <si>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</si>
  <si>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</si>
  <si>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</si>
  <si>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</si>
  <si>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</si>
  <si>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</si>
  <si>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</si>
  <si>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</si>
  <si>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</si>
  <si>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</si>
  <si>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</si>
  <si>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</si>
  <si>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</si>
  <si>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</si>
  <si>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</si>
  <si>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</si>
  <si>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</si>
  <si>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</si>
  <si>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</si>
  <si>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</si>
  <si>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</si>
  <si>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</si>
  <si>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</si>
  <si>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</si>
  <si>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</si>
  <si>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</si>
  <si>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</si>
  <si>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</si>
  <si>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</si>
  <si>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</si>
  <si>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</si>
  <si>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</si>
  <si>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</si>
  <si>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</si>
  <si>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</si>
  <si>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</si>
  <si>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</si>
  <si>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</si>
  <si>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</si>
  <si>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</si>
  <si>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</si>
  <si>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</si>
  <si>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</si>
  <si>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</si>
  <si>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</si>
  <si>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</si>
  <si>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</si>
  <si>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</si>
  <si>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</si>
  <si>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</si>
  <si>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</si>
  <si>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</si>
  <si>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</si>
  <si>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</si>
  <si>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</si>
  <si>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</si>
  <si>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</si>
  <si>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</si>
  <si>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</si>
  <si>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</si>
  <si>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</si>
  <si>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</si>
  <si>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</si>
  <si>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</si>
  <si>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</si>
  <si>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</si>
  <si>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</si>
  <si>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</si>
  <si>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</si>
  <si>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</si>
  <si>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</si>
  <si>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</si>
  <si>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</si>
  <si>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</si>
  <si>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</si>
  <si>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</si>
  <si>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</si>
  <si>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</si>
  <si>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</si>
  <si>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</si>
  <si>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</si>
  <si>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</si>
  <si>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</si>
  <si>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</si>
  <si>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</si>
  <si>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</si>
  <si>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</si>
  <si>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</si>
  <si>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</si>
  <si>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</si>
  <si>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</si>
  <si>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</si>
  <si>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</si>
  <si>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</si>
  <si>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</si>
  <si>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</si>
  <si>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</si>
  <si>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</si>
  <si>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</si>
  <si>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</si>
  <si>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</si>
  <si>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Stormwater Package Rev 0 (Procore 33 4100-2.0 / Fieldwire PSI-0002) - Hydro International First Defense hydrodynamic separator (ST8), Up-Flo water quality filter (ST5), Southeast Culvert 84in CMP underground detention. Reviewer: CHA Consulting (Christopher Manes) - no response. Req'd return per Fieldwire response due 9/9; Procore has no due date.</t>
  </si>
  <si>
    <t>Coles Construction</t>
  </si>
  <si>
    <t>Pending</t>
  </si>
  <si>
    <t>SUB-002_R0_Original_Procore_Export_2026-10-01.pdf; Submittal-002_Transmittal_Packaged.pdf (package INCLUDED, 62 pp) - folder: documents\submittals\SUB-002 - 334100 Storm Drainage</t>
  </si>
  <si>
    <t>SUB-003</t>
  </si>
  <si>
    <t>Coles Construction (supplier Core &amp; Main)</t>
  </si>
  <si>
    <t>SUB-003_R0_Original_Procore_Export_2026-10-01.pdf; Submittal-003_Transmittal_Packaged.pdf (package INCLUDED, 92 pp) - folder: documents\submittals\SUB-003 - 334100 Site Utilities</t>
  </si>
  <si>
    <t>HDPE Pipe Rev 0 (Procore 33 4100-1.0, Package #1 Site Utilities / Fieldwire PSI-0001) - ADS N-12 ST IB storm pipe (pkg Section 1). Attachment is the full Core &amp; Main site utility package; Procore splits Package #1 into one item per spec section (sanitary = SUB-004). Reviewer: CHA Consulting (Christopher Manes) - no response. Req'd return per Fieldwire response due 9/11; Procore has no due date.</t>
  </si>
  <si>
    <t>SUB-004</t>
  </si>
  <si>
    <t>33 3000</t>
  </si>
  <si>
    <t>Sanitary Sewer Rev 0 (Procore 33 3000-1.0, Package #1 Site Utilities / Fieldwire PSI-0001) - Diamond Sani-21 PVC sewer pipe &amp; fittings, cleanouts, Star Pipe heavy-duty covers, marking tape (pkg Section 2, export pp. 8-19). Same PSI-0001 attachment as SUB-003. Reviewer: CHA Consulting (Christopher Manes) - no response. Req'd return per Fieldwire response due 9/11; Procore has no due date.</t>
  </si>
  <si>
    <t>SUB-004_R0_Original_Procore_Export_2026-10-01.pdf; SUB-004_R0_Sanitary_Section_Only.pdf; Submittal-004_Transmittal_Packaged.pdf (package INCLUDED, 92 pp) - folder: documents\submittals\SUB-004 - 333000 Sanitary Sewer</t>
  </si>
  <si>
    <t>SUB-005</t>
  </si>
  <si>
    <t>33 1000</t>
  </si>
  <si>
    <t>Domestic Water &amp; Irrigation Rev 0 (Procore 33 1000-1.0, Package #1 Site Utilities / Fieldwire PSI-0001) - PVC pressure pipe &amp; DI fittings, 2in tap assemblies (Smith-Blair 313, Ford Meter Box), 2in DCV (Wilkins 950XLT), irrigation, 2in RPZ (Wilkins 975XL2) (pkg Section 3, export pp. 20-53). Same PSI-0001 attachment as SUB-003/004. Reviewer: CHA Consulting (Christopher Manes) - no response. Req'd return per Fieldwire response due 9/11; Procore has no due date.</t>
  </si>
  <si>
    <t>SUB-005_R0_Original_Procore_Export_2026-10-01.pdf; SUB-005_R0_Domestic_Water_Section_Only.pdf; Submittal-005_Transmittal_Packaged.pdf (package INCLUDED, 92 pp) - folder: documents\submittals\SUB-005 - 331000 Domestic Water</t>
  </si>
  <si>
    <t>SUB-006</t>
  </si>
  <si>
    <t>33</t>
  </si>
  <si>
    <t>Fire Main Rev 0 (Procore 33-1.0, Package #1 Site Utilities) - U.S. Pipe Tyton DI pipe &amp; fittings, tapping sleeve, M&amp;H 129 hydrant, 8in DCDA BFP vault (Wilkins 350ASTDA), 8in PIV, 8in gate valve (PSI-0001 pkg Section 4, export pp. 54-91). FLAG: Procore item has NO ATTACHMENT (cover only) and spec is division-level '33 - Utilities' - confirm CHA has the fire main cut sheets. Reviewer: CHA Consulting (Christopher Manes) - no response. Req'd return per Fieldwire response due 9/11.</t>
  </si>
  <si>
    <t>SUB-006_R0_Procore_Cover_Only_2026-10-01.pdf (Procore item has NO attachment); SUB-006_R0_Fire_Main_Section_REFERENCE_from_PSI-0001.pdf (from SUB-003 copy); Submittal-006_Transmittal_Packaged.pdf (42 pp) - folder: documents\submittals\SUB-006 - 33 Fire Main</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</si>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</sst>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8"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26">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166" fontId="4" fillId="0" borderId="0" xfId="0" applyNumberFormat="1" applyFont="1"/>
    <xf numFmtId="49" fontId="0" fillId="0" borderId="0" xfId="0" applyNumberFormat="1"/>
    <xf numFmtId="14" fontId="0" fillId="0" borderId="0" xfId="0" applyNumberFormat="1"/>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26</v>
      </c>
    </row>
    <row r="20" spans="2:3" x14ac:dyDescent="0.25">
      <c r="B20" s="4" t="s">
        <v>27</v>
      </c>
      <c r="C20" s="6"/>
    </row>
    <row r="21" spans="2:3" x14ac:dyDescent="0.25">
      <c r="B21" s="4" t="s">
        <v>28</v>
      </c>
      <c r="C21" s="6">
        <v>46290</v>
      </c>
    </row>
    <row r="22" spans="2:3" x14ac:dyDescent="0.25">
      <c r="B22" s="4" t="s">
        <v>29</v>
      </c>
      <c r="C22" s="6">
        <v>46559</v>
      </c>
    </row>
    <row r="24" spans="2:3" x14ac:dyDescent="0.25">
      <c r="B24" s="4" t="s">
        <v>30</v>
      </c>
      <c r="C24" s="7">
        <v>7958879</v>
      </c>
    </row>
    <row r="25" spans="2:3" x14ac:dyDescent="0.25">
      <c r="B25" s="4" t="s">
        <v>31</v>
      </c>
      <c r="C25" s="8">
        <f>SUMIFS('Change Order Log'!H2:H299,'Change Order Log'!J2:J299,"Approved")</f>
        <v>0</v>
      </c>
    </row>
    <row r="26" spans="2:3" x14ac:dyDescent="0.25">
      <c r="B26" s="4" t="s">
        <v>32</v>
      </c>
      <c r="C26" s="8">
        <f>C24+C25</f>
        <v>7958879</v>
      </c>
    </row>
    <row r="28" spans="2:3" x14ac:dyDescent="0.25">
      <c r="B28" s="4" t="s">
        <v>33</v>
      </c>
      <c r="C28" s="5" t="s">
        <v>34</v>
      </c>
    </row>
    <row r="29" spans="2:3" x14ac:dyDescent="0.25">
      <c r="B29" s="4" t="s">
        <v>35</v>
      </c>
      <c r="C29" s="5" t="s">
        <v>20</v>
      </c>
    </row>
    <row r="30" spans="2:3" x14ac:dyDescent="0.25">
      <c r="B30" s="4" t="s">
        <v>36</v>
      </c>
      <c r="C30" s="9">
        <f ca="1">TODAY()</f>
        <v>46296</v>
      </c>
    </row>
    <row r="32" spans="2:3" x14ac:dyDescent="0.25">
      <c r="B32" s="3" t="s">
        <v>37</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38</v>
      </c>
    </row>
    <row r="4" spans="2:2" x14ac:dyDescent="0.25">
      <c r="B4" s="11"/>
    </row>
    <row r="5" spans="2:2" x14ac:dyDescent="0.25">
      <c r="B5" s="11" t="s">
        <v>39</v>
      </c>
    </row>
    <row r="6" spans="2:2" x14ac:dyDescent="0.25">
      <c r="B6" s="11"/>
    </row>
    <row r="7" spans="2:2" x14ac:dyDescent="0.25">
      <c r="B7" s="11" t="s">
        <v>40</v>
      </c>
    </row>
    <row r="8" spans="2:2" x14ac:dyDescent="0.25">
      <c r="B8" s="11" t="s">
        <v>41</v>
      </c>
    </row>
    <row r="9" spans="2:2" x14ac:dyDescent="0.25">
      <c r="B9" s="11" t="s">
        <v>42</v>
      </c>
    </row>
    <row r="10" spans="2:2" x14ac:dyDescent="0.25">
      <c r="B10" s="11" t="s">
        <v>43</v>
      </c>
    </row>
    <row r="11" spans="2:2" x14ac:dyDescent="0.25">
      <c r="B11" s="11" t="s">
        <v>44</v>
      </c>
    </row>
    <row r="12" spans="2:2" x14ac:dyDescent="0.25">
      <c r="B12" s="11" t="s">
        <v>45</v>
      </c>
    </row>
    <row r="13" spans="2:2" x14ac:dyDescent="0.25">
      <c r="B13" s="11" t="s">
        <v>46</v>
      </c>
    </row>
    <row r="14" spans="2:2" x14ac:dyDescent="0.25">
      <c r="B14" s="11" t="s">
        <v>47</v>
      </c>
    </row>
    <row r="15" spans="2:2" x14ac:dyDescent="0.25">
      <c r="B15" s="11" t="s">
        <v>48</v>
      </c>
    </row>
    <row r="16" spans="2:2" x14ac:dyDescent="0.25">
      <c r="B16" s="11" t="s">
        <v>49</v>
      </c>
    </row>
    <row r="17" spans="2:2" x14ac:dyDescent="0.25">
      <c r="B17" s="11" t="s">
        <v>50</v>
      </c>
    </row>
    <row r="18" spans="2:2" x14ac:dyDescent="0.25">
      <c r="B18" s="11" t="s">
        <v>51</v>
      </c>
    </row>
    <row r="19" spans="2:2" x14ac:dyDescent="0.25">
      <c r="B19" s="11" t="s">
        <v>52</v>
      </c>
    </row>
    <row r="20" spans="2:2" x14ac:dyDescent="0.25">
      <c r="B20" s="11" t="s">
        <v>53</v>
      </c>
    </row>
    <row r="21" spans="2:2" x14ac:dyDescent="0.25">
      <c r="B21" s="11" t="s">
        <v>54</v>
      </c>
    </row>
    <row r="22" spans="2:2" x14ac:dyDescent="0.25">
      <c r="B22" s="11" t="s">
        <v>55</v>
      </c>
    </row>
    <row r="23" spans="2:2" x14ac:dyDescent="0.25">
      <c r="B23" s="11" t="s">
        <v>56</v>
      </c>
    </row>
    <row r="24" spans="2:2" x14ac:dyDescent="0.25">
      <c r="B24" s="11" t="s">
        <v>57</v>
      </c>
    </row>
    <row r="25" spans="2:2" x14ac:dyDescent="0.25">
      <c r="B25" s="11" t="s">
        <v>58</v>
      </c>
    </row>
    <row r="26" spans="2:2" x14ac:dyDescent="0.25">
      <c r="B26" s="11" t="s">
        <v>59</v>
      </c>
    </row>
    <row r="27" spans="2:2" x14ac:dyDescent="0.25">
      <c r="B27" s="11" t="s">
        <v>60</v>
      </c>
    </row>
    <row r="28" spans="2:2" x14ac:dyDescent="0.25">
      <c r="B28" s="11" t="s">
        <v>61</v>
      </c>
    </row>
    <row r="29" spans="2:2" x14ac:dyDescent="0.25">
      <c r="B29" s="11" t="s">
        <v>62</v>
      </c>
    </row>
    <row r="30" spans="2:2" x14ac:dyDescent="0.25">
      <c r="B30" s="11" t="s">
        <v>63</v>
      </c>
    </row>
    <row r="31" spans="2:2" x14ac:dyDescent="0.25">
      <c r="B31" s="11" t="s">
        <v>64</v>
      </c>
    </row>
    <row r="32" spans="2:2" x14ac:dyDescent="0.25">
      <c r="B32" s="11" t="s">
        <v>65</v>
      </c>
    </row>
    <row r="33" spans="2:2" x14ac:dyDescent="0.25">
      <c r="B33" s="11" t="s">
        <v>66</v>
      </c>
    </row>
    <row r="34" spans="2:2" x14ac:dyDescent="0.25">
      <c r="B34" s="11" t="s">
        <v>67</v>
      </c>
    </row>
    <row r="35" spans="2:2" x14ac:dyDescent="0.25">
      <c r="B35" s="11" t="s">
        <v>68</v>
      </c>
    </row>
    <row r="36" spans="2:2" x14ac:dyDescent="0.25">
      <c r="B36" s="11" t="s">
        <v>69</v>
      </c>
    </row>
    <row r="37" spans="2:2" x14ac:dyDescent="0.25">
      <c r="B37" s="11" t="s">
        <v>70</v>
      </c>
    </row>
    <row r="38" spans="2:2" x14ac:dyDescent="0.25">
      <c r="B38" s="11" t="s">
        <v>71</v>
      </c>
    </row>
    <row r="39" spans="2:2" x14ac:dyDescent="0.25">
      <c r="B39" s="11" t="s">
        <v>72</v>
      </c>
    </row>
    <row r="40" spans="2:2" x14ac:dyDescent="0.25">
      <c r="B40" s="11" t="s">
        <v>73</v>
      </c>
    </row>
    <row r="41" spans="2:2" x14ac:dyDescent="0.25">
      <c r="B41" s="11" t="s">
        <v>74</v>
      </c>
    </row>
    <row r="42" spans="2:2" x14ac:dyDescent="0.25">
      <c r="B42" s="11" t="s">
        <v>75</v>
      </c>
    </row>
    <row r="43" spans="2:2" x14ac:dyDescent="0.25">
      <c r="B43" s="11" t="s">
        <v>76</v>
      </c>
    </row>
    <row r="44" spans="2:2" x14ac:dyDescent="0.25">
      <c r="B44" s="11" t="s">
        <v>77</v>
      </c>
    </row>
    <row r="45" spans="2:2" x14ac:dyDescent="0.25">
      <c r="B45" s="11" t="s">
        <v>78</v>
      </c>
    </row>
    <row r="46" spans="2:2" x14ac:dyDescent="0.25">
      <c r="B46" s="11" t="s">
        <v>79</v>
      </c>
    </row>
    <row r="47" spans="2:2" x14ac:dyDescent="0.25">
      <c r="B47" s="11" t="s">
        <v>80</v>
      </c>
    </row>
    <row r="48" spans="2:2" x14ac:dyDescent="0.25">
      <c r="B48" s="11" t="s">
        <v>81</v>
      </c>
    </row>
    <row r="49" spans="2:2" x14ac:dyDescent="0.25">
      <c r="B49" s="11" t="s">
        <v>82</v>
      </c>
    </row>
    <row r="50" spans="2:2" x14ac:dyDescent="0.25">
      <c r="B50" s="11" t="s">
        <v>83</v>
      </c>
    </row>
    <row r="51" spans="2:2" x14ac:dyDescent="0.25">
      <c r="B51" s="11" t="s">
        <v>84</v>
      </c>
    </row>
    <row r="52" spans="2:2" x14ac:dyDescent="0.25">
      <c r="B52" s="11" t="s">
        <v>85</v>
      </c>
    </row>
    <row r="53" spans="2:2" x14ac:dyDescent="0.25">
      <c r="B53" s="11"/>
    </row>
    <row r="54" spans="2:2" x14ac:dyDescent="0.25">
      <c r="B54" s="11" t="s">
        <v>86</v>
      </c>
    </row>
    <row r="55" spans="2:2" x14ac:dyDescent="0.25">
      <c r="B55" s="11" t="s">
        <v>87</v>
      </c>
    </row>
    <row r="56" spans="2:2" x14ac:dyDescent="0.25">
      <c r="B56" s="11" t="s">
        <v>88</v>
      </c>
    </row>
    <row r="57" spans="2:2" x14ac:dyDescent="0.25">
      <c r="B57" s="11" t="s">
        <v>89</v>
      </c>
    </row>
    <row r="58" spans="2:2" x14ac:dyDescent="0.25">
      <c r="B58" s="11" t="s">
        <v>90</v>
      </c>
    </row>
    <row r="59" spans="2:2" x14ac:dyDescent="0.25">
      <c r="B59" s="11" t="s">
        <v>91</v>
      </c>
    </row>
    <row r="60" spans="2:2" x14ac:dyDescent="0.25">
      <c r="B60" s="11" t="s">
        <v>92</v>
      </c>
    </row>
    <row r="61" spans="2:2" x14ac:dyDescent="0.25">
      <c r="B61" s="11" t="s">
        <v>93</v>
      </c>
    </row>
    <row r="62" spans="2:2" x14ac:dyDescent="0.25">
      <c r="B62" s="11"/>
    </row>
    <row r="63" spans="2:2" x14ac:dyDescent="0.25">
      <c r="B63" s="11" t="s">
        <v>94</v>
      </c>
    </row>
    <row r="64" spans="2:2" x14ac:dyDescent="0.25">
      <c r="B64" s="11" t="s">
        <v>95</v>
      </c>
    </row>
    <row r="65" spans="2:2" x14ac:dyDescent="0.25">
      <c r="B65" s="11" t="s">
        <v>96</v>
      </c>
    </row>
    <row r="66" spans="2:2" x14ac:dyDescent="0.25">
      <c r="B66" s="11" t="s">
        <v>97</v>
      </c>
    </row>
    <row r="67" spans="2:2" x14ac:dyDescent="0.25">
      <c r="B67" s="11" t="s">
        <v>98</v>
      </c>
    </row>
    <row r="68" spans="2:2" x14ac:dyDescent="0.25">
      <c r="B68" s="11" t="s">
        <v>99</v>
      </c>
    </row>
    <row r="69" spans="2:2" x14ac:dyDescent="0.25">
      <c r="B69" s="11" t="s">
        <v>100</v>
      </c>
    </row>
    <row r="70" spans="2:2" x14ac:dyDescent="0.25">
      <c r="B70" s="11" t="s">
        <v>101</v>
      </c>
    </row>
    <row r="71" spans="2:2" x14ac:dyDescent="0.25">
      <c r="B71" s="11" t="s">
        <v>102</v>
      </c>
    </row>
    <row r="72" spans="2:2" x14ac:dyDescent="0.25">
      <c r="B72" s="11" t="s">
        <v>103</v>
      </c>
    </row>
    <row r="73" spans="2:2" x14ac:dyDescent="0.25">
      <c r="B73" s="11" t="s">
        <v>104</v>
      </c>
    </row>
    <row r="74" spans="2:2" x14ac:dyDescent="0.25">
      <c r="B74" s="11" t="s">
        <v>105</v>
      </c>
    </row>
    <row r="75" spans="2:2" x14ac:dyDescent="0.25">
      <c r="B75" s="11"/>
    </row>
    <row r="76" spans="2:2" x14ac:dyDescent="0.25">
      <c r="B76" s="11" t="s">
        <v>106</v>
      </c>
    </row>
    <row r="77" spans="2:2" x14ac:dyDescent="0.25">
      <c r="B77" s="11" t="s">
        <v>107</v>
      </c>
    </row>
    <row r="78" spans="2:2" x14ac:dyDescent="0.25">
      <c r="B78" s="11" t="s">
        <v>108</v>
      </c>
    </row>
    <row r="79" spans="2:2" x14ac:dyDescent="0.25">
      <c r="B79" s="11" t="s">
        <v>109</v>
      </c>
    </row>
    <row r="80" spans="2:2" x14ac:dyDescent="0.25">
      <c r="B80" s="11" t="s">
        <v>110</v>
      </c>
    </row>
    <row r="81" spans="2:2" x14ac:dyDescent="0.25">
      <c r="B81" s="11" t="s">
        <v>111</v>
      </c>
    </row>
    <row r="82" spans="2:2" x14ac:dyDescent="0.25">
      <c r="B82" s="11" t="s">
        <v>112</v>
      </c>
    </row>
    <row r="83" spans="2:2" x14ac:dyDescent="0.25">
      <c r="B83" s="11" t="s">
        <v>113</v>
      </c>
    </row>
    <row r="84" spans="2:2" x14ac:dyDescent="0.25">
      <c r="B84" s="11" t="s">
        <v>114</v>
      </c>
    </row>
    <row r="85" spans="2:2" x14ac:dyDescent="0.25">
      <c r="B85" s="11"/>
    </row>
    <row r="86" spans="2:2" x14ac:dyDescent="0.25">
      <c r="B86" s="11" t="s">
        <v>115</v>
      </c>
    </row>
    <row r="87" spans="2:2" x14ac:dyDescent="0.25">
      <c r="B87" s="11" t="s">
        <v>116</v>
      </c>
    </row>
    <row r="88" spans="2:2" x14ac:dyDescent="0.25">
      <c r="B88" s="11" t="s">
        <v>117</v>
      </c>
    </row>
    <row r="89" spans="2:2" x14ac:dyDescent="0.25">
      <c r="B89" s="11" t="s">
        <v>118</v>
      </c>
    </row>
    <row r="90" spans="2:2" x14ac:dyDescent="0.25">
      <c r="B90" s="11" t="s">
        <v>119</v>
      </c>
    </row>
    <row r="91" spans="2:2" x14ac:dyDescent="0.25">
      <c r="B91" s="11" t="s">
        <v>120</v>
      </c>
    </row>
    <row r="92" spans="2:2" x14ac:dyDescent="0.25">
      <c r="B92" s="11" t="s">
        <v>121</v>
      </c>
    </row>
    <row r="93" spans="2:2" x14ac:dyDescent="0.25">
      <c r="B93" s="11" t="s">
        <v>122</v>
      </c>
    </row>
    <row r="94" spans="2:2" x14ac:dyDescent="0.25">
      <c r="B94" s="11" t="s">
        <v>123</v>
      </c>
    </row>
    <row r="95" spans="2:2" x14ac:dyDescent="0.25">
      <c r="B95" s="11" t="s">
        <v>124</v>
      </c>
    </row>
    <row r="96" spans="2:2" x14ac:dyDescent="0.25">
      <c r="B96" s="11" t="s">
        <v>125</v>
      </c>
    </row>
    <row r="97" spans="2:2" x14ac:dyDescent="0.25">
      <c r="B97" s="11" t="s">
        <v>126</v>
      </c>
    </row>
    <row r="98" spans="2:2" x14ac:dyDescent="0.25">
      <c r="B98" s="11" t="s">
        <v>127</v>
      </c>
    </row>
    <row r="99" spans="2:2" x14ac:dyDescent="0.25">
      <c r="B99" s="11" t="s">
        <v>128</v>
      </c>
    </row>
    <row r="100" spans="2:2" x14ac:dyDescent="0.25">
      <c r="B100" s="11" t="s">
        <v>129</v>
      </c>
    </row>
    <row r="101" spans="2:2" x14ac:dyDescent="0.25">
      <c r="B101" s="11" t="s">
        <v>130</v>
      </c>
    </row>
    <row r="102" spans="2:2" x14ac:dyDescent="0.25">
      <c r="B102" s="11" t="s">
        <v>131</v>
      </c>
    </row>
    <row r="103" spans="2:2" x14ac:dyDescent="0.25">
      <c r="B103" s="11" t="s">
        <v>132</v>
      </c>
    </row>
    <row r="104" spans="2:2" x14ac:dyDescent="0.25">
      <c r="B104" s="11" t="s">
        <v>133</v>
      </c>
    </row>
    <row r="105" spans="2:2" x14ac:dyDescent="0.25">
      <c r="B105" s="11" t="s">
        <v>134</v>
      </c>
    </row>
    <row r="106" spans="2:2" x14ac:dyDescent="0.25">
      <c r="B106" s="11" t="s">
        <v>135</v>
      </c>
    </row>
    <row r="107" spans="2:2" x14ac:dyDescent="0.25">
      <c r="B107" s="11" t="s">
        <v>136</v>
      </c>
    </row>
    <row r="108" spans="2:2" x14ac:dyDescent="0.25">
      <c r="B108" s="11" t="s">
        <v>137</v>
      </c>
    </row>
    <row r="109" spans="2:2" x14ac:dyDescent="0.25">
      <c r="B109" s="11" t="s">
        <v>138</v>
      </c>
    </row>
    <row r="110" spans="2:2" x14ac:dyDescent="0.25">
      <c r="B110" s="11" t="s">
        <v>139</v>
      </c>
    </row>
    <row r="111" spans="2:2" x14ac:dyDescent="0.25">
      <c r="B111" s="11" t="s">
        <v>140</v>
      </c>
    </row>
    <row r="112" spans="2:2" x14ac:dyDescent="0.25">
      <c r="B112" s="11" t="s">
        <v>141</v>
      </c>
    </row>
    <row r="113" spans="2:2" x14ac:dyDescent="0.25">
      <c r="B113" s="11" t="s">
        <v>142</v>
      </c>
    </row>
    <row r="114" spans="2:2" x14ac:dyDescent="0.25">
      <c r="B114" s="11" t="s">
        <v>143</v>
      </c>
    </row>
    <row r="115" spans="2:2" x14ac:dyDescent="0.25">
      <c r="B115" s="11" t="s">
        <v>144</v>
      </c>
    </row>
    <row r="116" spans="2:2" x14ac:dyDescent="0.25">
      <c r="B116" s="11" t="s">
        <v>145</v>
      </c>
    </row>
    <row r="117" spans="2:2" x14ac:dyDescent="0.25">
      <c r="B117" s="11" t="s">
        <v>146</v>
      </c>
    </row>
    <row r="118" spans="2:2" x14ac:dyDescent="0.25">
      <c r="B118" s="11" t="s">
        <v>147</v>
      </c>
    </row>
    <row r="119" spans="2:2" x14ac:dyDescent="0.25">
      <c r="B119" s="11" t="s">
        <v>148</v>
      </c>
    </row>
    <row r="120" spans="2:2" x14ac:dyDescent="0.25">
      <c r="B120" s="11" t="s">
        <v>149</v>
      </c>
    </row>
    <row r="121" spans="2:2" x14ac:dyDescent="0.25">
      <c r="B121" s="11" t="s">
        <v>150</v>
      </c>
    </row>
    <row r="122" spans="2:2" x14ac:dyDescent="0.25">
      <c r="B122" s="11" t="s">
        <v>151</v>
      </c>
    </row>
    <row r="123" spans="2:2" x14ac:dyDescent="0.25">
      <c r="B123" s="11" t="s">
        <v>152</v>
      </c>
    </row>
    <row r="124" spans="2:2" x14ac:dyDescent="0.25">
      <c r="B124" s="11" t="s">
        <v>153</v>
      </c>
    </row>
    <row r="125" spans="2:2" x14ac:dyDescent="0.25">
      <c r="B125" s="11" t="s">
        <v>154</v>
      </c>
    </row>
    <row r="126" spans="2:2" x14ac:dyDescent="0.25">
      <c r="B126" s="11" t="s">
        <v>155</v>
      </c>
    </row>
    <row r="127" spans="2:2" x14ac:dyDescent="0.25">
      <c r="B127" s="11" t="s">
        <v>156</v>
      </c>
    </row>
    <row r="128" spans="2:2" x14ac:dyDescent="0.25">
      <c r="B128" s="11"/>
    </row>
    <row r="129" spans="2:2" x14ac:dyDescent="0.25">
      <c r="B129" s="11" t="s">
        <v>157</v>
      </c>
    </row>
    <row r="130" spans="2:2" x14ac:dyDescent="0.25">
      <c r="B130" s="11" t="s">
        <v>158</v>
      </c>
    </row>
    <row r="131" spans="2:2" x14ac:dyDescent="0.25">
      <c r="B131" s="11"/>
    </row>
    <row r="132" spans="2:2" x14ac:dyDescent="0.25">
      <c r="B132" s="11" t="s">
        <v>159</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160</v>
      </c>
      <c r="C2" s="2"/>
      <c r="D2" s="2"/>
    </row>
    <row r="3" spans="2:4" x14ac:dyDescent="0.25">
      <c r="B3" s="3" t="s">
        <v>161</v>
      </c>
    </row>
    <row r="5" spans="2:4" x14ac:dyDescent="0.25">
      <c r="B5" s="12" t="s">
        <v>162</v>
      </c>
      <c r="C5" t="str">
        <f>IF('Project Info'!C5="","",'Project Info'!C5)</f>
        <v>Norcross, GA</v>
      </c>
    </row>
    <row r="6" spans="2:4" x14ac:dyDescent="0.25">
      <c r="B6" s="12" t="s">
        <v>163</v>
      </c>
      <c r="C6" t="str">
        <f>IF('Project Info'!C6="","",'Project Info'!C6)</f>
        <v>#1517</v>
      </c>
    </row>
    <row r="7" spans="2:4" x14ac:dyDescent="0.25">
      <c r="B7" s="12" t="s">
        <v>164</v>
      </c>
      <c r="C7" s="13">
        <f ca="1">TODAY()</f>
        <v>46296</v>
      </c>
    </row>
    <row r="9" spans="2:4" x14ac:dyDescent="0.25">
      <c r="B9" s="14"/>
    </row>
    <row r="10" spans="2:4" x14ac:dyDescent="0.25">
      <c r="B10" s="15" t="s">
        <v>165</v>
      </c>
      <c r="C10" s="16"/>
    </row>
    <row r="11" spans="2:4" x14ac:dyDescent="0.25">
      <c r="B11" s="14" t="s">
        <v>166</v>
      </c>
      <c r="C11" s="4">
        <f ca="1">COUNTIF('RFI Log'!K2:K299,"Open")</f>
        <v>0</v>
      </c>
    </row>
    <row r="12" spans="2:4" x14ac:dyDescent="0.25">
      <c r="B12" s="14" t="s">
        <v>167</v>
      </c>
      <c r="C12" s="4">
        <f ca="1">COUNTIF('RFI Log'!K2:K299,"Overdue")</f>
        <v>0</v>
      </c>
    </row>
    <row r="13" spans="2:4" x14ac:dyDescent="0.25">
      <c r="B13" s="14" t="s">
        <v>168</v>
      </c>
      <c r="C13" s="4">
        <f ca="1">COUNTIF('RFI Log'!K2:K299,"Closed")</f>
        <v>6</v>
      </c>
    </row>
    <row r="14" spans="2:4" x14ac:dyDescent="0.25">
      <c r="B14" s="15" t="s">
        <v>169</v>
      </c>
      <c r="C14" s="16"/>
    </row>
    <row r="15" spans="2:4" x14ac:dyDescent="0.25">
      <c r="B15" s="14" t="s">
        <v>170</v>
      </c>
      <c r="C15" s="4">
        <f>COUNTIFS('Submittal Log'!G2:G299,"&lt;&gt;",'Submittal Log'!I2:I299,"")</f>
        <v>8</v>
      </c>
    </row>
    <row r="16" spans="2:4" x14ac:dyDescent="0.25">
      <c r="B16" s="14" t="s">
        <v>171</v>
      </c>
      <c r="C16" s="4">
        <f>COUNTIF('Submittal Log'!J2:J299,"Revise &amp; Resubmit")</f>
        <v>0</v>
      </c>
    </row>
    <row r="17" spans="2:3" x14ac:dyDescent="0.25">
      <c r="B17" s="15" t="s">
        <v>172</v>
      </c>
      <c r="C17" s="16"/>
    </row>
    <row r="18" spans="2:3" x14ac:dyDescent="0.25">
      <c r="B18" s="14" t="s">
        <v>173</v>
      </c>
      <c r="C18" s="4">
        <f>COUNTIF('Change Order Log'!J2:J299,"Pending")</f>
        <v>0</v>
      </c>
    </row>
    <row r="19" spans="2:3" x14ac:dyDescent="0.25">
      <c r="B19" s="14" t="s">
        <v>174</v>
      </c>
      <c r="C19" s="17">
        <f>SUMIFS('Change Order Log'!H2:H299,'Change Order Log'!J2:J299,"Approved")</f>
        <v>0</v>
      </c>
    </row>
    <row r="20" spans="2:3" x14ac:dyDescent="0.25">
      <c r="B20" s="15" t="s">
        <v>175</v>
      </c>
      <c r="C20" s="16"/>
    </row>
    <row r="21" spans="2:3" x14ac:dyDescent="0.25">
      <c r="B21" s="14" t="s">
        <v>176</v>
      </c>
      <c r="C21" s="4">
        <f>COUNTIF('Subcontractor CO Log'!K2:K299,"Under Review")</f>
        <v>0</v>
      </c>
    </row>
    <row r="22" spans="2:3" x14ac:dyDescent="0.25">
      <c r="B22" s="14" t="s">
        <v>177</v>
      </c>
      <c r="C22" s="4">
        <f>COUNTIF('Subcontractor CO Log'!K2:K299,"Rejected")</f>
        <v>0</v>
      </c>
    </row>
    <row r="23" spans="2:3" x14ac:dyDescent="0.25">
      <c r="B23" s="14" t="s">
        <v>174</v>
      </c>
      <c r="C23" s="17">
        <f>SUMIFS('Subcontractor CO Log'!N2:N299,'Subcontractor CO Log'!K2:K299,"Approved")</f>
        <v>0</v>
      </c>
    </row>
    <row r="24" spans="2:3" x14ac:dyDescent="0.25">
      <c r="B24" s="15" t="s">
        <v>178</v>
      </c>
      <c r="C24" s="16"/>
    </row>
    <row r="25" spans="2:3" x14ac:dyDescent="0.25">
      <c r="B25" s="14" t="s">
        <v>166</v>
      </c>
      <c r="C25" s="4">
        <f>COUNTIF('Claims Log'!K2:K299,"Open")</f>
        <v>0</v>
      </c>
    </row>
    <row r="26" spans="2:3" x14ac:dyDescent="0.25">
      <c r="B26" s="14" t="s">
        <v>179</v>
      </c>
      <c r="C26" s="4">
        <f>COUNTIF('Claims Log'!F2:F299,"NO - LATE")</f>
        <v>0</v>
      </c>
    </row>
    <row r="27" spans="2:3" x14ac:dyDescent="0.25">
      <c r="B27" s="15" t="s">
        <v>180</v>
      </c>
      <c r="C27" s="16"/>
    </row>
    <row r="28" spans="2:3" x14ac:dyDescent="0.25">
      <c r="B28" s="14" t="s">
        <v>181</v>
      </c>
      <c r="C28" s="4">
        <f>COUNTIFS('Risk Register'!H2:H299,"High",'Risk Register'!M2:M299,"Open")</f>
        <v>0</v>
      </c>
    </row>
    <row r="29" spans="2:3" x14ac:dyDescent="0.25">
      <c r="B29" s="14" t="s">
        <v>182</v>
      </c>
      <c r="C29" s="4">
        <f>COUNTIF('Risk Register'!M2:M299,"Open")</f>
        <v>0</v>
      </c>
    </row>
    <row r="30" spans="2:3" x14ac:dyDescent="0.25">
      <c r="B30" s="15" t="s">
        <v>183</v>
      </c>
      <c r="C30" s="16"/>
    </row>
    <row r="31" spans="2:3" x14ac:dyDescent="0.25">
      <c r="B31" s="14" t="s">
        <v>166</v>
      </c>
      <c r="C31" s="4">
        <f>COUNTIF('Meeting Minutes Log'!I2:I299,"Open")</f>
        <v>12</v>
      </c>
    </row>
    <row r="32" spans="2:3" x14ac:dyDescent="0.25">
      <c r="B32" s="14" t="s">
        <v>167</v>
      </c>
      <c r="C32" s="4">
        <f ca="1">SUMPRODUCT(('Meeting Minutes Log'!$H$2:$H$299&lt;&gt;"")*('Meeting Minutes Log'!$H$2:$H$299&lt;TODAY())*('Meeting Minutes Log'!$I$2:$I$299&lt;&gt;"Closed"))</f>
        <v>0</v>
      </c>
    </row>
    <row r="33" spans="2:3" x14ac:dyDescent="0.25">
      <c r="B33" s="15" t="s">
        <v>184</v>
      </c>
      <c r="C33" s="16"/>
    </row>
    <row r="34" spans="2:3" x14ac:dyDescent="0.25">
      <c r="B34" s="14" t="s">
        <v>185</v>
      </c>
      <c r="C34" s="4">
        <f>COUNTIFS('Contract Review Log'!G2:G299,"High",'Contract Review Log'!I2:I299,"Open")</f>
        <v>0</v>
      </c>
    </row>
    <row r="35" spans="2:3" x14ac:dyDescent="0.25">
      <c r="B35" s="15" t="s">
        <v>186</v>
      </c>
      <c r="C35" s="16"/>
    </row>
    <row r="36" spans="2:3" x14ac:dyDescent="0.25">
      <c r="B36" s="14" t="s">
        <v>187</v>
      </c>
      <c r="C36" s="4">
        <f ca="1">COUNTIF('Contract Milestones'!D2:D296,"Missed")</f>
        <v>0</v>
      </c>
    </row>
    <row r="37" spans="2:3" x14ac:dyDescent="0.25">
      <c r="B37" s="14" t="s">
        <v>188</v>
      </c>
      <c r="C37" s="4">
        <f ca="1">COUNTIF('Contract Milestones'!D2:D296,"Met - Late")</f>
        <v>0</v>
      </c>
    </row>
    <row r="38" spans="2:3" x14ac:dyDescent="0.25">
      <c r="B38" s="14" t="s">
        <v>189</v>
      </c>
      <c r="C38" s="4">
        <f ca="1">COUNTIF('Contract Milestones'!D2:D296,"Due Soon")</f>
        <v>0</v>
      </c>
    </row>
    <row r="39" spans="2:3" x14ac:dyDescent="0.25">
      <c r="B39" s="15" t="s">
        <v>190</v>
      </c>
      <c r="C39" s="16"/>
    </row>
    <row r="40" spans="2:3" x14ac:dyDescent="0.25">
      <c r="B40" s="14" t="s">
        <v>191</v>
      </c>
      <c r="C40" s="4">
        <f ca="1">COUNTIF('Permit Tracker'!J6:J303,"ACTION NEEDED")</f>
        <v>0</v>
      </c>
    </row>
    <row r="41" spans="2:3" x14ac:dyDescent="0.25">
      <c r="B41" s="14" t="s">
        <v>192</v>
      </c>
      <c r="C41" s="4">
        <f ca="1">COUNTIF('Permit Tracker'!J6:J303,"EXPIRING SOON")</f>
        <v>0</v>
      </c>
    </row>
    <row r="42" spans="2:3" x14ac:dyDescent="0.25">
      <c r="B42" s="14" t="s">
        <v>193</v>
      </c>
      <c r="C42" s="4">
        <f>COUNTIF('Permit Tracker'!E6:E303,"In Hand")</f>
        <v>0</v>
      </c>
    </row>
    <row r="43" spans="2:3" x14ac:dyDescent="0.25">
      <c r="B43" s="15" t="s">
        <v>194</v>
      </c>
      <c r="C43" s="16"/>
    </row>
    <row r="44" spans="2:3" x14ac:dyDescent="0.25">
      <c r="B44" s="14" t="s">
        <v>195</v>
      </c>
      <c r="C44" s="4">
        <f>COUNTIF('Material Tracker'!F6:F303,"Not Ordered")</f>
        <v>0</v>
      </c>
    </row>
    <row r="45" spans="2:3" x14ac:dyDescent="0.25">
      <c r="B45" s="14" t="s">
        <v>196</v>
      </c>
      <c r="C45" s="4">
        <f ca="1">COUNTIF('Material Tracker'!M6:M303,"OVERDUE")</f>
        <v>0</v>
      </c>
    </row>
    <row r="46" spans="2:3" x14ac:dyDescent="0.25">
      <c r="B46" s="14" t="s">
        <v>197</v>
      </c>
      <c r="C46" s="4">
        <f>COUNTIF('Material Tracker'!F6:F303,"Received")</f>
        <v>0</v>
      </c>
    </row>
    <row r="47" spans="2:3" x14ac:dyDescent="0.25">
      <c r="B47" s="15" t="s">
        <v>198</v>
      </c>
      <c r="C47" s="16"/>
    </row>
    <row r="48" spans="2:3" x14ac:dyDescent="0.25">
      <c r="B48" s="14" t="s">
        <v>199</v>
      </c>
      <c r="C48" s="4">
        <f>COUNTIF(Schedule!H2:H299,"Delayed")</f>
        <v>0</v>
      </c>
    </row>
    <row r="49" spans="2:3" x14ac:dyDescent="0.25">
      <c r="B49" s="14" t="s">
        <v>200</v>
      </c>
      <c r="C49" s="4">
        <f>COUNTIF(Schedule!H2:H299,"At Risk")</f>
        <v>0</v>
      </c>
    </row>
    <row r="50" spans="2:3" x14ac:dyDescent="0.25">
      <c r="B50" s="15" t="s">
        <v>201</v>
      </c>
      <c r="C50" s="16"/>
    </row>
    <row r="51" spans="2:3" x14ac:dyDescent="0.25">
      <c r="B51" s="14" t="s">
        <v>202</v>
      </c>
      <c r="C51" s="4">
        <f ca="1">COUNTIF('RFI Log'!V2:V299,"&gt;=14")</f>
        <v>0</v>
      </c>
    </row>
    <row r="52" spans="2:3" x14ac:dyDescent="0.25">
      <c r="B52" s="14" t="s">
        <v>203</v>
      </c>
      <c r="C52" s="4">
        <f ca="1">COUNTIF('Submittal Log'!P2:P299,"&gt;=14")</f>
        <v>5</v>
      </c>
    </row>
    <row r="53" spans="2:3" x14ac:dyDescent="0.25">
      <c r="B53" s="14" t="s">
        <v>204</v>
      </c>
      <c r="C53" s="4">
        <f ca="1">COUNTIF('Change Order Log'!Q2:Q299,"&gt;=14")</f>
        <v>0</v>
      </c>
    </row>
    <row r="54" spans="2:3" x14ac:dyDescent="0.25">
      <c r="B54" s="14" t="s">
        <v>205</v>
      </c>
      <c r="C54" s="4">
        <f ca="1">COUNTIF('Subcontractor CO Log'!S2:S299,"&gt;=14")</f>
        <v>0</v>
      </c>
    </row>
    <row r="55" spans="2:3" x14ac:dyDescent="0.25">
      <c r="B55" s="14" t="s">
        <v>206</v>
      </c>
      <c r="C55" s="4">
        <f ca="1">COUNTIF('Claims Log'!P2:P299,"&gt;=14")</f>
        <v>0</v>
      </c>
    </row>
    <row r="56" spans="2:3" x14ac:dyDescent="0.25">
      <c r="B56" s="14" t="s">
        <v>207</v>
      </c>
      <c r="C56" s="4">
        <f ca="1">COUNTIF('Risk Register'!O2:O299,"&gt;=14")</f>
        <v>0</v>
      </c>
    </row>
    <row r="57" spans="2:3" x14ac:dyDescent="0.25">
      <c r="B57" s="14" t="s">
        <v>208</v>
      </c>
      <c r="C57" s="4">
        <f ca="1">COUNTIF('Permit Tracker'!N6:N303,"&gt;=14")</f>
        <v>0</v>
      </c>
    </row>
    <row r="58" spans="2:3" x14ac:dyDescent="0.25">
      <c r="B58" s="14" t="s">
        <v>209</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210</v>
      </c>
      <c r="B1" s="18" t="s">
        <v>211</v>
      </c>
      <c r="C1" s="18" t="s">
        <v>212</v>
      </c>
      <c r="D1" s="18" t="s">
        <v>213</v>
      </c>
      <c r="E1" s="18" t="s">
        <v>214</v>
      </c>
      <c r="F1" s="18" t="s">
        <v>215</v>
      </c>
      <c r="G1" s="18" t="s">
        <v>216</v>
      </c>
      <c r="H1" s="18" t="s">
        <v>217</v>
      </c>
      <c r="I1" s="18" t="s">
        <v>218</v>
      </c>
      <c r="J1" s="18" t="s">
        <v>219</v>
      </c>
      <c r="K1" s="18" t="s">
        <v>220</v>
      </c>
      <c r="L1" s="18" t="s">
        <v>221</v>
      </c>
      <c r="M1" s="18" t="s">
        <v>222</v>
      </c>
      <c r="N1" s="18" t="s">
        <v>223</v>
      </c>
      <c r="O1" s="18" t="s">
        <v>224</v>
      </c>
      <c r="P1" s="18" t="s">
        <v>225</v>
      </c>
      <c r="Q1" s="18" t="s">
        <v>226</v>
      </c>
      <c r="R1" s="18" t="s">
        <v>227</v>
      </c>
      <c r="S1" s="18" t="s">
        <v>228</v>
      </c>
      <c r="T1" s="18" t="s">
        <v>229</v>
      </c>
      <c r="U1" s="18" t="s">
        <v>230</v>
      </c>
      <c r="V1" s="18" t="s">
        <v>231</v>
      </c>
    </row>
    <row r="2" spans="1:22" ht="90" x14ac:dyDescent="0.25">
      <c r="A2" s="19" t="s">
        <v>232</v>
      </c>
      <c r="B2" s="20">
        <v>46119</v>
      </c>
      <c r="C2" s="19" t="s">
        <v>233</v>
      </c>
      <c r="D2" s="21" t="s">
        <v>234</v>
      </c>
      <c r="E2" s="21" t="s">
        <v>235</v>
      </c>
      <c r="F2" s="21" t="s">
        <v>236</v>
      </c>
      <c r="G2" s="21" t="s">
        <v>237</v>
      </c>
      <c r="H2" s="20">
        <v>46122</v>
      </c>
      <c r="I2" s="21" t="s">
        <v>238</v>
      </c>
      <c r="J2" s="20">
        <v>46129</v>
      </c>
      <c r="K2" s="19" t="str">
        <f t="shared" ref="K2:K65" ca="1" si="0">IF(A2="","",IF(T2="Yes","Void",IF(I2&lt;&gt;"","Closed",IF(AND(H2&lt;&gt;"",TODAY()&gt;H2),"Overdue","Open"))))</f>
        <v>Closed</v>
      </c>
      <c r="L2" s="19">
        <f t="shared" ref="L2:L65" ca="1" si="1">IF(A2="","",IF(I2&lt;&gt;"",J2-B2,TODAY()-B2))</f>
        <v>10</v>
      </c>
      <c r="M2" s="19">
        <v>0</v>
      </c>
      <c r="N2" s="19">
        <v>0</v>
      </c>
      <c r="Q2" s="21" t="s">
        <v>239</v>
      </c>
      <c r="R2" s="19" t="s">
        <v>240</v>
      </c>
      <c r="S2" s="19">
        <v>0</v>
      </c>
      <c r="T2" s="19" t="s">
        <v>240</v>
      </c>
      <c r="U2" s="20">
        <f t="shared" ref="U2:U65" si="2">IF(A2="","",MAX(B2+0,H2+0,J2+0))</f>
        <v>46129</v>
      </c>
      <c r="V2" s="19" t="str">
        <f t="shared" ref="V2:V65" ca="1" si="3">IF(A2="","",IF(K2="Closed","",TODAY()-U2))</f>
        <v/>
      </c>
    </row>
    <row r="3" spans="1:22" ht="135" x14ac:dyDescent="0.25">
      <c r="A3" s="19" t="s">
        <v>241</v>
      </c>
      <c r="B3" s="20">
        <v>46119</v>
      </c>
      <c r="C3" s="19" t="s">
        <v>233</v>
      </c>
      <c r="D3" s="21" t="s">
        <v>242</v>
      </c>
      <c r="E3" s="21" t="s">
        <v>243</v>
      </c>
      <c r="F3" s="21" t="s">
        <v>244</v>
      </c>
      <c r="G3" s="21" t="s">
        <v>245</v>
      </c>
      <c r="H3" s="20">
        <v>46122</v>
      </c>
      <c r="I3" s="21" t="s">
        <v>246</v>
      </c>
      <c r="J3" s="20">
        <v>46120</v>
      </c>
      <c r="K3" s="19" t="str">
        <f t="shared" ca="1" si="0"/>
        <v>Closed</v>
      </c>
      <c r="L3" s="19">
        <f t="shared" ca="1" si="1"/>
        <v>1</v>
      </c>
      <c r="M3" s="19">
        <v>0</v>
      </c>
      <c r="N3" s="19">
        <v>0</v>
      </c>
      <c r="Q3" s="21"/>
      <c r="R3" s="19" t="s">
        <v>240</v>
      </c>
      <c r="S3" s="19">
        <v>0</v>
      </c>
      <c r="T3" s="19" t="s">
        <v>240</v>
      </c>
      <c r="U3" s="20">
        <f t="shared" si="2"/>
        <v>46122</v>
      </c>
      <c r="V3" s="19" t="str">
        <f t="shared" ca="1" si="3"/>
        <v/>
      </c>
    </row>
    <row r="4" spans="1:22" ht="135" x14ac:dyDescent="0.25">
      <c r="A4" s="19" t="s">
        <v>247</v>
      </c>
      <c r="B4" s="20">
        <v>46127</v>
      </c>
      <c r="C4" s="19" t="s">
        <v>233</v>
      </c>
      <c r="D4" s="21" t="s">
        <v>248</v>
      </c>
      <c r="E4" s="21" t="s">
        <v>249</v>
      </c>
      <c r="F4" s="21" t="s">
        <v>250</v>
      </c>
      <c r="G4" s="21" t="s">
        <v>251</v>
      </c>
      <c r="H4" s="20">
        <v>46132</v>
      </c>
      <c r="I4" s="21" t="s">
        <v>252</v>
      </c>
      <c r="J4" s="20">
        <v>46132</v>
      </c>
      <c r="K4" s="19" t="str">
        <f t="shared" ca="1" si="0"/>
        <v>Closed</v>
      </c>
      <c r="L4" s="19">
        <f t="shared" ca="1" si="1"/>
        <v>5</v>
      </c>
      <c r="M4" s="19">
        <v>0</v>
      </c>
      <c r="N4" s="19">
        <v>0</v>
      </c>
      <c r="Q4" s="21"/>
      <c r="R4" s="19" t="s">
        <v>240</v>
      </c>
      <c r="S4" s="19">
        <v>0</v>
      </c>
      <c r="T4" s="19" t="s">
        <v>240</v>
      </c>
      <c r="U4" s="20">
        <f t="shared" si="2"/>
        <v>46132</v>
      </c>
      <c r="V4" s="19" t="str">
        <f t="shared" ca="1" si="3"/>
        <v/>
      </c>
    </row>
    <row r="5" spans="1:22" ht="180" x14ac:dyDescent="0.25">
      <c r="A5" s="19" t="s">
        <v>253</v>
      </c>
      <c r="B5" s="20">
        <v>46260</v>
      </c>
      <c r="C5" s="19" t="s">
        <v>233</v>
      </c>
      <c r="D5" s="21" t="s">
        <v>254</v>
      </c>
      <c r="E5" s="21" t="s">
        <v>255</v>
      </c>
      <c r="F5" s="21" t="s">
        <v>256</v>
      </c>
      <c r="G5" s="21" t="s">
        <v>257</v>
      </c>
      <c r="H5" s="20">
        <v>46265</v>
      </c>
      <c r="I5" s="21" t="s">
        <v>258</v>
      </c>
      <c r="J5" s="20">
        <v>46273</v>
      </c>
      <c r="K5" s="19" t="str">
        <f t="shared" ca="1" si="0"/>
        <v>Closed</v>
      </c>
      <c r="L5" s="19">
        <f t="shared" ca="1" si="1"/>
        <v>13</v>
      </c>
      <c r="M5" s="19">
        <v>0</v>
      </c>
      <c r="N5" s="19">
        <v>0</v>
      </c>
      <c r="Q5" s="21" t="s">
        <v>259</v>
      </c>
      <c r="R5" s="19" t="s">
        <v>240</v>
      </c>
      <c r="S5" s="19">
        <v>0</v>
      </c>
      <c r="T5" s="19" t="s">
        <v>240</v>
      </c>
      <c r="U5" s="20">
        <f t="shared" si="2"/>
        <v>46273</v>
      </c>
      <c r="V5" s="19" t="str">
        <f t="shared" ca="1" si="3"/>
        <v/>
      </c>
    </row>
    <row r="6" spans="1:22" ht="180" x14ac:dyDescent="0.25">
      <c r="A6" s="19" t="s">
        <v>260</v>
      </c>
      <c r="B6" s="20">
        <v>46265</v>
      </c>
      <c r="C6" s="19" t="s">
        <v>233</v>
      </c>
      <c r="D6" s="21" t="s">
        <v>261</v>
      </c>
      <c r="E6" s="21" t="s">
        <v>262</v>
      </c>
      <c r="F6" s="21" t="s">
        <v>263</v>
      </c>
      <c r="G6" s="21" t="s">
        <v>257</v>
      </c>
      <c r="H6" s="20">
        <v>46268</v>
      </c>
      <c r="I6" s="21" t="s">
        <v>264</v>
      </c>
      <c r="J6" s="20">
        <v>46276</v>
      </c>
      <c r="K6" s="19" t="str">
        <f t="shared" ca="1" si="0"/>
        <v>Closed</v>
      </c>
      <c r="L6" s="19">
        <f t="shared" ca="1" si="1"/>
        <v>11</v>
      </c>
      <c r="M6" s="19">
        <v>0</v>
      </c>
      <c r="N6" s="19">
        <v>0</v>
      </c>
      <c r="Q6" s="21" t="s">
        <v>265</v>
      </c>
      <c r="R6" s="19" t="s">
        <v>240</v>
      </c>
      <c r="S6" s="19">
        <v>0</v>
      </c>
      <c r="T6" s="19" t="s">
        <v>240</v>
      </c>
      <c r="U6" s="20">
        <f t="shared" si="2"/>
        <v>46276</v>
      </c>
      <c r="V6" s="19" t="str">
        <f t="shared" ca="1" si="3"/>
        <v/>
      </c>
    </row>
    <row r="7" spans="1:22" ht="195" x14ac:dyDescent="0.25">
      <c r="A7" s="19" t="s">
        <v>266</v>
      </c>
      <c r="B7" s="20">
        <v>46283</v>
      </c>
      <c r="C7" s="19" t="s">
        <v>267</v>
      </c>
      <c r="D7" s="21" t="s">
        <v>268</v>
      </c>
      <c r="E7" s="21" t="s">
        <v>269</v>
      </c>
      <c r="F7" s="21" t="s">
        <v>270</v>
      </c>
      <c r="G7" s="21" t="s">
        <v>271</v>
      </c>
      <c r="H7" s="20">
        <v>46288</v>
      </c>
      <c r="I7" s="21" t="s">
        <v>272</v>
      </c>
      <c r="J7" s="20">
        <v>46288</v>
      </c>
      <c r="K7" s="19" t="str">
        <f t="shared" ca="1" si="0"/>
        <v>Closed</v>
      </c>
      <c r="L7" s="19">
        <f t="shared" ca="1" si="1"/>
        <v>5</v>
      </c>
      <c r="M7" s="19">
        <v>0</v>
      </c>
      <c r="N7" s="19">
        <v>0</v>
      </c>
      <c r="Q7" s="21" t="s">
        <v>273</v>
      </c>
      <c r="R7" s="19" t="s">
        <v>274</v>
      </c>
      <c r="S7" s="19">
        <v>0</v>
      </c>
      <c r="T7" s="19" t="s">
        <v>240</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275</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276</v>
      </c>
      <c r="B1" s="18" t="s">
        <v>277</v>
      </c>
      <c r="C1" s="18" t="s">
        <v>278</v>
      </c>
      <c r="D1" s="18" t="s">
        <v>279</v>
      </c>
      <c r="E1" s="18" t="s">
        <v>280</v>
      </c>
      <c r="F1" s="18" t="s">
        <v>281</v>
      </c>
      <c r="G1" s="18" t="s">
        <v>282</v>
      </c>
      <c r="H1" s="18" t="s">
        <v>283</v>
      </c>
      <c r="I1" s="18" t="s">
        <v>284</v>
      </c>
      <c r="J1" s="18" t="s">
        <v>220</v>
      </c>
      <c r="K1" s="18" t="s">
        <v>285</v>
      </c>
      <c r="L1" s="18" t="s">
        <v>286</v>
      </c>
      <c r="M1" s="18" t="s">
        <v>226</v>
      </c>
      <c r="N1" s="18" t="s">
        <v>227</v>
      </c>
      <c r="O1" s="18" t="s">
        <v>230</v>
      </c>
      <c r="P1" s="18" t="s">
        <v>231</v>
      </c>
    </row>
    <row r="2" spans="1:16" x14ac:dyDescent="0.25">
      <c r="A2" t="s">
        <v>512</v>
      </c>
      <c r="B2" s="24" t="s">
        <v>513</v>
      </c>
      <c r="C2" t="s">
        <v>514</v>
      </c>
      <c r="D2" t="s">
        <v>515</v>
      </c>
      <c r="E2" t="s">
        <v>516</v>
      </c>
      <c r="F2" s="25">
        <v>46268</v>
      </c>
      <c r="G2" s="25">
        <v>46274</v>
      </c>
      <c r="H2" s="25">
        <v>46288</v>
      </c>
      <c r="I2" s="25">
        <v>46289</v>
      </c>
      <c r="J2" t="s">
        <v>517</v>
      </c>
      <c r="K2">
        <f t="shared" ref="K2:K65" ca="1" si="0">IF(A2="","",IF(I2&lt;&gt;"",I2-G2,IF(G2&lt;&gt;"",TODAY()-G2,"")))</f>
        <v>15</v>
      </c>
      <c r="M2" t="s">
        <v>518</v>
      </c>
      <c r="N2" t="s">
        <v>274</v>
      </c>
      <c r="O2" s="13">
        <f t="shared" ref="O2:O65" si="1">IF(A2="","",MAX(F2+0,G2+0,H2+0,I2+0))</f>
        <v>46289</v>
      </c>
      <c r="P2" t="str">
        <f t="shared" ref="P2:P65" ca="1" si="2">IF(A2="","",IF(OR(J2="Approved",J2="Approved as Noted"),"",TODAY()-O2))</f>
        <v/>
      </c>
    </row>
    <row r="3" spans="1:16" x14ac:dyDescent="0.25">
      <c r="A3" t="s">
        <v>519</v>
      </c>
      <c r="B3" s="24" t="s">
        <v>513</v>
      </c>
      <c r="C3" t="s">
        <v>520</v>
      </c>
      <c r="D3" t="s">
        <v>515</v>
      </c>
      <c r="E3" t="s">
        <v>516</v>
      </c>
      <c r="F3" s="25">
        <v>46287</v>
      </c>
      <c r="G3" s="25">
        <v>46287</v>
      </c>
      <c r="H3" s="25">
        <v>46309</v>
      </c>
      <c r="I3" s="25">
        <v>46293</v>
      </c>
      <c r="J3" t="s">
        <v>517</v>
      </c>
      <c r="K3">
        <f t="shared" ca="1" si="0"/>
        <v>6</v>
      </c>
      <c r="M3" t="s">
        <v>518</v>
      </c>
      <c r="N3" t="s">
        <v>274</v>
      </c>
      <c r="O3" s="13">
        <f t="shared" si="1"/>
        <v>46309</v>
      </c>
      <c r="P3" t="str">
        <f t="shared" ca="1" si="2"/>
        <v/>
      </c>
    </row>
    <row r="4" spans="1:16" x14ac:dyDescent="0.25">
      <c r="A4" t="s">
        <v>521</v>
      </c>
      <c r="B4" s="24" t="s">
        <v>522</v>
      </c>
      <c r="C4" t="s">
        <v>523</v>
      </c>
      <c r="D4" t="s">
        <v>515</v>
      </c>
      <c r="E4" t="s">
        <v>524</v>
      </c>
      <c r="F4" s="25">
        <v>46260</v>
      </c>
      <c r="G4" s="25">
        <v>46260</v>
      </c>
      <c r="H4" s="25">
        <v>46274</v>
      </c>
      <c r="J4" t="s">
        <v>525</v>
      </c>
      <c r="K4">
        <f t="shared" ca="1" si="0"/>
        <v>36</v>
      </c>
      <c r="M4" t="s">
        <v>526</v>
      </c>
      <c r="N4" t="s">
        <v>274</v>
      </c>
      <c r="O4" s="13">
        <f t="shared" si="1"/>
        <v>46274</v>
      </c>
      <c r="P4">
        <f t="shared" ca="1" si="2"/>
        <v>22</v>
      </c>
    </row>
    <row r="5" spans="1:16" x14ac:dyDescent="0.25">
      <c r="A5" t="s">
        <v>527</v>
      </c>
      <c r="B5" s="24" t="s">
        <v>522</v>
      </c>
      <c r="C5" t="s">
        <v>530</v>
      </c>
      <c r="D5" t="s">
        <v>515</v>
      </c>
      <c r="E5" t="s">
        <v>528</v>
      </c>
      <c r="F5" s="25">
        <v>46260</v>
      </c>
      <c r="G5" s="25">
        <v>46260</v>
      </c>
      <c r="H5" s="25">
        <v>46276</v>
      </c>
      <c r="J5" t="s">
        <v>525</v>
      </c>
      <c r="K5">
        <f t="shared" ca="1" si="0"/>
        <v>36</v>
      </c>
      <c r="M5" t="s">
        <v>529</v>
      </c>
      <c r="N5" t="s">
        <v>274</v>
      </c>
      <c r="O5" s="13">
        <f t="shared" si="1"/>
        <v>46276</v>
      </c>
      <c r="P5">
        <f t="shared" ca="1" si="2"/>
        <v>20</v>
      </c>
    </row>
    <row r="6" spans="1:16" x14ac:dyDescent="0.25">
      <c r="A6" t="s">
        <v>531</v>
      </c>
      <c r="B6" s="24" t="s">
        <v>532</v>
      </c>
      <c r="C6" t="s">
        <v>533</v>
      </c>
      <c r="D6" t="s">
        <v>515</v>
      </c>
      <c r="E6" t="s">
        <v>528</v>
      </c>
      <c r="F6" s="25">
        <v>46260</v>
      </c>
      <c r="G6" s="25">
        <v>46260</v>
      </c>
      <c r="H6" s="25">
        <v>46276</v>
      </c>
      <c r="J6" t="s">
        <v>525</v>
      </c>
      <c r="K6">
        <f t="shared" ca="1" si="0"/>
        <v>36</v>
      </c>
      <c r="M6" t="s">
        <v>534</v>
      </c>
      <c r="N6" t="s">
        <v>274</v>
      </c>
      <c r="O6" s="13">
        <f t="shared" si="1"/>
        <v>46276</v>
      </c>
      <c r="P6">
        <f t="shared" ca="1" si="2"/>
        <v>20</v>
      </c>
    </row>
    <row r="7" spans="1:16" x14ac:dyDescent="0.25">
      <c r="A7" t="s">
        <v>535</v>
      </c>
      <c r="B7" s="24" t="s">
        <v>536</v>
      </c>
      <c r="C7" t="s">
        <v>537</v>
      </c>
      <c r="D7" t="s">
        <v>515</v>
      </c>
      <c r="E7" t="s">
        <v>528</v>
      </c>
      <c r="F7" s="25">
        <v>46260</v>
      </c>
      <c r="G7" s="25">
        <v>46260</v>
      </c>
      <c r="H7" s="25">
        <v>46276</v>
      </c>
      <c r="J7" t="s">
        <v>525</v>
      </c>
      <c r="K7">
        <f t="shared" ca="1" si="0"/>
        <v>36</v>
      </c>
      <c r="M7" t="s">
        <v>538</v>
      </c>
      <c r="N7" t="s">
        <v>274</v>
      </c>
      <c r="O7" s="13">
        <f t="shared" si="1"/>
        <v>46276</v>
      </c>
      <c r="P7">
        <f t="shared" ca="1" si="2"/>
        <v>20</v>
      </c>
    </row>
    <row r="8" spans="1:16" x14ac:dyDescent="0.25">
      <c r="A8" t="s">
        <v>539</v>
      </c>
      <c r="B8" s="24" t="s">
        <v>540</v>
      </c>
      <c r="C8" t="s">
        <v>541</v>
      </c>
      <c r="D8" t="s">
        <v>515</v>
      </c>
      <c r="E8" t="s">
        <v>528</v>
      </c>
      <c r="F8" s="25">
        <v>46260</v>
      </c>
      <c r="G8" s="25">
        <v>46260</v>
      </c>
      <c r="H8" s="25">
        <v>46276</v>
      </c>
      <c r="J8" t="s">
        <v>525</v>
      </c>
      <c r="K8">
        <f t="shared" ca="1" si="0"/>
        <v>36</v>
      </c>
      <c r="M8" t="s">
        <v>542</v>
      </c>
      <c r="N8" t="s">
        <v>274</v>
      </c>
      <c r="O8" s="13">
        <f t="shared" si="1"/>
        <v>46276</v>
      </c>
      <c r="P8">
        <f t="shared" ca="1" si="2"/>
        <v>20</v>
      </c>
    </row>
    <row r="9" spans="1:16" x14ac:dyDescent="0.25">
      <c r="A9" t="s">
        <v>543</v>
      </c>
      <c r="B9" s="24" t="s">
        <v>544</v>
      </c>
      <c r="C9" t="s">
        <v>545</v>
      </c>
      <c r="D9" t="s">
        <v>515</v>
      </c>
      <c r="E9" t="s">
        <v>546</v>
      </c>
      <c r="F9" s="25">
        <v>46260</v>
      </c>
      <c r="G9" s="25">
        <v>46268</v>
      </c>
      <c r="H9" s="25">
        <v>46276</v>
      </c>
      <c r="I9" s="25">
        <v>46290</v>
      </c>
      <c r="J9" t="s">
        <v>517</v>
      </c>
      <c r="K9">
        <f t="shared" ca="1" si="0"/>
        <v>22</v>
      </c>
      <c r="M9" t="s">
        <v>547</v>
      </c>
      <c r="N9" t="s">
        <v>274</v>
      </c>
      <c r="O9" s="13">
        <f t="shared" si="1"/>
        <v>46290</v>
      </c>
      <c r="P9" t="str">
        <f t="shared" ca="1" si="2"/>
        <v/>
      </c>
    </row>
    <row r="10" spans="1:16" x14ac:dyDescent="0.25">
      <c r="A10" t="s">
        <v>548</v>
      </c>
      <c r="B10" s="24" t="s">
        <v>549</v>
      </c>
      <c r="C10" t="s">
        <v>550</v>
      </c>
      <c r="D10" t="s">
        <v>515</v>
      </c>
      <c r="E10" t="s">
        <v>551</v>
      </c>
      <c r="F10" s="25">
        <v>46265</v>
      </c>
      <c r="G10" s="25">
        <v>46283</v>
      </c>
      <c r="H10" s="25">
        <v>46290</v>
      </c>
      <c r="J10" t="s">
        <v>525</v>
      </c>
      <c r="K10">
        <f t="shared" ca="1" si="0"/>
        <v>13</v>
      </c>
      <c r="M10" t="s">
        <v>552</v>
      </c>
      <c r="N10" t="s">
        <v>274</v>
      </c>
      <c r="O10" s="13">
        <f t="shared" si="1"/>
        <v>46290</v>
      </c>
      <c r="P10">
        <f t="shared" ca="1" si="2"/>
        <v>6</v>
      </c>
    </row>
    <row r="11" spans="1:16" x14ac:dyDescent="0.25">
      <c r="A11" t="s">
        <v>553</v>
      </c>
      <c r="B11" s="24" t="s">
        <v>549</v>
      </c>
      <c r="C11" t="s">
        <v>554</v>
      </c>
      <c r="D11" t="s">
        <v>555</v>
      </c>
      <c r="E11" t="s">
        <v>556</v>
      </c>
      <c r="F11" s="25">
        <v>46265</v>
      </c>
      <c r="G11" s="25">
        <v>46283</v>
      </c>
      <c r="H11" s="25">
        <v>46290</v>
      </c>
      <c r="J11" t="s">
        <v>525</v>
      </c>
      <c r="K11">
        <f t="shared" ca="1" si="0"/>
        <v>13</v>
      </c>
      <c r="M11" t="s">
        <v>557</v>
      </c>
      <c r="N11" t="s">
        <v>274</v>
      </c>
      <c r="O11" s="13">
        <f t="shared" si="1"/>
        <v>46290</v>
      </c>
      <c r="P11">
        <f t="shared" ca="1" si="2"/>
        <v>6</v>
      </c>
    </row>
    <row r="12" spans="1:16" x14ac:dyDescent="0.25">
      <c r="A12" t="s">
        <v>558</v>
      </c>
      <c r="B12" s="24" t="s">
        <v>549</v>
      </c>
      <c r="C12" t="s">
        <v>559</v>
      </c>
      <c r="D12" t="s">
        <v>515</v>
      </c>
      <c r="E12" t="s">
        <v>560</v>
      </c>
      <c r="F12" s="25">
        <v>46265</v>
      </c>
      <c r="G12" s="25">
        <v>46283</v>
      </c>
      <c r="H12" s="25">
        <v>46290</v>
      </c>
      <c r="J12" t="s">
        <v>525</v>
      </c>
      <c r="K12">
        <f t="shared" ca="1" si="0"/>
        <v>13</v>
      </c>
      <c r="M12" t="s">
        <v>561</v>
      </c>
      <c r="N12" t="s">
        <v>274</v>
      </c>
      <c r="O12" s="13">
        <f t="shared" si="1"/>
        <v>46290</v>
      </c>
      <c r="P12">
        <f t="shared" ca="1" si="2"/>
        <v>6</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287</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288</v>
      </c>
      <c r="B1" s="18" t="s">
        <v>289</v>
      </c>
      <c r="C1" s="18" t="s">
        <v>278</v>
      </c>
      <c r="D1" s="18" t="s">
        <v>290</v>
      </c>
      <c r="E1" s="18" t="s">
        <v>291</v>
      </c>
      <c r="F1" s="18" t="s">
        <v>286</v>
      </c>
      <c r="G1" s="18" t="s">
        <v>292</v>
      </c>
      <c r="H1" s="18" t="s">
        <v>293</v>
      </c>
      <c r="I1" s="18" t="s">
        <v>223</v>
      </c>
      <c r="J1" s="18" t="s">
        <v>220</v>
      </c>
      <c r="K1" s="18" t="s">
        <v>294</v>
      </c>
      <c r="L1" s="18" t="s">
        <v>295</v>
      </c>
      <c r="M1" s="18" t="s">
        <v>296</v>
      </c>
      <c r="N1" s="18" t="s">
        <v>226</v>
      </c>
      <c r="O1" s="18" t="s">
        <v>227</v>
      </c>
      <c r="P1" s="18" t="s">
        <v>230</v>
      </c>
      <c r="Q1" s="18" t="s">
        <v>231</v>
      </c>
      <c r="R1" s="18" t="s">
        <v>297</v>
      </c>
    </row>
    <row r="2" spans="1:18" x14ac:dyDescent="0.25">
      <c r="M2" t="str">
        <f>IF(A2="","",SUMIFS(H$2:H2,J$2:J2,"Approved"))</f>
        <v/>
      </c>
      <c r="P2" s="13" t="str">
        <f t="shared" ref="P2:P65" si="0">IF(A2="","",MAX(B2+0,K2+0,L2+0))</f>
        <v/>
      </c>
      <c r="Q2" t="str">
        <f t="shared" ref="Q2:Q65" ca="1" si="1">IF(A2="","",IF(OR(J2="Approved",J2="Rejected",J2="Void"),"",TODAY()-P2))</f>
        <v/>
      </c>
    </row>
    <row r="3" spans="1:18" x14ac:dyDescent="0.25">
      <c r="M3" t="str">
        <f>IF(A3="","",SUMIFS(H$2:H3,J$2:J3,"Approved"))</f>
        <v/>
      </c>
      <c r="P3" s="13" t="str">
        <f t="shared" si="0"/>
        <v/>
      </c>
      <c r="Q3" t="str">
        <f t="shared" ca="1" si="1"/>
        <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298</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299</v>
      </c>
      <c r="B1" s="18" t="s">
        <v>211</v>
      </c>
      <c r="C1" s="18" t="s">
        <v>300</v>
      </c>
      <c r="D1" s="18" t="s">
        <v>301</v>
      </c>
      <c r="E1" s="18" t="s">
        <v>278</v>
      </c>
      <c r="F1" s="18" t="s">
        <v>302</v>
      </c>
      <c r="G1" s="18" t="s">
        <v>303</v>
      </c>
      <c r="H1" s="18" t="s">
        <v>304</v>
      </c>
      <c r="I1" s="18" t="s">
        <v>305</v>
      </c>
      <c r="J1" s="18" t="s">
        <v>306</v>
      </c>
      <c r="K1" s="18" t="s">
        <v>220</v>
      </c>
      <c r="L1" s="18" t="s">
        <v>307</v>
      </c>
      <c r="M1" s="18" t="s">
        <v>308</v>
      </c>
      <c r="N1" s="18" t="s">
        <v>309</v>
      </c>
      <c r="O1" s="18" t="s">
        <v>310</v>
      </c>
      <c r="P1" s="18" t="s">
        <v>226</v>
      </c>
      <c r="Q1" s="18" t="s">
        <v>227</v>
      </c>
      <c r="R1" s="18" t="s">
        <v>230</v>
      </c>
      <c r="S1" s="18" t="s">
        <v>231</v>
      </c>
    </row>
    <row r="2" spans="1:19" x14ac:dyDescent="0.25">
      <c r="O2" t="str">
        <f>IF(C2="","",SUMIFS($N$2:N2,$C$2:C2,C2,$K$2:K2,"Approved"))</f>
        <v/>
      </c>
      <c r="R2" s="13" t="str">
        <f t="shared" ref="R2:R65" si="0">IF(C2="","",MAX(B2+0,L2+0))</f>
        <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311</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312</v>
      </c>
      <c r="B1" s="18" t="s">
        <v>313</v>
      </c>
      <c r="C1" s="18" t="s">
        <v>314</v>
      </c>
      <c r="D1" s="18" t="s">
        <v>315</v>
      </c>
      <c r="E1" s="18" t="s">
        <v>316</v>
      </c>
      <c r="F1" s="18" t="s">
        <v>317</v>
      </c>
      <c r="G1" s="18" t="s">
        <v>278</v>
      </c>
      <c r="H1" s="18" t="s">
        <v>318</v>
      </c>
      <c r="I1" s="18" t="s">
        <v>319</v>
      </c>
      <c r="J1" s="18" t="s">
        <v>224</v>
      </c>
      <c r="K1" s="18" t="s">
        <v>220</v>
      </c>
      <c r="L1" s="18" t="s">
        <v>320</v>
      </c>
      <c r="M1" s="18" t="s">
        <v>226</v>
      </c>
      <c r="N1" s="18" t="s">
        <v>227</v>
      </c>
      <c r="O1" s="18" t="s">
        <v>230</v>
      </c>
      <c r="P1" s="18" t="s">
        <v>231</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321</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322</v>
      </c>
      <c r="B1" s="18" t="s">
        <v>323</v>
      </c>
      <c r="C1" s="18" t="s">
        <v>324</v>
      </c>
      <c r="D1" s="18" t="s">
        <v>278</v>
      </c>
      <c r="E1" s="18" t="s">
        <v>325</v>
      </c>
      <c r="F1" s="18" t="s">
        <v>326</v>
      </c>
      <c r="G1" s="18" t="s">
        <v>327</v>
      </c>
      <c r="H1" s="18" t="s">
        <v>328</v>
      </c>
      <c r="I1" s="18" t="s">
        <v>329</v>
      </c>
      <c r="J1" s="18" t="s">
        <v>12</v>
      </c>
      <c r="K1" s="18" t="s">
        <v>224</v>
      </c>
      <c r="L1" s="18" t="s">
        <v>292</v>
      </c>
      <c r="M1" s="18" t="s">
        <v>220</v>
      </c>
      <c r="N1" s="18" t="s">
        <v>36</v>
      </c>
      <c r="O1" s="18" t="s">
        <v>330</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331</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332</v>
      </c>
      <c r="B1" s="18" t="s">
        <v>333</v>
      </c>
      <c r="C1" s="18" t="s">
        <v>334</v>
      </c>
      <c r="D1" s="18" t="s">
        <v>335</v>
      </c>
      <c r="E1" s="18" t="s">
        <v>336</v>
      </c>
      <c r="F1" s="18" t="s">
        <v>337</v>
      </c>
      <c r="G1" s="18" t="s">
        <v>338</v>
      </c>
      <c r="H1" s="18" t="s">
        <v>339</v>
      </c>
      <c r="I1" s="18" t="s">
        <v>340</v>
      </c>
      <c r="J1" s="18" t="s">
        <v>341</v>
      </c>
      <c r="K1" s="18" t="s">
        <v>342</v>
      </c>
      <c r="L1" s="18" t="s">
        <v>343</v>
      </c>
      <c r="M1" s="18" t="s">
        <v>344</v>
      </c>
      <c r="N1" s="18" t="s">
        <v>345</v>
      </c>
    </row>
    <row r="301" spans="1:1" x14ac:dyDescent="0.25">
      <c r="A301" s="3" t="s">
        <v>346</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347</v>
      </c>
      <c r="B1" s="18" t="s">
        <v>332</v>
      </c>
      <c r="C1" s="18" t="s">
        <v>279</v>
      </c>
      <c r="D1" s="18" t="s">
        <v>348</v>
      </c>
      <c r="E1" s="18" t="s">
        <v>349</v>
      </c>
      <c r="F1" s="18" t="s">
        <v>350</v>
      </c>
      <c r="G1" s="18" t="s">
        <v>351</v>
      </c>
      <c r="H1" s="18" t="s">
        <v>352</v>
      </c>
      <c r="I1" s="18" t="s">
        <v>220</v>
      </c>
      <c r="J1" s="18" t="s">
        <v>353</v>
      </c>
      <c r="K1" s="18" t="s">
        <v>226</v>
      </c>
    </row>
    <row r="2" spans="1:11" x14ac:dyDescent="0.25">
      <c r="A2" t="s">
        <v>468</v>
      </c>
      <c r="B2" s="13">
        <v>46296</v>
      </c>
      <c r="C2" t="s">
        <v>469</v>
      </c>
      <c r="D2" t="s">
        <v>471</v>
      </c>
      <c r="E2" t="s">
        <v>472</v>
      </c>
      <c r="F2" t="s">
        <v>473</v>
      </c>
      <c r="G2" t="s">
        <v>474</v>
      </c>
      <c r="H2" s="24" t="s">
        <v>475</v>
      </c>
      <c r="I2" t="s">
        <v>470</v>
      </c>
      <c r="K2" t="s">
        <v>511</v>
      </c>
    </row>
    <row r="3" spans="1:11" x14ac:dyDescent="0.25">
      <c r="A3" t="s">
        <v>468</v>
      </c>
      <c r="B3" s="13">
        <v>46296</v>
      </c>
      <c r="C3" t="s">
        <v>469</v>
      </c>
      <c r="D3" t="s">
        <v>471</v>
      </c>
      <c r="E3" t="s">
        <v>476</v>
      </c>
      <c r="F3" t="s">
        <v>477</v>
      </c>
      <c r="G3" t="s">
        <v>478</v>
      </c>
      <c r="H3" s="24" t="s">
        <v>479</v>
      </c>
      <c r="I3" t="s">
        <v>470</v>
      </c>
      <c r="J3" t="s">
        <v>266</v>
      </c>
    </row>
    <row r="4" spans="1:11" x14ac:dyDescent="0.25">
      <c r="A4" t="s">
        <v>468</v>
      </c>
      <c r="B4" s="13">
        <v>46296</v>
      </c>
      <c r="C4" t="s">
        <v>469</v>
      </c>
      <c r="D4" t="s">
        <v>471</v>
      </c>
      <c r="E4" t="s">
        <v>509</v>
      </c>
      <c r="F4" t="s">
        <v>480</v>
      </c>
      <c r="G4" t="s">
        <v>510</v>
      </c>
      <c r="H4" s="24" t="s">
        <v>481</v>
      </c>
      <c r="I4" t="s">
        <v>470</v>
      </c>
    </row>
    <row r="5" spans="1:11" x14ac:dyDescent="0.25">
      <c r="A5" t="s">
        <v>468</v>
      </c>
      <c r="B5" s="13">
        <v>46296</v>
      </c>
      <c r="C5" t="s">
        <v>469</v>
      </c>
      <c r="D5" t="s">
        <v>471</v>
      </c>
      <c r="E5" t="s">
        <v>482</v>
      </c>
      <c r="F5" t="s">
        <v>483</v>
      </c>
      <c r="G5" t="s">
        <v>474</v>
      </c>
      <c r="H5" s="24" t="s">
        <v>484</v>
      </c>
      <c r="I5" t="s">
        <v>470</v>
      </c>
    </row>
    <row r="6" spans="1:11" x14ac:dyDescent="0.25">
      <c r="A6" t="s">
        <v>468</v>
      </c>
      <c r="B6" s="13">
        <v>46296</v>
      </c>
      <c r="C6" t="s">
        <v>469</v>
      </c>
      <c r="D6" t="s">
        <v>471</v>
      </c>
      <c r="E6" t="s">
        <v>485</v>
      </c>
      <c r="F6" t="s">
        <v>486</v>
      </c>
      <c r="G6" t="s">
        <v>487</v>
      </c>
      <c r="H6" s="24" t="s">
        <v>488</v>
      </c>
      <c r="I6" t="s">
        <v>470</v>
      </c>
    </row>
    <row r="7" spans="1:11" x14ac:dyDescent="0.25">
      <c r="A7" t="s">
        <v>468</v>
      </c>
      <c r="B7" s="13">
        <v>46296</v>
      </c>
      <c r="C7" t="s">
        <v>469</v>
      </c>
      <c r="D7" t="s">
        <v>471</v>
      </c>
      <c r="E7" t="s">
        <v>485</v>
      </c>
      <c r="F7" t="s">
        <v>489</v>
      </c>
      <c r="G7" t="s">
        <v>474</v>
      </c>
      <c r="H7" s="24" t="s">
        <v>475</v>
      </c>
      <c r="I7" t="s">
        <v>470</v>
      </c>
    </row>
    <row r="8" spans="1:11" x14ac:dyDescent="0.25">
      <c r="A8" t="s">
        <v>468</v>
      </c>
      <c r="B8" s="13">
        <v>46296</v>
      </c>
      <c r="C8" t="s">
        <v>469</v>
      </c>
      <c r="D8" t="s">
        <v>471</v>
      </c>
      <c r="E8" t="s">
        <v>490</v>
      </c>
      <c r="F8" t="s">
        <v>491</v>
      </c>
      <c r="G8" t="s">
        <v>487</v>
      </c>
      <c r="H8" s="24" t="s">
        <v>492</v>
      </c>
      <c r="I8" t="s">
        <v>470</v>
      </c>
    </row>
    <row r="9" spans="1:11" x14ac:dyDescent="0.25">
      <c r="A9" t="s">
        <v>468</v>
      </c>
      <c r="B9" s="13">
        <v>46296</v>
      </c>
      <c r="C9" t="s">
        <v>469</v>
      </c>
      <c r="D9" t="s">
        <v>471</v>
      </c>
      <c r="E9" t="s">
        <v>493</v>
      </c>
      <c r="F9" t="s">
        <v>494</v>
      </c>
      <c r="G9" t="s">
        <v>495</v>
      </c>
      <c r="H9" s="24" t="s">
        <v>496</v>
      </c>
      <c r="I9" t="s">
        <v>470</v>
      </c>
    </row>
    <row r="10" spans="1:11" x14ac:dyDescent="0.25">
      <c r="A10" t="s">
        <v>468</v>
      </c>
      <c r="B10" s="13">
        <v>46296</v>
      </c>
      <c r="C10" t="s">
        <v>469</v>
      </c>
      <c r="D10" t="s">
        <v>471</v>
      </c>
      <c r="E10" t="s">
        <v>497</v>
      </c>
      <c r="F10" t="s">
        <v>498</v>
      </c>
      <c r="G10" t="s">
        <v>499</v>
      </c>
      <c r="H10" s="13">
        <v>46303</v>
      </c>
      <c r="I10" t="s">
        <v>470</v>
      </c>
    </row>
    <row r="11" spans="1:11" x14ac:dyDescent="0.25">
      <c r="A11" t="s">
        <v>468</v>
      </c>
      <c r="B11" s="13">
        <v>46296</v>
      </c>
      <c r="C11" t="s">
        <v>469</v>
      </c>
      <c r="D11" t="s">
        <v>471</v>
      </c>
      <c r="E11" t="s">
        <v>508</v>
      </c>
      <c r="F11" t="s">
        <v>500</v>
      </c>
      <c r="G11" t="s">
        <v>499</v>
      </c>
      <c r="H11" s="24" t="s">
        <v>501</v>
      </c>
      <c r="I11" t="s">
        <v>470</v>
      </c>
    </row>
    <row r="12" spans="1:11" x14ac:dyDescent="0.25">
      <c r="A12" t="s">
        <v>468</v>
      </c>
      <c r="B12" s="13">
        <v>46296</v>
      </c>
      <c r="C12" t="s">
        <v>469</v>
      </c>
      <c r="D12" t="s">
        <v>471</v>
      </c>
      <c r="E12" t="s">
        <v>502</v>
      </c>
      <c r="F12" t="s">
        <v>503</v>
      </c>
      <c r="G12" t="s">
        <v>499</v>
      </c>
      <c r="H12" s="24" t="s">
        <v>488</v>
      </c>
      <c r="I12" t="s">
        <v>470</v>
      </c>
    </row>
    <row r="13" spans="1:11" x14ac:dyDescent="0.25">
      <c r="A13" t="s">
        <v>468</v>
      </c>
      <c r="B13" s="13">
        <v>46296</v>
      </c>
      <c r="C13" t="s">
        <v>469</v>
      </c>
      <c r="D13" t="s">
        <v>471</v>
      </c>
      <c r="E13" t="s">
        <v>504</v>
      </c>
      <c r="F13" t="s">
        <v>505</v>
      </c>
      <c r="G13" t="s">
        <v>474</v>
      </c>
      <c r="H13" s="24" t="s">
        <v>506</v>
      </c>
      <c r="I13" t="s">
        <v>470</v>
      </c>
      <c r="J13" t="s">
        <v>507</v>
      </c>
    </row>
    <row r="301" spans="1:1" x14ac:dyDescent="0.25">
      <c r="A301" s="3" t="s">
        <v>354</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355</v>
      </c>
      <c r="B1" s="18" t="s">
        <v>356</v>
      </c>
      <c r="C1" s="18" t="s">
        <v>357</v>
      </c>
      <c r="D1" s="18" t="s">
        <v>358</v>
      </c>
      <c r="E1" s="18" t="s">
        <v>359</v>
      </c>
      <c r="F1" s="18" t="s">
        <v>360</v>
      </c>
      <c r="G1" s="18" t="s">
        <v>361</v>
      </c>
      <c r="H1" s="18" t="s">
        <v>362</v>
      </c>
      <c r="I1" s="18" t="s">
        <v>220</v>
      </c>
      <c r="J1" s="18" t="s">
        <v>226</v>
      </c>
    </row>
    <row r="301" spans="1:1" x14ac:dyDescent="0.25">
      <c r="A301" s="3" t="s">
        <v>363</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364</v>
      </c>
      <c r="B1" s="18" t="s">
        <v>365</v>
      </c>
      <c r="C1" s="18" t="s">
        <v>366</v>
      </c>
      <c r="D1" s="18" t="s">
        <v>367</v>
      </c>
      <c r="E1" s="18" t="s">
        <v>368</v>
      </c>
      <c r="F1" s="18" t="s">
        <v>369</v>
      </c>
      <c r="G1" s="18" t="s">
        <v>370</v>
      </c>
      <c r="H1" s="18" t="s">
        <v>220</v>
      </c>
      <c r="I1" s="18" t="s">
        <v>371</v>
      </c>
      <c r="J1" s="18" t="s">
        <v>372</v>
      </c>
      <c r="K1" s="18" t="s">
        <v>373</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374</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375</v>
      </c>
      <c r="B1" s="18" t="s">
        <v>376</v>
      </c>
      <c r="C1" s="18" t="s">
        <v>377</v>
      </c>
      <c r="D1" s="18" t="s">
        <v>220</v>
      </c>
      <c r="E1" s="18" t="s">
        <v>372</v>
      </c>
      <c r="F1" s="18" t="s">
        <v>373</v>
      </c>
    </row>
    <row r="2" spans="1:6" x14ac:dyDescent="0.25">
      <c r="D2" t="str">
        <f t="shared" ref="D2:D65" ca="1" si="0">IF(A2="","",IF(C2&lt;&gt;"",IF(C2&lt;=B2,"Met - On Time","Met - Late"),IF(TODAY()&gt;B2,"Missed",IF(B2-TODAY()&lt;=14,"Due Soon","On Track"))))</f>
        <v/>
      </c>
    </row>
    <row r="3" spans="1:6" x14ac:dyDescent="0.25">
      <c r="D3" t="str">
        <f t="shared" ca="1" si="0"/>
        <v/>
      </c>
    </row>
    <row r="4" spans="1:6" x14ac:dyDescent="0.25">
      <c r="D4" t="str">
        <f t="shared" ca="1" si="0"/>
        <v/>
      </c>
    </row>
    <row r="5" spans="1:6" x14ac:dyDescent="0.25">
      <c r="D5" t="str">
        <f t="shared" ca="1" si="0"/>
        <v/>
      </c>
    </row>
    <row r="6" spans="1:6" x14ac:dyDescent="0.25">
      <c r="D6" t="str">
        <f t="shared" ca="1" si="0"/>
        <v/>
      </c>
    </row>
    <row r="7" spans="1:6" x14ac:dyDescent="0.25">
      <c r="D7" t="str">
        <f t="shared" ca="1" si="0"/>
        <v/>
      </c>
    </row>
    <row r="8" spans="1:6" x14ac:dyDescent="0.25">
      <c r="D8" t="str">
        <f t="shared" ca="1" si="0"/>
        <v/>
      </c>
    </row>
    <row r="9" spans="1:6" x14ac:dyDescent="0.25">
      <c r="D9" t="str">
        <f t="shared" ca="1" si="0"/>
        <v/>
      </c>
    </row>
    <row r="10" spans="1:6" x14ac:dyDescent="0.25">
      <c r="D10" t="str">
        <f t="shared" ca="1" si="0"/>
        <v/>
      </c>
    </row>
    <row r="11" spans="1:6" x14ac:dyDescent="0.25">
      <c r="D11" t="str">
        <f t="shared" ca="1" si="0"/>
        <v/>
      </c>
    </row>
    <row r="12" spans="1:6" x14ac:dyDescent="0.25">
      <c r="D12" t="str">
        <f t="shared" ca="1" si="0"/>
        <v/>
      </c>
    </row>
    <row r="13" spans="1:6" x14ac:dyDescent="0.25">
      <c r="D13" t="str">
        <f t="shared" ca="1" si="0"/>
        <v/>
      </c>
    </row>
    <row r="14" spans="1:6" x14ac:dyDescent="0.25">
      <c r="D14" t="str">
        <f t="shared" ca="1" si="0"/>
        <v/>
      </c>
    </row>
    <row r="15" spans="1:6" x14ac:dyDescent="0.25">
      <c r="D15" t="str">
        <f t="shared" ca="1" si="0"/>
        <v/>
      </c>
    </row>
    <row r="16" spans="1:6" x14ac:dyDescent="0.25">
      <c r="D16" t="str">
        <f t="shared" ca="1" si="0"/>
        <v/>
      </c>
    </row>
    <row r="17" spans="4:4" x14ac:dyDescent="0.25">
      <c r="D17" t="str">
        <f t="shared" ca="1" si="0"/>
        <v/>
      </c>
    </row>
    <row r="18" spans="4:4" x14ac:dyDescent="0.25">
      <c r="D18" t="str">
        <f t="shared" ca="1" si="0"/>
        <v/>
      </c>
    </row>
    <row r="19" spans="4:4" x14ac:dyDescent="0.25">
      <c r="D19" t="str">
        <f t="shared" ca="1" si="0"/>
        <v/>
      </c>
    </row>
    <row r="20" spans="4:4" x14ac:dyDescent="0.25">
      <c r="D20" t="str">
        <f t="shared" ca="1" si="0"/>
        <v/>
      </c>
    </row>
    <row r="21" spans="4:4" x14ac:dyDescent="0.25">
      <c r="D21" t="str">
        <f t="shared" ca="1" si="0"/>
        <v/>
      </c>
    </row>
    <row r="22" spans="4:4" x14ac:dyDescent="0.25">
      <c r="D22" t="str">
        <f t="shared" ca="1" si="0"/>
        <v/>
      </c>
    </row>
    <row r="23" spans="4:4" x14ac:dyDescent="0.25">
      <c r="D23" t="str">
        <f t="shared" ca="1" si="0"/>
        <v/>
      </c>
    </row>
    <row r="24" spans="4:4" x14ac:dyDescent="0.25">
      <c r="D24" t="str">
        <f t="shared" ca="1" si="0"/>
        <v/>
      </c>
    </row>
    <row r="25" spans="4:4" x14ac:dyDescent="0.25">
      <c r="D25" t="str">
        <f t="shared" ca="1" si="0"/>
        <v/>
      </c>
    </row>
    <row r="26" spans="4:4" x14ac:dyDescent="0.25">
      <c r="D26" t="str">
        <f t="shared" ca="1" si="0"/>
        <v/>
      </c>
    </row>
    <row r="27" spans="4:4" x14ac:dyDescent="0.25">
      <c r="D27" t="str">
        <f t="shared" ca="1" si="0"/>
        <v/>
      </c>
    </row>
    <row r="28" spans="4:4" x14ac:dyDescent="0.25">
      <c r="D28" t="str">
        <f t="shared" ca="1" si="0"/>
        <v/>
      </c>
    </row>
    <row r="29" spans="4:4" x14ac:dyDescent="0.25">
      <c r="D29" t="str">
        <f t="shared" ca="1" si="0"/>
        <v/>
      </c>
    </row>
    <row r="30" spans="4:4" x14ac:dyDescent="0.25">
      <c r="D30" t="str">
        <f t="shared" ca="1" si="0"/>
        <v/>
      </c>
    </row>
    <row r="31" spans="4:4" x14ac:dyDescent="0.25">
      <c r="D31" t="str">
        <f t="shared" ca="1" si="0"/>
        <v/>
      </c>
    </row>
    <row r="32" spans="4:4"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ca="1" si="0"/>
        <v/>
      </c>
    </row>
    <row r="66" spans="4:4" x14ac:dyDescent="0.25">
      <c r="D66" t="str">
        <f t="shared" ref="D66:D129" ca="1" si="1">IF(A66="","",IF(C66&lt;&gt;"",IF(C66&lt;=B66,"Met - On Time","Met - Late"),IF(TODAY()&gt;B66,"Missed",IF(B66-TODAY()&lt;=14,"Due Soon","On Track"))))</f>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ca="1" si="1"/>
        <v/>
      </c>
    </row>
    <row r="130" spans="4:4" x14ac:dyDescent="0.25">
      <c r="D130" t="str">
        <f t="shared" ref="D130:D193" ca="1" si="2">IF(A130="","",IF(C130&lt;&gt;"",IF(C130&lt;=B130,"Met - On Time","Met - Late"),IF(TODAY()&gt;B130,"Missed",IF(B130-TODAY()&lt;=14,"Due Soon","On Track"))))</f>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ca="1" si="2"/>
        <v/>
      </c>
    </row>
    <row r="194" spans="4:4" x14ac:dyDescent="0.25">
      <c r="D194" t="str">
        <f t="shared" ref="D194:D257" ca="1" si="3">IF(A194="","",IF(C194&lt;&gt;"",IF(C194&lt;=B194,"Met - On Time","Met - Late"),IF(TODAY()&gt;B194,"Missed",IF(B194-TODAY()&lt;=14,"Due Soon","On Track"))))</f>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ca="1" si="3"/>
        <v/>
      </c>
    </row>
    <row r="258" spans="4:4" x14ac:dyDescent="0.25">
      <c r="D258" t="str">
        <f t="shared" ref="D258:D295" ca="1" si="4">IF(A258="","",IF(C258&lt;&gt;"",IF(C258&lt;=B258,"Met - On Time","Met - Late"),IF(TODAY()&gt;B258,"Missed",IF(B258-TODAY()&lt;=14,"Due Soon","On Track"))))</f>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5" spans="1:4" x14ac:dyDescent="0.25">
      <c r="D295" t="str">
        <f t="shared" ca="1" si="4"/>
        <v/>
      </c>
    </row>
    <row r="298" spans="1:4" x14ac:dyDescent="0.25">
      <c r="A298" s="3" t="s">
        <v>378</v>
      </c>
    </row>
  </sheetData>
  <conditionalFormatting sqref="D2:D296">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379</v>
      </c>
      <c r="B1" s="18" t="s">
        <v>380</v>
      </c>
      <c r="C1" s="18" t="s">
        <v>381</v>
      </c>
      <c r="D1" s="18" t="s">
        <v>382</v>
      </c>
      <c r="E1" s="18" t="s">
        <v>383</v>
      </c>
      <c r="F1" s="18" t="s">
        <v>384</v>
      </c>
      <c r="G1" s="18" t="s">
        <v>220</v>
      </c>
      <c r="H1" s="18" t="s">
        <v>373</v>
      </c>
    </row>
    <row r="298" spans="1:1" x14ac:dyDescent="0.25">
      <c r="A298" s="3" t="s">
        <v>385</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386</v>
      </c>
      <c r="B1" s="18" t="s">
        <v>387</v>
      </c>
      <c r="C1" s="18" t="s">
        <v>388</v>
      </c>
      <c r="D1" s="18" t="s">
        <v>278</v>
      </c>
      <c r="E1" s="18" t="s">
        <v>389</v>
      </c>
      <c r="F1" s="18" t="s">
        <v>353</v>
      </c>
      <c r="G1" s="18" t="s">
        <v>390</v>
      </c>
      <c r="H1" s="18" t="s">
        <v>391</v>
      </c>
    </row>
    <row r="301" spans="1:1" x14ac:dyDescent="0.25">
      <c r="A301" s="3" t="s">
        <v>392</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393</v>
      </c>
      <c r="C2" t="str">
        <f>IF('Project Info'!C5="","",'Project Info'!C5)</f>
        <v>Norcross, GA</v>
      </c>
      <c r="P2" s="4" t="s">
        <v>394</v>
      </c>
      <c r="Q2">
        <f>SUMPRODUCT((A6:A303&lt;&gt;"")*1)</f>
        <v>0</v>
      </c>
      <c r="R2" s="4" t="s">
        <v>395</v>
      </c>
      <c r="S2">
        <f>COUNTIF(E6:E303,"In Hand")</f>
        <v>0</v>
      </c>
    </row>
    <row r="3" spans="1:19" x14ac:dyDescent="0.25">
      <c r="B3" s="12" t="s">
        <v>396</v>
      </c>
      <c r="C3" t="str">
        <f>IF('Project Info'!C9="","",'Project Info'!C9)</f>
        <v>Gwinnett County, GA; Norcross, GA</v>
      </c>
      <c r="P3" s="4" t="s">
        <v>397</v>
      </c>
      <c r="Q3">
        <f ca="1">COUNTIF(J6:J303,"ACTION NEEDED")</f>
        <v>0</v>
      </c>
      <c r="R3" s="4" t="s">
        <v>398</v>
      </c>
      <c r="S3">
        <f ca="1">COUNTIF(J6:J303,"EXPIRING SOON")</f>
        <v>0</v>
      </c>
    </row>
    <row r="5" spans="1:19" ht="31.5" customHeight="1" x14ac:dyDescent="0.25">
      <c r="A5" s="18" t="s">
        <v>399</v>
      </c>
      <c r="B5" s="18" t="s">
        <v>400</v>
      </c>
      <c r="C5" s="18" t="s">
        <v>351</v>
      </c>
      <c r="D5" s="18" t="s">
        <v>401</v>
      </c>
      <c r="E5" s="18" t="s">
        <v>220</v>
      </c>
      <c r="F5" s="18" t="s">
        <v>402</v>
      </c>
      <c r="G5" s="18" t="s">
        <v>403</v>
      </c>
      <c r="H5" s="18" t="s">
        <v>404</v>
      </c>
      <c r="I5" s="18" t="s">
        <v>405</v>
      </c>
      <c r="J5" s="18" t="s">
        <v>406</v>
      </c>
      <c r="K5" s="18" t="s">
        <v>226</v>
      </c>
      <c r="L5" s="18" t="s">
        <v>227</v>
      </c>
      <c r="M5" s="18" t="s">
        <v>230</v>
      </c>
      <c r="N5" s="18" t="s">
        <v>231</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407</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393</v>
      </c>
      <c r="C2" t="str">
        <f>IF('Project Info'!C5="","",'Project Info'!C5)</f>
        <v>Norcross, GA</v>
      </c>
      <c r="U2" s="4" t="s">
        <v>408</v>
      </c>
      <c r="V2">
        <f>SUMPRODUCT((A6:A303&lt;&gt;"")*1)</f>
        <v>0</v>
      </c>
      <c r="W2" s="4" t="s">
        <v>409</v>
      </c>
      <c r="X2">
        <f ca="1">COUNTIF(M6:M303,"OVERDUE")</f>
        <v>0</v>
      </c>
    </row>
    <row r="3" spans="1:24" x14ac:dyDescent="0.25">
      <c r="B3" s="12" t="s">
        <v>410</v>
      </c>
      <c r="C3" t="str">
        <f>IF('Project Info'!C7="","",'Project Info'!C7)</f>
        <v>15170000GR</v>
      </c>
      <c r="U3" s="4" t="s">
        <v>411</v>
      </c>
      <c r="V3">
        <f>COUNTIF(F6:F303,"Not Ordered")</f>
        <v>0</v>
      </c>
      <c r="W3" s="4" t="s">
        <v>412</v>
      </c>
      <c r="X3">
        <f>COUNTIF(F6:F303,"Received")</f>
        <v>0</v>
      </c>
    </row>
    <row r="5" spans="1:24" ht="31.5" customHeight="1" x14ac:dyDescent="0.25">
      <c r="A5" s="18" t="s">
        <v>413</v>
      </c>
      <c r="B5" s="18" t="s">
        <v>414</v>
      </c>
      <c r="C5" s="18" t="s">
        <v>278</v>
      </c>
      <c r="D5" s="18" t="s">
        <v>415</v>
      </c>
      <c r="E5" s="18" t="s">
        <v>328</v>
      </c>
      <c r="F5" s="18" t="s">
        <v>416</v>
      </c>
      <c r="G5" s="18" t="s">
        <v>417</v>
      </c>
      <c r="H5" s="18" t="s">
        <v>418</v>
      </c>
      <c r="I5" s="18" t="s">
        <v>419</v>
      </c>
      <c r="J5" s="18" t="s">
        <v>420</v>
      </c>
      <c r="K5" s="18" t="s">
        <v>225</v>
      </c>
      <c r="L5" s="18" t="s">
        <v>405</v>
      </c>
      <c r="M5" s="18" t="s">
        <v>406</v>
      </c>
      <c r="N5" s="18" t="s">
        <v>226</v>
      </c>
      <c r="O5" s="18" t="s">
        <v>227</v>
      </c>
      <c r="P5" s="18" t="s">
        <v>421</v>
      </c>
      <c r="Q5" s="18" t="s">
        <v>422</v>
      </c>
      <c r="R5" s="18" t="s">
        <v>230</v>
      </c>
      <c r="S5" s="18" t="s">
        <v>231</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423</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393</v>
      </c>
      <c r="C2" t="str">
        <f>IF('Project Info'!C5="","",'Project Info'!C5)</f>
        <v>Norcross, GA</v>
      </c>
    </row>
    <row r="4" spans="1:13" ht="31.5" customHeight="1" x14ac:dyDescent="0.25">
      <c r="A4" s="18" t="s">
        <v>424</v>
      </c>
      <c r="B4" s="18" t="s">
        <v>425</v>
      </c>
      <c r="C4" s="18" t="s">
        <v>426</v>
      </c>
      <c r="D4" s="18" t="s">
        <v>427</v>
      </c>
      <c r="E4" s="18" t="s">
        <v>428</v>
      </c>
      <c r="F4" s="18" t="s">
        <v>429</v>
      </c>
      <c r="G4" s="18" t="s">
        <v>430</v>
      </c>
      <c r="H4" s="18" t="s">
        <v>431</v>
      </c>
      <c r="I4" s="18" t="s">
        <v>432</v>
      </c>
      <c r="J4" s="18" t="s">
        <v>433</v>
      </c>
      <c r="K4" s="18" t="s">
        <v>434</v>
      </c>
      <c r="L4" s="18" t="s">
        <v>220</v>
      </c>
      <c r="M4" s="18" t="s">
        <v>226</v>
      </c>
    </row>
    <row r="307" spans="1:1" x14ac:dyDescent="0.25">
      <c r="A307" s="3" t="s">
        <v>435</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393</v>
      </c>
      <c r="C2" t="str">
        <f>IF('Project Info'!C5="","",'Project Info'!C5)</f>
        <v>Norcross, GA</v>
      </c>
    </row>
    <row r="3" spans="1:15" x14ac:dyDescent="0.25">
      <c r="B3" s="12" t="s">
        <v>436</v>
      </c>
      <c r="C3" s="22"/>
    </row>
    <row r="5" spans="1:15" ht="31.5" customHeight="1" x14ac:dyDescent="0.25">
      <c r="A5" s="18" t="s">
        <v>437</v>
      </c>
      <c r="B5" s="18" t="s">
        <v>438</v>
      </c>
      <c r="C5" s="18" t="s">
        <v>439</v>
      </c>
      <c r="D5" s="18" t="s">
        <v>440</v>
      </c>
      <c r="E5" s="18" t="s">
        <v>441</v>
      </c>
      <c r="F5" s="18" t="s">
        <v>442</v>
      </c>
      <c r="G5" s="18" t="s">
        <v>443</v>
      </c>
      <c r="H5" s="18" t="s">
        <v>444</v>
      </c>
      <c r="I5" s="18" t="s">
        <v>445</v>
      </c>
      <c r="J5" s="18" t="s">
        <v>286</v>
      </c>
      <c r="K5" s="18" t="s">
        <v>225</v>
      </c>
      <c r="L5" s="18" t="s">
        <v>446</v>
      </c>
      <c r="M5" s="18" t="s">
        <v>220</v>
      </c>
      <c r="N5" s="18" t="s">
        <v>373</v>
      </c>
      <c r="O5" s="18" t="s">
        <v>226</v>
      </c>
    </row>
    <row r="307" spans="1:1" x14ac:dyDescent="0.25">
      <c r="A307" s="3" t="s">
        <v>447</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23"/>
  <sheetViews>
    <sheetView showGridLines="0" tabSelected="1" zoomScaleNormal="100" workbookViewId="0">
      <selection activeCell="J24" sqref="J24"/>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448</v>
      </c>
      <c r="C2" s="2"/>
    </row>
    <row r="3" spans="2:3" x14ac:dyDescent="0.25">
      <c r="B3" s="3" t="s">
        <v>449</v>
      </c>
    </row>
    <row r="5" spans="2:3" x14ac:dyDescent="0.25">
      <c r="B5" s="4" t="s">
        <v>450</v>
      </c>
      <c r="C5" s="5"/>
    </row>
    <row r="6" spans="2:3" x14ac:dyDescent="0.25">
      <c r="B6" s="4" t="s">
        <v>451</v>
      </c>
      <c r="C6" s="5"/>
    </row>
    <row r="7" spans="2:3" x14ac:dyDescent="0.25">
      <c r="B7" s="4" t="s">
        <v>452</v>
      </c>
      <c r="C7" s="5"/>
    </row>
    <row r="8" spans="2:3" x14ac:dyDescent="0.25">
      <c r="B8" s="4" t="s">
        <v>453</v>
      </c>
      <c r="C8" s="5"/>
    </row>
    <row r="9" spans="2:3" x14ac:dyDescent="0.25">
      <c r="B9" s="4" t="s">
        <v>454</v>
      </c>
      <c r="C9" s="5"/>
    </row>
    <row r="10" spans="2:3" x14ac:dyDescent="0.25">
      <c r="B10" s="4" t="s">
        <v>455</v>
      </c>
      <c r="C10" s="5"/>
    </row>
    <row r="11" spans="2:3" x14ac:dyDescent="0.25">
      <c r="B11" s="4" t="s">
        <v>456</v>
      </c>
      <c r="C11" s="5"/>
    </row>
    <row r="12" spans="2:3" x14ac:dyDescent="0.25">
      <c r="B12" s="4" t="s">
        <v>457</v>
      </c>
      <c r="C12" s="5"/>
    </row>
    <row r="13" spans="2:3" x14ac:dyDescent="0.25">
      <c r="B13" s="4" t="s">
        <v>458</v>
      </c>
      <c r="C13" s="5"/>
    </row>
    <row r="14" spans="2:3" x14ac:dyDescent="0.25">
      <c r="B14" s="4" t="s">
        <v>459</v>
      </c>
      <c r="C14" s="5"/>
    </row>
    <row r="15" spans="2:3" x14ac:dyDescent="0.25">
      <c r="B15" s="4" t="s">
        <v>460</v>
      </c>
      <c r="C15" s="5"/>
    </row>
    <row r="16" spans="2:3" x14ac:dyDescent="0.25">
      <c r="B16" s="4" t="s">
        <v>461</v>
      </c>
      <c r="C16" s="5"/>
    </row>
    <row r="17" spans="2:3" x14ac:dyDescent="0.25">
      <c r="B17" s="4" t="s">
        <v>462</v>
      </c>
      <c r="C17" s="5"/>
    </row>
    <row r="18" spans="2:3" x14ac:dyDescent="0.25">
      <c r="B18" s="4" t="s">
        <v>463</v>
      </c>
      <c r="C18" s="5"/>
    </row>
    <row r="19" spans="2:3" x14ac:dyDescent="0.25">
      <c r="B19" s="4" t="s">
        <v>464</v>
      </c>
      <c r="C19" s="5"/>
    </row>
    <row r="20" spans="2:3" x14ac:dyDescent="0.25">
      <c r="B20" s="4" t="s">
        <v>465</v>
      </c>
      <c r="C20" s="5"/>
    </row>
    <row r="21" spans="2:3" x14ac:dyDescent="0.25">
      <c r="B21" s="4" t="s">
        <v>466</v>
      </c>
      <c r="C21" s="23">
        <f ca="1">TODAY()</f>
        <v>46296</v>
      </c>
    </row>
    <row r="23" spans="2:3" x14ac:dyDescent="0.25">
      <c r="B23" s="3" t="s">
        <v>467</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2026-10-01T14:35:41Z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