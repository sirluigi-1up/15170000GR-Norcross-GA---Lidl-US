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Info" sheetId="1" state="visible" r:id="rId3"/>
    <sheet name="README" sheetId="2" state="visible" r:id="rId4"/>
    <sheet name="Dashboard" sheetId="3" state="visible" r:id="rId5"/>
    <sheet name="RFI Log" sheetId="4" state="visible" r:id="rId6"/>
    <sheet name="Submittal Log" sheetId="5" state="visible" r:id="rId7"/>
    <sheet name="Change Order Log" sheetId="6" state="visible" r:id="rId8"/>
    <sheet name="Subcontractor CO Log" sheetId="7" state="visible" r:id="rId9"/>
    <sheet name="Claims Log" sheetId="8" state="visible" r:id="rId10"/>
    <sheet name="Risk Register" sheetId="9" state="visible" r:id="rId11"/>
    <sheet name="Daily Log" sheetId="10" state="visible" r:id="rId12"/>
    <sheet name="Meeting Minutes Log" sheetId="11" state="visible" r:id="rId13"/>
    <sheet name="Contract Review Log" sheetId="12" state="visible" r:id="rId14"/>
    <sheet name="Schedule" sheetId="13" state="visible" r:id="rId15"/>
    <sheet name="Contract Milestones" sheetId="14" state="visible" r:id="rId16"/>
    <sheet name="3-Week Look-Ahead" sheetId="15" state="visible" r:id="rId17"/>
    <sheet name="Photo Log" sheetId="16" state="visible" r:id="rId18"/>
    <sheet name="Permit Tracker" sheetId="17" state="visible" r:id="rId19"/>
    <sheet name="Material Tracker" sheetId="18" state="visible" r:id="rId20"/>
    <sheet name="Drawing Log" sheetId="19" state="visible" r:id="rId21"/>
    <sheet name="Specification Log" sheetId="20" state="visible" r:id="rId22"/>
    <sheet name="Owner Contract Key Terms" sheetId="21" state="visible" r:id="rId23"/>
  </sheets>
  <definedNames>
    <definedName function="false" hidden="false" localSheetId="14" name="_xlnm.Print_Area" vbProcedure="false">'3-Week Look-Ahead'!$A$1:$H$60</definedName>
    <definedName function="false" hidden="false" localSheetId="14" name="_xlnm.Print_Titles" vbProcedure="false">'3-Week Look-Ahead'!$1:$1</definedName>
    <definedName function="false" hidden="false" localSheetId="5" name="_xlnm.Print_Area" vbProcedure="false">'Change Order Log'!$A$1:$R$60</definedName>
    <definedName function="false" hidden="false" localSheetId="5" name="_xlnm.Print_Titles" vbProcedure="false">'Change Order Log'!$1:$1</definedName>
    <definedName function="false" hidden="false" localSheetId="7" name="_xlnm.Print_Area" vbProcedure="false">'Claims Log'!$A$1:$P$60</definedName>
    <definedName function="false" hidden="false" localSheetId="7" name="_xlnm.Print_Titles" vbProcedure="false">'Claims Log'!$1:$1</definedName>
    <definedName function="false" hidden="false" localSheetId="13" name="_xlnm.Print_Area" vbProcedure="false">'Contract Milestones'!$A$1:$F$60</definedName>
    <definedName function="false" hidden="false" localSheetId="13" name="_xlnm.Print_Titles" vbProcedure="false">'Contract Milestones'!$1:$1</definedName>
    <definedName function="false" hidden="false" localSheetId="11" name="_xlnm.Print_Area" vbProcedure="false">'Contract Review Log'!$A$1:$J$60</definedName>
    <definedName function="false" hidden="false" localSheetId="11" name="_xlnm.Print_Titles" vbProcedure="false">'Contract Review Log'!$1:$1</definedName>
    <definedName function="false" hidden="false" localSheetId="9" name="_xlnm.Print_Area" vbProcedure="false">'Daily Log'!$A$1:$N$60</definedName>
    <definedName function="false" hidden="false" localSheetId="9" name="_xlnm.Print_Titles" vbProcedure="false">'Daily Log'!$1:$1</definedName>
    <definedName function="false" hidden="false" localSheetId="2" name="_xlnm.Print_Area" vbProcedure="false">Dashboard!$A$1:$F$62</definedName>
    <definedName function="false" hidden="false" localSheetId="2" name="_xlnm.Print_Titles" vbProcedure="false">Dashboard!$1:$1</definedName>
    <definedName function="false" hidden="false" localSheetId="18" name="_xlnm.Print_Area" vbProcedure="false">'Drawing Log'!$A$1:$M$60</definedName>
    <definedName function="false" hidden="false" localSheetId="18" name="_xlnm.Print_Titles" vbProcedure="false">'Drawing Log'!$1:$1</definedName>
    <definedName function="false" hidden="false" localSheetId="17" name="_xlnm.Print_Area" vbProcedure="false">'Material Tracker'!$A$1:$X$60</definedName>
    <definedName function="false" hidden="false" localSheetId="17" name="_xlnm.Print_Titles" vbProcedure="false">'Material Tracker'!$1:$1</definedName>
    <definedName function="false" hidden="false" localSheetId="10" name="_xlnm.Print_Area" vbProcedure="false">'Meeting Minutes Log'!$A$1:$K$60</definedName>
    <definedName function="false" hidden="false" localSheetId="10" name="_xlnm.Print_Titles" vbProcedure="false">'Meeting Minutes Log'!$1:$1</definedName>
    <definedName function="false" hidden="false" localSheetId="20" name="_xlnm.Print_Area" vbProcedure="false">'Owner Contract Key Terms'!$A$1:$C$60</definedName>
    <definedName function="false" hidden="false" localSheetId="20" name="_xlnm.Print_Titles" vbProcedure="false">'Owner Contract Key Terms'!$1:$1</definedName>
    <definedName function="false" hidden="false" localSheetId="16" name="_xlnm.Print_Area" vbProcedure="false">'Permit Tracker'!$A$1:$S$60</definedName>
    <definedName function="false" hidden="false" localSheetId="16" name="_xlnm.Print_Titles" vbProcedure="false">'Permit Tracker'!$1:$1</definedName>
    <definedName function="false" hidden="false" localSheetId="15" name="_xlnm.Print_Area" vbProcedure="false">'Photo Log'!$A$1:$H$60</definedName>
    <definedName function="false" hidden="false" localSheetId="15" name="_xlnm.Print_Titles" vbProcedure="false">'Photo Log'!$1:$1</definedName>
    <definedName function="false" hidden="false" localSheetId="0" name="_xlnm.Print_Area" vbProcedure="false">'Project Info'!$A$1:$C$60</definedName>
    <definedName function="false" hidden="false" localSheetId="0" name="_xlnm.Print_Titles" vbProcedure="false">'Project Info'!$1:$1</definedName>
    <definedName function="false" hidden="false" localSheetId="1" name="_xlnm.Print_Area" vbProcedure="false">README!$A$1:$D$60</definedName>
    <definedName function="false" hidden="false" localSheetId="1" name="_xlnm.Print_Titles" vbProcedure="false">README!$1:$1</definedName>
    <definedName function="false" hidden="false" localSheetId="3" name="_xlnm.Print_Area" vbProcedure="false">'RFI Log'!$A$1:$V$60</definedName>
    <definedName function="false" hidden="false" localSheetId="3" name="_xlnm.Print_Titles" vbProcedure="false">'RFI Log'!$1:$1</definedName>
    <definedName function="false" hidden="false" localSheetId="8" name="_xlnm.Print_Area" vbProcedure="false">'Risk Register'!$A$1:$O$60</definedName>
    <definedName function="false" hidden="false" localSheetId="8" name="_xlnm.Print_Titles" vbProcedure="false">'Risk Register'!$1:$1</definedName>
    <definedName function="false" hidden="false" localSheetId="12" name="_xlnm.Print_Area" vbProcedure="false">Schedule!$A$1:$K$60</definedName>
    <definedName function="false" hidden="false" localSheetId="12" name="_xlnm.Print_Titles" vbProcedure="false">Schedule!$1:$1</definedName>
    <definedName function="false" hidden="false" localSheetId="19" name="_xlnm.Print_Area" vbProcedure="false">'Specification Log'!$A$1:$O$60</definedName>
    <definedName function="false" hidden="false" localSheetId="19" name="_xlnm.Print_Titles" vbProcedure="false">'Specification Log'!$1:$1</definedName>
    <definedName function="false" hidden="false" localSheetId="6" name="_xlnm.Print_Area" vbProcedure="false">'Subcontractor CO Log'!$A$1:$S$60</definedName>
    <definedName function="false" hidden="false" localSheetId="6" name="_xlnm.Print_Titles" vbProcedure="false">'Subcontractor CO Log'!$1:$1</definedName>
    <definedName function="false" hidden="false" localSheetId="4" name="_xlnm.Print_Area" vbProcedure="false">'Submittal Log'!$A$1:$P$60</definedName>
    <definedName function="false" hidden="false" localSheetId="4" name="_xlnm.Print_Titles" vbProcedure="false">'Submittal Log'!$1:$1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<sst xmlns="http://schemas.openxmlformats.org/spreadsheetml/2006/main" count="698" uniqueCount="578">
  <si>
    <t xml:space="preserve">PROJECT INFO</t>
  </si>
  <si>
    <t xml:space="preserve">The single source of truth for project identity. Dashboard, every log's header, and every Skill-drafted document pull from here — fill it in once per project.</t>
  </si>
  <si>
    <t xml:space="preserve">Project Name</t>
  </si>
  <si>
    <t xml:space="preserve">Project Number</t>
  </si>
  <si>
    <t xml:space="preserve">Job Number</t>
  </si>
  <si>
    <t xml:space="preserve">Project Address</t>
  </si>
  <si>
    <t xml:space="preserve">AHJ / Jurisdiction</t>
  </si>
  <si>
    <t xml:space="preserve">Owner</t>
  </si>
  <si>
    <t xml:space="preserve">Owner Contact (name / email / phone)</t>
  </si>
  <si>
    <t xml:space="preserve">Architect / Design Firm</t>
  </si>
  <si>
    <t xml:space="preserve">Architect Contact</t>
  </si>
  <si>
    <t xml:space="preserve">General Contractor</t>
  </si>
  <si>
    <t xml:space="preserve">GC Project Manager</t>
  </si>
  <si>
    <t xml:space="preserve">GC Superintendent</t>
  </si>
  <si>
    <t xml:space="preserve">Contract Type / Delivery Method</t>
  </si>
  <si>
    <t xml:space="preserve">e.g. AIA, GMP, Design-Build, IPD, ConsensusDocs, EJCDC, custom Lump Sum</t>
  </si>
  <si>
    <t xml:space="preserve">Contract Date</t>
  </si>
  <si>
    <t xml:space="preserve">Notice to Proceed Date</t>
  </si>
  <si>
    <t xml:space="preserve">Substantial Completion Date (Contract)</t>
  </si>
  <si>
    <t xml:space="preserve">Original Contract Value ($)</t>
  </si>
  <si>
    <t xml:space="preserve">Approved Change Orders to Date ($)</t>
  </si>
  <si>
    <t xml:space="preserve">Current Contract Value ($)</t>
  </si>
  <si>
    <t xml:space="preserve">Prepared By</t>
  </si>
  <si>
    <t xml:space="preserve">Preparer Company</t>
  </si>
  <si>
    <t xml:space="preserve">Last Updated</t>
  </si>
  <si>
    <t xml:space="preserve">Cells shaded light gray are for manual entry. Approved Change Orders, Current Contract Value, and Last Updated are live formulas — don't type over them.</t>
  </si>
  <si>
    <t xml:space="preserve">PROJECT CONTROL TRACKER — HOW THIS WORKBOOK WORKS</t>
  </si>
  <si>
    <t xml:space="preserve">This is the shared tracker the Claude Skills in this pack read from and write to.</t>
  </si>
  <si>
    <t xml:space="preserve">TABS:</t>
  </si>
  <si>
    <t xml:space="preserve">  Project Info         Project identity — name, number, owner, contract dates, team, the</t>
  </si>
  <si>
    <t xml:space="preserve">                      preparer. Fill this in ONCE per project; everything else reads from it.</t>
  </si>
  <si>
    <t xml:space="preserve">  Dashboard          Live counts and totals pulled from every log below.</t>
  </si>
  <si>
    <t xml:space="preserve">  RFI Log            One row per RFI. Status/Days Open/Overdue calculate automatically;</t>
  </si>
  <si>
    <t xml:space="preserve">                      Void? flags a voided RFI, Revision # tracks reissues.</t>
  </si>
  <si>
    <t xml:space="preserve">  Submittal Log       One row per submittal package.</t>
  </si>
  <si>
    <t xml:space="preserve">  Change Order Log   GC -&gt; OWNER: PCO through to executed CO, linked back to RFIs/Claims.</t>
  </si>
  <si>
    <t xml:space="preserve">                      Trade(s) tags which trade(s) the cost/backup applies to.</t>
  </si>
  <si>
    <t xml:space="preserve">  Subcontractor CO Log SUB -&gt; GC: change orders a subcontractor submitted for your review,</t>
  </si>
  <si>
    <t xml:space="preserve">                      tracked against their Subcontract # and a running approved total per sub.</t>
  </si>
  <si>
    <t xml:space="preserve">                      Separate from the Change Order Log above — do not merge the two.</t>
  </si>
  <si>
    <t xml:space="preserve">  Claims Log          Tracks notice deadlines (defaults to AIA A201 21-day window — verify</t>
  </si>
  <si>
    <t xml:space="preserve">                      against YOUR executed contract).</t>
  </si>
  <si>
    <t xml:space="preserve">  Risk Register       Probability x Impact scoring, auto priority.</t>
  </si>
  <si>
    <t xml:space="preserve">  Daily Log           One row per working day.</t>
  </si>
  <si>
    <t xml:space="preserve">  Meeting Minutes Log One row per action item (a meeting = several rows).</t>
  </si>
  <si>
    <t xml:space="preserve">  Contract Review Log Clause-by-clause deviation tracking vs. your standard playbook.</t>
  </si>
  <si>
    <t xml:space="preserve">  Contract Milestones  Owner-contract dates (NTP, Substantial/Final Completion, etc.) with</t>
  </si>
  <si>
    <t xml:space="preserve">                      auto status: On Track / Due Soon / Missed / Met - On Time / Met - Late.</t>
  </si>
  <si>
    <t xml:space="preserve">  Schedule             INTERNAL USE ONLY — activity-level baseline vs. forecast tracking.</t>
  </si>
  <si>
    <t xml:space="preserve">                      Not pulled into the Owner Report; kept here for your own PM use.</t>
  </si>
  <si>
    <t xml:space="preserve">  3-Week Look-Ahead   A WEEKLY FEED you provide — paste/replace it each week. The Owner</t>
  </si>
  <si>
    <t xml:space="preserve">                      Report pulls it in as given; Claude doesn't generate or recalculate it.</t>
  </si>
  <si>
    <t xml:space="preserve">  Photo Log            Index of jobsite photos (image files live alongside this workbook;</t>
  </si>
  <si>
    <t xml:space="preserve">                      this tab just references them by name).</t>
  </si>
  <si>
    <t xml:space="preserve">  Permit Tracker       Every trade/permit needed, status through Applied/Under Review/In</t>
  </si>
  <si>
    <t xml:space="preserve">                      Hand, with an auto Flag (ACTION NEEDED / EXPIRING SOON). Use the</t>
  </si>
  <si>
    <t xml:space="preserve">                      Permit Skill to research what's actually required for your AHJ.</t>
  </si>
  <si>
    <t xml:space="preserve">  Material Tracker     Procurement log — one row per material/equipment order, status</t>
  </si>
  <si>
    <t xml:space="preserve">                      Not Ordered through Received, auto-flags OVERDUE deliveries, and</t>
  </si>
  <si>
    <t xml:space="preserve">                      carries Lead Time and Vendor Contact for the buyout/responsibility</t>
  </si>
  <si>
    <t xml:space="preserve">                      matrix.</t>
  </si>
  <si>
    <t xml:space="preserve">  Drawing Log           One row per sheet, a column per tracked revision (Bid -&gt; Addenda -&gt;</t>
  </si>
  <si>
    <t xml:space="preserve">                      Revisions -&gt; Award). Use the Drawing Management Skill for a full</t>
  </si>
  <si>
    <t xml:space="preserve">                      sheet-by-sheet comparison between two revisions.</t>
  </si>
  <si>
    <t xml:space="preserve">  Specification Log     One row per spec section. Set Spec Format / Edition once at the top</t>
  </si>
  <si>
    <t xml:space="preserve">                      (MasterFormat 1995 vs. 2004+ vs. UniFormat, etc. — the Specification</t>
  </si>
  <si>
    <t xml:space="preserve">                      Management Skill detects which one your spec book actually uses). Use it</t>
  </si>
  <si>
    <t xml:space="preserve">                      Management Skill to generate the Submittal Register straight from it.</t>
  </si>
  <si>
    <t xml:space="preserve">  Owner Contract Key    Retainage, payment terms, notice deadlines, closeout requirements,</t>
  </si>
  <si>
    <t xml:space="preserve">  Terms                and more, extracted from the actual executed contract by the Owner</t>
  </si>
  <si>
    <t xml:space="preserve">                      Contract Skill. NOT AIA-only — works from GMP, Design-Build, IPD,</t>
  </si>
  <si>
    <t xml:space="preserve">                      ConsensusDocs, EJCDC, or custom Lump Sum contracts too. Placeholder</t>
  </si>
  <si>
    <t xml:space="preserve">                      values shown are common reference points, not your contract's actual</t>
  </si>
  <si>
    <t xml:space="preserve">                      terms — CONFIRM every field against your executed contract.</t>
  </si>
  <si>
    <t xml:space="preserve">BACKUP DOCUMENTS:</t>
  </si>
  <si>
    <t xml:space="preserve">  RFI Log, Submittal Log, Change Order Log, Claims Log, Meeting Minutes Log, Contract</t>
  </si>
  <si>
    <t xml:space="preserve">  Review Log, Permit Tracker, and Material Tracker each have a 'Backup Documents' column</t>
  </si>
  <si>
    <t xml:space="preserve">  (file names, semicolon-separated) and most also have a 'Backup Required?' flag. Keep the</t>
  </si>
  <si>
    <t xml:space="preserve">  actual files in the same folder/Drive as this workbook. When a Skill drafts or logs an</t>
  </si>
  <si>
    <t xml:space="preserve">  item, it will list backup documents as available, note when they're contractually</t>
  </si>
  <si>
    <t xml:space="preserve">  required (cost backup on a CO, the permit itself once issued, cut sheets on a submittal,</t>
  </si>
  <si>
    <t xml:space="preserve">  etc.), and flag it plainly if something required is missing rather than leaving it blank.</t>
  </si>
  <si>
    <t xml:space="preserve">RUNNING MORE THAN ONE PROJECT:</t>
  </si>
  <si>
    <t xml:space="preserve">  One workbook = one project. Don't add a second project's rows into this file — copy this</t>
  </si>
  <si>
    <t xml:space="preserve">  template and make a new workbook instead. Name each file so it's unambiguous at a glance:</t>
  </si>
  <si>
    <t xml:space="preserve">     &lt;Project Number&gt;_&lt;Project Name&gt;_Project_Control_Tracker.xlsx</t>
  </si>
  <si>
    <t xml:space="preserve">     e.g. 3382_SpinJoy_Project_Control_Tracker.xlsx</t>
  </si>
  <si>
    <t xml:space="preserve">  Fill in the Project Info tab first in every new copy — it's what Claude reads to confirm</t>
  </si>
  <si>
    <t xml:space="preserve">  which project it's working on, and what every Skill puts in a drafted document's header.</t>
  </si>
  <si>
    <t xml:space="preserve">  If you paste several tracker files into one conversation or Project, or several projects'</t>
  </si>
  <si>
    <t xml:space="preserve">  files just live in the same folder Claude can see, always say which project a request is</t>
  </si>
  <si>
    <t xml:space="preserve">  for by name or number ('for 3382 SpinJoy, draft an RFI about...') — Claude should ask which</t>
  </si>
  <si>
    <t xml:space="preserve">  workbook to use if it's genuinely ambiguous rather than guessing, and should never merge</t>
  </si>
  <si>
    <t xml:space="preserve">  or cross-reference rows from two different projects' trackers into one document.</t>
  </si>
  <si>
    <t xml:space="preserve">HOW THE LOGS LINK TOGETHER:</t>
  </si>
  <si>
    <t xml:space="preserve">  - RFI Log 'Linked CO #' &lt;-&gt; Change Order Log 'Linked RFI #'</t>
  </si>
  <si>
    <t xml:space="preserve">  - Change Order Log 'Linked Claim #' &lt;-&gt; Claims Log 'Linked CO #'</t>
  </si>
  <si>
    <t xml:space="preserve">  - Risk Register 'Linked CO #' / 'Linked Claim #' point back to those logs</t>
  </si>
  <si>
    <t xml:space="preserve">  - Daily Log 'Linked RFI #(s)' / 'Linked Submittal #(s)' / 'Photo Ref #(s)' point forward</t>
  </si>
  <si>
    <t xml:space="preserve">  - Meeting Minutes 'Linked RFI/CO/Risk #' ties action items to the source item</t>
  </si>
  <si>
    <t xml:space="preserve">  - Photo Log 'Linked Daily Log Date' / 'Linked RFI/CO/Risk #' ties photos back to events</t>
  </si>
  <si>
    <t xml:space="preserve">  These are reference columns, not live formulas (item numbers are typed once, reused</t>
  </si>
  <si>
    <t xml:space="preserve">  everywhere) — this keeps the sheet fast and lets Claude cite exact numbers when it drafts.</t>
  </si>
  <si>
    <t xml:space="preserve">HOW TO USE WITH CLAUDE:</t>
  </si>
  <si>
    <t xml:space="preserve">  0. Fill in the Project Info tab first — Claude reads it to confirm which project it's</t>
  </si>
  <si>
    <t xml:space="preserve">     working on and to fill in headers (project name, number, owner, etc.) automatically</t>
  </si>
  <si>
    <t xml:space="preserve">     rather than asking you for them on every request.</t>
  </si>
  <si>
    <t xml:space="preserve">  1. Keep this workbook as your single source of truth (in Claude Project files, Google</t>
  </si>
  <si>
    <t xml:space="preserve">     Drive, or wherever your Skill's instructions point). Keep photo image files in the</t>
  </si>
  <si>
    <t xml:space="preserve">     same folder, named to match the Photo Log.</t>
  </si>
  <si>
    <t xml:space="preserve">  2. Load the matching Skill (e.g., 'RFI Skill') and ask Claude to draft a document.</t>
  </si>
  <si>
    <t xml:space="preserve">  3. Claude drafts the letter/notice/report AND gives you the exact new row to paste into</t>
  </si>
  <si>
    <t xml:space="preserve">     the matching log tab — so the tracker and the document never fall out of sync.</t>
  </si>
  <si>
    <t xml:space="preserve">  4. Re-upload the updated workbook next session (or keep it in a Project) so Claude's</t>
  </si>
  <si>
    <t xml:space="preserve">     status counts, notice-deadline checks, and cross-references stay accurate.</t>
  </si>
  <si>
    <t xml:space="preserve">  5. For the Weekly Owner Report specifically, use the Owner Report Skill — it pulls the FULL</t>
  </si>
  <si>
    <t xml:space="preserve">     status of every RFI, Submittal, Change Order/PCO, Permit, and Material/procurement item</t>
  </si>
  <si>
    <t xml:space="preserve">     (not just the problem ones), Contract Milestones (if the tab has rows), Risk Register,</t>
  </si>
  <si>
    <t xml:space="preserve">     Daily Log delays, the 3-Week Look-Ahead feed you provide, and Photo Log, into a</t>
  </si>
  <si>
    <t xml:space="preserve">     formatted Word document. The internal Schedule tab is deliberately NOT part of that</t>
  </si>
  <si>
    <t xml:space="preserve">     report.</t>
  </si>
  <si>
    <t xml:space="preserve">  6. For permits specifically, use the Permit Skill — it can research what permits a given</t>
  </si>
  <si>
    <t xml:space="preserve">     scope of work typically needs in your jurisdiction (always confirm with the AHJ</t>
  </si>
  <si>
    <t xml:space="preserve">     directly) and keeps the Permit Tracker in sync. For procurement, use the Material</t>
  </si>
  <si>
    <t xml:space="preserve">     Tracker Skill to log new orders and check status/overdue deliveries.</t>
  </si>
  <si>
    <t xml:space="preserve">  7. RFI, Submittal, Change Order, Claims, and Risk each generate a standalone Excel report</t>
  </si>
  <si>
    <t xml:space="preserve">     (all rows, regardless of status) on request — 'give me today's RFI report' / 'this</t>
  </si>
  <si>
    <t xml:space="preserve">     week's change order report'. These are separate files from the tracker itself, meant</t>
  </si>
  <si>
    <t xml:space="preserve">     to hand off to a distribution list.</t>
  </si>
  <si>
    <t xml:space="preserve">  8. For subcontractor-submitted change orders, use the Subcontractor CO Skill — it reviews</t>
  </si>
  <si>
    <t xml:space="preserve">     what a sub submitted against their subcontract, the drawings, and the specs before you</t>
  </si>
  <si>
    <t xml:space="preserve">     set a status, and keeps the Subcontractor CO Log in sync.</t>
  </si>
  <si>
    <t xml:space="preserve">  9. For the Owner Contract itself — summaries, redline review, milestone/retainage/payment</t>
  </si>
  <si>
    <t xml:space="preserve">     extraction, weekly deadline reminders — use the Owner Contract Skill. It populates the</t>
  </si>
  <si>
    <t xml:space="preserve">     Owner Contract Key Terms tab from your ACTUAL contract, not from AIA assumptions.</t>
  </si>
  <si>
    <t xml:space="preserve">  10. For subcontract scopes of work and reviewing a sub's redlines against Owner-contract</t>
  </si>
  <si>
    <t xml:space="preserve">     flow-down requirements, use the Subcontractor Contract Skill.</t>
  </si>
  <si>
    <t xml:space="preserve">  11. For drawing tracking and revision comparisons, use the Drawing Management Skill — it</t>
  </si>
  <si>
    <t xml:space="preserve">     keeps the Drawing Log in sync and can do a detailed sheet-by-sheet comparison between</t>
  </si>
  <si>
    <t xml:space="preserve">     two revisions when both are available.</t>
  </si>
  <si>
    <t xml:space="preserve">  12. For specifications — logging, the submittal register, closeout/procurement</t>
  </si>
  <si>
    <t xml:space="preserve">     requirements — use the Specification Management Skill.</t>
  </si>
  <si>
    <t xml:space="preserve">  13. For geotech reports, Phase I/II ESAs, and similar supporting documents, use the Other</t>
  </si>
  <si>
    <t xml:space="preserve">     Contract Documents Skill — it turns findings into Risk Register entries, subcontractor</t>
  </si>
  <si>
    <t xml:space="preserve">     awareness notes, and specific bid/subcontract exclusion language.</t>
  </si>
  <si>
    <t xml:space="preserve">Cells shaded light gray are for manual entry. Everything else is a live formula — don't</t>
  </si>
  <si>
    <t xml:space="preserve">type over white/formula cells or you'll break the calculation for that column.</t>
  </si>
  <si>
    <t xml:space="preserve">Delete the example (row 2) on every log tab before starting real project data.</t>
  </si>
  <si>
    <t xml:space="preserve">PROJECT CONTROL DASHBOARD</t>
  </si>
  <si>
    <t xml:space="preserve">Auto-calculated from every log below. Project identity is set once, on the Project Info tab.</t>
  </si>
  <si>
    <t xml:space="preserve">Project Name:</t>
  </si>
  <si>
    <t xml:space="preserve">Project Number:</t>
  </si>
  <si>
    <t xml:space="preserve">Report Date:</t>
  </si>
  <si>
    <t xml:space="preserve">RFIs</t>
  </si>
  <si>
    <t xml:space="preserve">  Open</t>
  </si>
  <si>
    <t xml:space="preserve">  Overdue</t>
  </si>
  <si>
    <t xml:space="preserve">  Closed</t>
  </si>
  <si>
    <t xml:space="preserve">Submittals</t>
  </si>
  <si>
    <t xml:space="preserve">  Pending / in review</t>
  </si>
  <si>
    <t xml:space="preserve">  Revise &amp; Resubmit</t>
  </si>
  <si>
    <t xml:space="preserve">Change Orders</t>
  </si>
  <si>
    <t xml:space="preserve">  Pending</t>
  </si>
  <si>
    <t xml:space="preserve">  Approved value ($)</t>
  </si>
  <si>
    <t xml:space="preserve">Subcontractor Change Orders</t>
  </si>
  <si>
    <t xml:space="preserve">  Under review</t>
  </si>
  <si>
    <t xml:space="preserve">  Rejected</t>
  </si>
  <si>
    <t xml:space="preserve">Claims</t>
  </si>
  <si>
    <t xml:space="preserve">  Late notice (non-compliant)</t>
  </si>
  <si>
    <t xml:space="preserve">Risk Register</t>
  </si>
  <si>
    <t xml:space="preserve">  High priority, open</t>
  </si>
  <si>
    <t xml:space="preserve">  Total open risks</t>
  </si>
  <si>
    <t xml:space="preserve">Action Items (Meeting Minutes)</t>
  </si>
  <si>
    <t xml:space="preserve">Contract Review</t>
  </si>
  <si>
    <t xml:space="preserve">  High-risk deviations, open</t>
  </si>
  <si>
    <t xml:space="preserve">Contract Milestones</t>
  </si>
  <si>
    <t xml:space="preserve">  Missed</t>
  </si>
  <si>
    <t xml:space="preserve">  Met late</t>
  </si>
  <si>
    <t xml:space="preserve">  Due soon (14 days)</t>
  </si>
  <si>
    <t xml:space="preserve">Permits</t>
  </si>
  <si>
    <t xml:space="preserve">  Action needed</t>
  </si>
  <si>
    <t xml:space="preserve">  Expiring soon (30 days)</t>
  </si>
  <si>
    <t xml:space="preserve">  Issued / in hand</t>
  </si>
  <si>
    <t xml:space="preserve">Procurement / Materials</t>
  </si>
  <si>
    <t xml:space="preserve">  Not ordered</t>
  </si>
  <si>
    <t xml:space="preserve">  Overdue deliveries</t>
  </si>
  <si>
    <t xml:space="preserve">  Received</t>
  </si>
  <si>
    <t xml:space="preserve">Schedule (internal use — not in Owner Report)</t>
  </si>
  <si>
    <t xml:space="preserve">  Activities delayed</t>
  </si>
  <si>
    <t xml:space="preserve">  Activities at risk</t>
  </si>
  <si>
    <t xml:space="preserve">Stale Items (no activity in 14+ days)</t>
  </si>
  <si>
    <t xml:space="preserve">  RFIs</t>
  </si>
  <si>
    <t xml:space="preserve">  Submittals</t>
  </si>
  <si>
    <t xml:space="preserve">  Change Orders</t>
  </si>
  <si>
    <t xml:space="preserve">  Subcontractor Change Orders</t>
  </si>
  <si>
    <t xml:space="preserve">  Claims</t>
  </si>
  <si>
    <t xml:space="preserve">  Risks</t>
  </si>
  <si>
    <t xml:space="preserve">  Permits</t>
  </si>
  <si>
    <t xml:space="preserve">  Materials</t>
  </si>
  <si>
    <t xml:space="preserve">RFI #</t>
  </si>
  <si>
    <t xml:space="preserve">Date Submitted</t>
  </si>
  <si>
    <t xml:space="preserve">Submitted By</t>
  </si>
  <si>
    <t xml:space="preserve">Subject</t>
  </si>
  <si>
    <t xml:space="preserve">Spec Section / Drawing Ref</t>
  </si>
  <si>
    <t xml:space="preserve">Question</t>
  </si>
  <si>
    <t xml:space="preserve">Assigned To</t>
  </si>
  <si>
    <t xml:space="preserve">Response Due Date</t>
  </si>
  <si>
    <t xml:space="preserve">Response</t>
  </si>
  <si>
    <t xml:space="preserve">Date Answered</t>
  </si>
  <si>
    <t xml:space="preserve">Status</t>
  </si>
  <si>
    <t xml:space="preserve">Days Open</t>
  </si>
  <si>
    <t xml:space="preserve">Cost Impact ($)</t>
  </si>
  <si>
    <t xml:space="preserve">Schedule Impact (days)</t>
  </si>
  <si>
    <t xml:space="preserve">Linked CO #</t>
  </si>
  <si>
    <t xml:space="preserve">Linked Submittal #</t>
  </si>
  <si>
    <t xml:space="preserve">Backup Documents</t>
  </si>
  <si>
    <t xml:space="preserve">Backup Required?</t>
  </si>
  <si>
    <t xml:space="preserve">Revision #</t>
  </si>
  <si>
    <t xml:space="preserve">Void?</t>
  </si>
  <si>
    <t xml:space="preserve">Last Activity Date</t>
  </si>
  <si>
    <t xml:space="preserve">Days Since Activity</t>
  </si>
  <si>
    <t xml:space="preserve">RFI-001</t>
  </si>
  <si>
    <t xml:space="preserve">2026-09-01</t>
  </si>
  <si>
    <t xml:space="preserve">J. Smith</t>
  </si>
  <si>
    <t xml:space="preserve">Beam pocket dimension conflict</t>
  </si>
  <si>
    <t xml:space="preserve">S-201 / A-401</t>
  </si>
  <si>
    <t xml:space="preserve">Structural drawing shows 8in pocket, arch shows 6in - confirm dimension</t>
  </si>
  <si>
    <t xml:space="preserve">Architect</t>
  </si>
  <si>
    <t xml:space="preserve">2026-09-08</t>
  </si>
  <si>
    <t xml:space="preserve">Marked-up S-201.pdf; Marked-up A-401.pdf</t>
  </si>
  <si>
    <t xml:space="preserve">No</t>
  </si>
  <si>
    <t xml:space="preserve">0</t>
  </si>
  <si>
    <t xml:space="preserve">Legend: gray-filled columns are for manual entry. Status, Days Open auto-calculate — Status reads Void? first, then Closed/Overdue/Open. Revision # increments each time an RFI is reissued/revised (0 = original). Last Activity Date is the most recent of Date Submitted/Response Due/Date Answered; Days Since Activity flags in red at 14+ days on anything not Closed — this is what feeds the Dashboard's Stale Items section. Row 2 is an example — delete before use.</t>
  </si>
  <si>
    <t xml:space="preserve">Submittal #</t>
  </si>
  <si>
    <t xml:space="preserve">Spec Section</t>
  </si>
  <si>
    <t xml:space="preserve">Description</t>
  </si>
  <si>
    <t xml:space="preserve">Type</t>
  </si>
  <si>
    <t xml:space="preserve">Subcontractor</t>
  </si>
  <si>
    <t xml:space="preserve">Date Rec'd from Sub</t>
  </si>
  <si>
    <t xml:space="preserve">Date Sent to Architect</t>
  </si>
  <si>
    <t xml:space="preserve">Required Return Date</t>
  </si>
  <si>
    <t xml:space="preserve">Date Returned</t>
  </si>
  <si>
    <t xml:space="preserve">Days in Review</t>
  </si>
  <si>
    <t xml:space="preserve">Linked RFI #</t>
  </si>
  <si>
    <t xml:space="preserve">SUB-001</t>
  </si>
  <si>
    <t xml:space="preserve">09 3000</t>
  </si>
  <si>
    <t xml:space="preserve">Ceramic tile sample</t>
  </si>
  <si>
    <t xml:space="preserve">Sample</t>
  </si>
  <si>
    <t xml:space="preserve">Ace Tile Co.</t>
  </si>
  <si>
    <t xml:space="preserve">2026-09-02</t>
  </si>
  <si>
    <t xml:space="preserve">2026-09-03</t>
  </si>
  <si>
    <t xml:space="preserve">2026-09-17</t>
  </si>
  <si>
    <t xml:space="preserve">Cut sheets.pdf; Sample photo.jpg</t>
  </si>
  <si>
    <t xml:space="preserve">Yes</t>
  </si>
  <si>
    <t xml:space="preserve">Legend: gray-filled columns are for manual entry. Days in Review auto-calculates. Last Activity Date / Days Since Activity feed the Dashboard's Stale Items section. Row 2 is an example — delete before use.</t>
  </si>
  <si>
    <t xml:space="preserve">PCO/CO #</t>
  </si>
  <si>
    <t xml:space="preserve">Date Initiated</t>
  </si>
  <si>
    <t xml:space="preserve">Source</t>
  </si>
  <si>
    <t xml:space="preserve">Trade(s)</t>
  </si>
  <si>
    <t xml:space="preserve">Linked Claim #</t>
  </si>
  <si>
    <t xml:space="preserve">Cost Amount ($)</t>
  </si>
  <si>
    <t xml:space="preserve">Date Submitted to Owner</t>
  </si>
  <si>
    <t xml:space="preserve">Date Approved (Owner CO)</t>
  </si>
  <si>
    <t xml:space="preserve">Running Approved Total ($)</t>
  </si>
  <si>
    <t xml:space="preserve">Bundled Into OCO #</t>
  </si>
  <si>
    <t xml:space="preserve">PCO-001</t>
  </si>
  <si>
    <t xml:space="preserve">2026-09-05</t>
  </si>
  <si>
    <t xml:space="preserve">Additional beam reinforcement per RFI-001</t>
  </si>
  <si>
    <t xml:space="preserve">RFI</t>
  </si>
  <si>
    <t xml:space="preserve">Concrete, Structural</t>
  </si>
  <si>
    <t xml:space="preserve">4500</t>
  </si>
  <si>
    <t xml:space="preserve">2</t>
  </si>
  <si>
    <t xml:space="preserve">Pending</t>
  </si>
  <si>
    <t xml:space="preserve">2026-09-10</t>
  </si>
  <si>
    <t xml:space="preserve">EC - Beam Reinf Calc.pdf; ABC Concrete Quote.pdf</t>
  </si>
  <si>
    <t xml:space="preserve">Running Approved Total sums col H where Status=Approved, in row order. Trade(s) tags which trade(s) the backup documents/cost breakdown apply to (comma-separated) — lets the weekly report and backup review group costs by trade. Last Activity Date / Days Since Activity feed the Dashboard's Stale Items section (blank once Approved/Rejected/Void). Bundled Into OCO # — a single Owner Change Order can combine multiple PCO rows (this is normal practice, e.g. bundling several CCDs into one OCO); tag every PCO row included in a given OCO with that OCO's number once it's issued for signature — use the Change Order Skill to build the actual signature-ready document. Row 2 is an example — delete before use.</t>
  </si>
  <si>
    <t xml:space="preserve">SCO Log #</t>
  </si>
  <si>
    <t xml:space="preserve">Subcontractor Name</t>
  </si>
  <si>
    <t xml:space="preserve">Subcontract #</t>
  </si>
  <si>
    <t xml:space="preserve">Amount Requested ($)</t>
  </si>
  <si>
    <t xml:space="preserve">Schedule Impact Requested (days)</t>
  </si>
  <si>
    <t xml:space="preserve">Related Owner PCO/CO #</t>
  </si>
  <si>
    <t xml:space="preserve">Related RFI #</t>
  </si>
  <si>
    <t xml:space="preserve">Validity Assessment</t>
  </si>
  <si>
    <t xml:space="preserve">Date Reviewed</t>
  </si>
  <si>
    <t xml:space="preserve">Reviewed By</t>
  </si>
  <si>
    <t xml:space="preserve">Approved Amount ($)</t>
  </si>
  <si>
    <t xml:space="preserve">Running Approved Total — This Sub ($)</t>
  </si>
  <si>
    <t xml:space="preserve">SCO-LOG-001</t>
  </si>
  <si>
    <t xml:space="preserve">2026-09-12</t>
  </si>
  <si>
    <t xml:space="preserve">SUB-2026-014</t>
  </si>
  <si>
    <t xml:space="preserve">Additional waterproofing at wet wall per RFI-001 response</t>
  </si>
  <si>
    <t xml:space="preserve">1850</t>
  </si>
  <si>
    <t xml:space="preserve">1</t>
  </si>
  <si>
    <t xml:space="preserve">Reviewed against Sub §4.2 (changes-in-work) and Spec 07 1300 — scope is outside original SOV, pricing appears reasonable vs. unit costs in bid.</t>
  </si>
  <si>
    <t xml:space="preserve">Under Review</t>
  </si>
  <si>
    <t xml:space="preserve">Ace Tile waterproofing quote.pdf</t>
  </si>
  <si>
    <t xml:space="preserve">This log is GC review of costs a SUBCONTRACTOR submitted — separate from the Change Order Log above (which tracks the GC's own PCOs/COs to the Owner). Validity Assessment is where the review against the subcontract, drawings, and specs gets recorded before a status is set. Running Approved Total is per-subcontractor (tracks against their original Subcontract # value) — a formula, never type over column O. Row 2 is an example — delete before use.</t>
  </si>
  <si>
    <t xml:space="preserve">Claim #</t>
  </si>
  <si>
    <t xml:space="preserve">Date of Occurrence</t>
  </si>
  <si>
    <t xml:space="preserve">Notice Date</t>
  </si>
  <si>
    <t xml:space="preserve">Days to Notice</t>
  </si>
  <si>
    <t xml:space="preserve">Contract Notice Deadline (days)</t>
  </si>
  <si>
    <t xml:space="preserve">Notice Compliant?</t>
  </si>
  <si>
    <t xml:space="preserve">Cost Claimed ($)</t>
  </si>
  <si>
    <t xml:space="preserve">Time Claimed (days)</t>
  </si>
  <si>
    <t xml:space="preserve">Resolution</t>
  </si>
  <si>
    <t xml:space="preserve">CLM-001</t>
  </si>
  <si>
    <t xml:space="preserve">2026-09-15</t>
  </si>
  <si>
    <t xml:space="preserve">21</t>
  </si>
  <si>
    <t xml:space="preserve">Differing site condition - unsuitable soil at Col Line 4</t>
  </si>
  <si>
    <t xml:space="preserve">12000</t>
  </si>
  <si>
    <t xml:space="preserve">3</t>
  </si>
  <si>
    <t xml:space="preserve">Open</t>
  </si>
  <si>
    <t xml:space="preserve">Geotech report.pdf; Site photos.pdf; Notice letter.pdf</t>
  </si>
  <si>
    <t xml:space="preserve">AIA A201-2017 §15.1.3: written notice of claim generally due within 21 days of the event. Confirm the actual deadline in your executed contract/exhibits before relying on this. Last Activity Date / Days Since Activity feed the Dashboard's Stale Items section. Row 2 is an example.</t>
  </si>
  <si>
    <t xml:space="preserve">Risk ID</t>
  </si>
  <si>
    <t xml:space="preserve">Date Identified</t>
  </si>
  <si>
    <t xml:space="preserve">Category</t>
  </si>
  <si>
    <t xml:space="preserve">Probability (1-5)</t>
  </si>
  <si>
    <t xml:space="preserve">Impact (1-5)</t>
  </si>
  <si>
    <t xml:space="preserve">Risk Score</t>
  </si>
  <si>
    <t xml:space="preserve">Priority</t>
  </si>
  <si>
    <t xml:space="preserve">Mitigation Plan</t>
  </si>
  <si>
    <t xml:space="preserve">Days Since Update</t>
  </si>
  <si>
    <t xml:space="preserve">RSK-001</t>
  </si>
  <si>
    <t xml:space="preserve">Site Conditions</t>
  </si>
  <si>
    <t xml:space="preserve">Unconfirmed soil bearing capacity at footings</t>
  </si>
  <si>
    <t xml:space="preserve">Order geotech test pits before foundation pour</t>
  </si>
  <si>
    <t xml:space="preserve">PM - J. Smith</t>
  </si>
  <si>
    <t xml:space="preserve">Risk Score = Probability x Impact (1-5 scale each). Last Updated is MANUAL — update it yourself whenever you touch a risk (there's no second date field to compute this from automatically); Days Since Update feeds the Dashboard's Stale Items section. Row 2 is an example — delete before use.</t>
  </si>
  <si>
    <t xml:space="preserve">Date</t>
  </si>
  <si>
    <t xml:space="preserve">Weather</t>
  </si>
  <si>
    <t xml:space="preserve">Temp (F)</t>
  </si>
  <si>
    <t xml:space="preserve">Crew Count</t>
  </si>
  <si>
    <t xml:space="preserve">Subs on Site</t>
  </si>
  <si>
    <t xml:space="preserve">Work Performed</t>
  </si>
  <si>
    <t xml:space="preserve">Equipment on Site</t>
  </si>
  <si>
    <t xml:space="preserve">Deliveries</t>
  </si>
  <si>
    <t xml:space="preserve">Visitors</t>
  </si>
  <si>
    <t xml:space="preserve">Safety Incidents</t>
  </si>
  <si>
    <t xml:space="preserve">Delays / Issues</t>
  </si>
  <si>
    <t xml:space="preserve">Linked RFI #(s)</t>
  </si>
  <si>
    <t xml:space="preserve">Linked Submittal #(s)</t>
  </si>
  <si>
    <t xml:space="preserve">Photo Ref #(s)</t>
  </si>
  <si>
    <t xml:space="preserve">Clear</t>
  </si>
  <si>
    <t xml:space="preserve">72</t>
  </si>
  <si>
    <t xml:space="preserve">24</t>
  </si>
  <si>
    <t xml:space="preserve">Ace Tile, Acme Elec</t>
  </si>
  <si>
    <t xml:space="preserve">Framing L2, rough-in electrical L1</t>
  </si>
  <si>
    <t xml:space="preserve">Crane, 2x scissor lift</t>
  </si>
  <si>
    <t xml:space="preserve">Rebar delivery 9am</t>
  </si>
  <si>
    <t xml:space="preserve">Owner rep walk-through</t>
  </si>
  <si>
    <t xml:space="preserve">None</t>
  </si>
  <si>
    <t xml:space="preserve">Waiting on RFI-001 response - holding beam pour</t>
  </si>
  <si>
    <t xml:space="preserve">PHOTO-001, PHOTO-002</t>
  </si>
  <si>
    <t xml:space="preserve">One row per working day. Row 2 is an example — delete before use.</t>
  </si>
  <si>
    <t xml:space="preserve">Meeting #</t>
  </si>
  <si>
    <t xml:space="preserve">Attendees</t>
  </si>
  <si>
    <t xml:space="preserve">Key Discussion Point</t>
  </si>
  <si>
    <t xml:space="preserve">Action Item</t>
  </si>
  <si>
    <t xml:space="preserve">Responsible Party</t>
  </si>
  <si>
    <t xml:space="preserve">Due Date</t>
  </si>
  <si>
    <t xml:space="preserve">Linked RFI/CO/Risk #</t>
  </si>
  <si>
    <t xml:space="preserve">OAC-012</t>
  </si>
  <si>
    <t xml:space="preserve">2026-09-16</t>
  </si>
  <si>
    <t xml:space="preserve">OAC</t>
  </si>
  <si>
    <t xml:space="preserve">GC, Owner, Architect, MEP Eng</t>
  </si>
  <si>
    <t xml:space="preserve">Beam pocket conflict discussed, RFI submitted</t>
  </si>
  <si>
    <t xml:space="preserve">Architect to respond to RFI-001 by 9/8</t>
  </si>
  <si>
    <t xml:space="preserve">Architect (T. Lee)</t>
  </si>
  <si>
    <t xml:space="preserve">Meeting sign-in sheet.pdf</t>
  </si>
  <si>
    <t xml:space="preserve">One row per discussion point / action item (a single meeting spans several rows). Row 2 is an example.</t>
  </si>
  <si>
    <t xml:space="preserve">Item #</t>
  </si>
  <si>
    <t xml:space="preserve">Contract / Subcontract</t>
  </si>
  <si>
    <t xml:space="preserve">Clause Ref</t>
  </si>
  <si>
    <t xml:space="preserve">Standard Position (Playbook)</t>
  </si>
  <si>
    <t xml:space="preserve">Actual Clause (Summary)</t>
  </si>
  <si>
    <t xml:space="preserve">Deviation?</t>
  </si>
  <si>
    <t xml:space="preserve">Risk Level</t>
  </si>
  <si>
    <t xml:space="preserve">Recommended Redline</t>
  </si>
  <si>
    <t xml:space="preserve">Ace Tile Co. - Tile Subcontract</t>
  </si>
  <si>
    <t xml:space="preserve">Indemnification §8.2</t>
  </si>
  <si>
    <t xml:space="preserve">Mutual indemnity, capped at insurance limits</t>
  </si>
  <si>
    <t xml:space="preserve">Broad-form one-sided indemnity in favor of Sub, no cap</t>
  </si>
  <si>
    <t xml:space="preserve">High</t>
  </si>
  <si>
    <t xml:space="preserve">Revert to mutual indemnity with cap at available insurance proceeds</t>
  </si>
  <si>
    <t xml:space="preserve">Ace Tile Co - Subcontract draft.pdf</t>
  </si>
  <si>
    <t xml:space="preserve">One row per clause reviewed against your standard playbook position. Row 2 is an example — delete before use.</t>
  </si>
  <si>
    <t xml:space="preserve">Activity / Milestone</t>
  </si>
  <si>
    <t xml:space="preserve">Baseline Start</t>
  </si>
  <si>
    <t xml:space="preserve">Baseline Finish</t>
  </si>
  <si>
    <t xml:space="preserve">Forecast Start</t>
  </si>
  <si>
    <t xml:space="preserve">Forecast Finish</t>
  </si>
  <si>
    <t xml:space="preserve">% Complete</t>
  </si>
  <si>
    <t xml:space="preserve">Variance (days)</t>
  </si>
  <si>
    <t xml:space="preserve">Critical Path?</t>
  </si>
  <si>
    <t xml:space="preserve">Responsible</t>
  </si>
  <si>
    <t xml:space="preserve">Notes</t>
  </si>
  <si>
    <t xml:space="preserve">Foundations - Col Lines 1-6</t>
  </si>
  <si>
    <t xml:space="preserve">2026-08-15</t>
  </si>
  <si>
    <t xml:space="preserve">2026-09-19</t>
  </si>
  <si>
    <t xml:space="preserve">ABC Concrete</t>
  </si>
  <si>
    <t xml:space="preserve">Holding on RFI-001 for beam pocket dimension</t>
  </si>
  <si>
    <t xml:space="preserve">Variance = Forecast Finish - Baseline Finish. Status: &gt;5 days late = Delayed, 1-5 = At Risk, 0 or ahead = On Track. Row 2 is an example — delete before use.</t>
  </si>
  <si>
    <t xml:space="preserve">Milestone</t>
  </si>
  <si>
    <t xml:space="preserve">Contract / Target Date</t>
  </si>
  <si>
    <t xml:space="preserve">Actual / Forecast Date</t>
  </si>
  <si>
    <t xml:space="preserve">Notice to Proceed</t>
  </si>
  <si>
    <t xml:space="preserve">2026-07-01</t>
  </si>
  <si>
    <t xml:space="preserve">GC</t>
  </si>
  <si>
    <t xml:space="preserve">Permit Issuance</t>
  </si>
  <si>
    <t xml:space="preserve">2026-08-01</t>
  </si>
  <si>
    <t xml:space="preserve">2026-07-28</t>
  </si>
  <si>
    <t xml:space="preserve">Substantial Completion</t>
  </si>
  <si>
    <t xml:space="preserve">2027-03-15</t>
  </si>
  <si>
    <t xml:space="preserve">Per Owner-Contractor Agreement §8</t>
  </si>
  <si>
    <t xml:space="preserve">Final Completion</t>
  </si>
  <si>
    <t xml:space="preserve">2027-04-15</t>
  </si>
  <si>
    <t xml:space="preserve">Status: filled Actual/Forecast Date compares to Target (On Time / Late); no date yet compares Target to today (On Track / Due Soon within 14 days / Missed). These are the owner-contract dates (Substantial Completion, etc.) — distinct from the internal Schedule tab's activity-level forecasting. Rows 2-5 are examples — delete before use, and leave a milestone's row blank entirely if your contract doesn't set that date.</t>
  </si>
  <si>
    <t xml:space="preserve">Week</t>
  </si>
  <si>
    <t xml:space="preserve">Week Starting</t>
  </si>
  <si>
    <t xml:space="preserve">Activity</t>
  </si>
  <si>
    <t xml:space="preserve">Location / Area</t>
  </si>
  <si>
    <t xml:space="preserve">Responsible (Sub)</t>
  </si>
  <si>
    <t xml:space="preserve">Predecessor / Constraint</t>
  </si>
  <si>
    <t xml:space="preserve">2026-09-29</t>
  </si>
  <si>
    <t xml:space="preserve">Complete foundation pour Col Lines 1-6</t>
  </si>
  <si>
    <t xml:space="preserve">Col Lines 1-6</t>
  </si>
  <si>
    <t xml:space="preserve">Pending RFI-001 response</t>
  </si>
  <si>
    <t xml:space="preserve">At Risk</t>
  </si>
  <si>
    <t xml:space="preserve">Holding for beam pocket confirmation</t>
  </si>
  <si>
    <t xml:space="preserve">Begin framing Level 2</t>
  </si>
  <si>
    <t xml:space="preserve">Level 2, Grid A-D</t>
  </si>
  <si>
    <t xml:space="preserve">Acme Framing</t>
  </si>
  <si>
    <t xml:space="preserve">Foundation pour complete</t>
  </si>
  <si>
    <t xml:space="preserve">On Track</t>
  </si>
  <si>
    <t xml:space="preserve">2026-10-06</t>
  </si>
  <si>
    <t xml:space="preserve">MEP rough-in Level 1</t>
  </si>
  <si>
    <t xml:space="preserve">Level 1</t>
  </si>
  <si>
    <t xml:space="preserve">Acme Elec / MechCo</t>
  </si>
  <si>
    <t xml:space="preserve">Framing complete L1</t>
  </si>
  <si>
    <t xml:space="preserve">2026-10-13</t>
  </si>
  <si>
    <t xml:space="preserve">Building dry-in / roofing start</t>
  </si>
  <si>
    <t xml:space="preserve">Roof</t>
  </si>
  <si>
    <t xml:space="preserve">Apex Roofing</t>
  </si>
  <si>
    <t xml:space="preserve">Framing complete</t>
  </si>
  <si>
    <t xml:space="preserve">Weather dependent</t>
  </si>
  <si>
    <t xml:space="preserve">This tab is a WEEKLY FEED you provide — paste/replace it each week rather than having Claude generate or recalculate it. Rolling 3-week window: drop week 1 as it completes and add a new week 3. Rows 2-5 are examples — delete before use.</t>
  </si>
  <si>
    <t xml:space="preserve">Photo Ref #</t>
  </si>
  <si>
    <t xml:space="preserve">Date Taken</t>
  </si>
  <si>
    <t xml:space="preserve">Area / Location</t>
  </si>
  <si>
    <t xml:space="preserve">Linked Daily Log Date</t>
  </si>
  <si>
    <t xml:space="preserve">File Name</t>
  </si>
  <si>
    <t xml:space="preserve">Include in Next Owner Report?</t>
  </si>
  <si>
    <t xml:space="preserve">PHOTO-001</t>
  </si>
  <si>
    <t xml:space="preserve">Col Line 4, Level 1</t>
  </si>
  <si>
    <t xml:space="preserve">Beam pocket condition referenced in RFI-001</t>
  </si>
  <si>
    <t xml:space="preserve">2026-09-15_beam-pocket-col4.jpg</t>
  </si>
  <si>
    <t xml:space="preserve">Index of jobsite photos. Keep the actual image files in the same folder/Drive as this workbook, named to match File Name. Row 2 is an example — delete before use.</t>
  </si>
  <si>
    <t xml:space="preserve">Project:</t>
  </si>
  <si>
    <t xml:space="preserve">Total Trades</t>
  </si>
  <si>
    <t xml:space="preserve">Issued / In Hand</t>
  </si>
  <si>
    <t xml:space="preserve">AHJ / Jurisdiction:</t>
  </si>
  <si>
    <t xml:space="preserve">Action Needed</t>
  </si>
  <si>
    <t xml:space="preserve">Expiring Soon</t>
  </si>
  <si>
    <t xml:space="preserve">Trade / Permit Type</t>
  </si>
  <si>
    <t xml:space="preserve">Permit Required?</t>
  </si>
  <si>
    <t xml:space="preserve">Permit Number</t>
  </si>
  <si>
    <t xml:space="preserve">Application Date</t>
  </si>
  <si>
    <t xml:space="preserve">Approval / Issue Date</t>
  </si>
  <si>
    <t xml:space="preserve">Expiration Date</t>
  </si>
  <si>
    <t xml:space="preserve">Notes / Next Action</t>
  </si>
  <si>
    <t xml:space="preserve">Flag</t>
  </si>
  <si>
    <t xml:space="preserve">Building / General</t>
  </si>
  <si>
    <t xml:space="preserve">COM26-0325</t>
  </si>
  <si>
    <t xml:space="preserve">In Hand</t>
  </si>
  <si>
    <t xml:space="preserve">2026-07-05</t>
  </si>
  <si>
    <t xml:space="preserve">2026-07-20</t>
  </si>
  <si>
    <t xml:space="preserve">2027-07-20</t>
  </si>
  <si>
    <t xml:space="preserve">Building permit set.pdf</t>
  </si>
  <si>
    <t xml:space="preserve">Flag auto-computes: ACTION NEEDED if Required=Yes and not yet Applied, or if Rejected/Expired; EXPIRING SOON if In Hand and Expiration Date is within 30 days. Last Activity Date / Days Since Activity (blank once In Hand or Rejected) feed the Dashboard's Stale Items section. Row 6 is an example — delete before use. Research permit requirements for your jurisdiction and work scope with the Permit Skill before assuming this list is complete.</t>
  </si>
  <si>
    <t xml:space="preserve">Total Materials</t>
  </si>
  <si>
    <t xml:space="preserve">Overdue Deliveries</t>
  </si>
  <si>
    <t xml:space="preserve">Job Number:</t>
  </si>
  <si>
    <t xml:space="preserve">Not Ordered</t>
  </si>
  <si>
    <t xml:space="preserve">Received</t>
  </si>
  <si>
    <t xml:space="preserve">Material #</t>
  </si>
  <si>
    <t xml:space="preserve">Supplier / Vendor</t>
  </si>
  <si>
    <t xml:space="preserve">Responsible Person</t>
  </si>
  <si>
    <t xml:space="preserve">Order Status</t>
  </si>
  <si>
    <t xml:space="preserve">PO / Order #</t>
  </si>
  <si>
    <t xml:space="preserve">Date Ordered</t>
  </si>
  <si>
    <t xml:space="preserve">Expected Delivery</t>
  </si>
  <si>
    <t xml:space="preserve">Date Received</t>
  </si>
  <si>
    <t xml:space="preserve">Lead Time (days)</t>
  </si>
  <si>
    <t xml:space="preserve">Vendor Contact</t>
  </si>
  <si>
    <t xml:space="preserve">MAT-001</t>
  </si>
  <si>
    <t xml:space="preserve">PCX Switch Gear</t>
  </si>
  <si>
    <t xml:space="preserve">Switch gear</t>
  </si>
  <si>
    <t xml:space="preserve">PM/APM</t>
  </si>
  <si>
    <t xml:space="preserve">Ordered</t>
  </si>
  <si>
    <t xml:space="preserve">PO-4471</t>
  </si>
  <si>
    <t xml:space="preserve">2026-08-11</t>
  </si>
  <si>
    <t xml:space="preserve">2026-09-30</t>
  </si>
  <si>
    <t xml:space="preserve">Long-lead item — confirm weekly</t>
  </si>
  <si>
    <t xml:space="preserve">PCX Quote.pdf; PO-4471.pdf</t>
  </si>
  <si>
    <t xml:space="preserve">35</t>
  </si>
  <si>
    <t xml:space="preserve">J. Rivera, jrivera@pcx.com, 555-0142</t>
  </si>
  <si>
    <t xml:space="preserve">Flag auto-computes OVERDUE when Expected Delivery has passed with no Date Received and Status isn't Cancelled. Material # is a simple sequential ID for cross-referencing (e.g. from Submittal Log). Lead Time and Vendor Contact support the procurement responsibility matrix and cadence reports. Last Activity Date / Days Since Activity feed the Dashboard's Stale Items section. Row 6 is an example — delete before use.</t>
  </si>
  <si>
    <t xml:space="preserve">Drawing #</t>
  </si>
  <si>
    <t xml:space="preserve">Drawing Description</t>
  </si>
  <si>
    <t xml:space="preserve">Discipline</t>
  </si>
  <si>
    <t xml:space="preserve">Rev 0 (Date — What Changed)</t>
  </si>
  <si>
    <t xml:space="preserve">Rev 1 (Date — What Changed)</t>
  </si>
  <si>
    <t xml:space="preserve">Rev 2 (Date — What Changed)</t>
  </si>
  <si>
    <t xml:space="preserve">Rev 3 (Date — What Changed)</t>
  </si>
  <si>
    <t xml:space="preserve">Rev 4 (Date — What Changed)</t>
  </si>
  <si>
    <t xml:space="preserve">Rev 5 (Date — What Changed)</t>
  </si>
  <si>
    <t xml:space="preserve">Current Rev #</t>
  </si>
  <si>
    <t xml:space="preserve">Current Rev Date</t>
  </si>
  <si>
    <t xml:space="preserve">S-201</t>
  </si>
  <si>
    <t xml:space="preserve">Foundation Plan — Level 1</t>
  </si>
  <si>
    <t xml:space="preserve">Structural</t>
  </si>
  <si>
    <t xml:space="preserve">2026-06-01 — Issued for Bid</t>
  </si>
  <si>
    <t xml:space="preserve">2026-07-15 — ADD-02: added mop sink footing note</t>
  </si>
  <si>
    <t xml:space="preserve">2026-07-15</t>
  </si>
  <si>
    <t xml:space="preserve">Current</t>
  </si>
  <si>
    <t xml:space="preserve">S-201_Rev1.pdf</t>
  </si>
  <si>
    <t xml:space="preserve">Each Rev column holds that revision's date and a short note on what changed (added/removed/revised) — leave unused Rev columns blank. Use the Drawing Management Skill to do a full sheet-by-sheet comparison between two revisions when you have both PDFs; this log is the summary/index, not the comparison itself. Row 5 is an example — delete before use.</t>
  </si>
  <si>
    <t xml:space="preserve">Spec Format / Edition:</t>
  </si>
  <si>
    <t xml:space="preserve">Spec Section #</t>
  </si>
  <si>
    <t xml:space="preserve">Section Title</t>
  </si>
  <si>
    <t xml:space="preserve">Division</t>
  </si>
  <si>
    <t xml:space="preserve">Classification System</t>
  </si>
  <si>
    <t xml:space="preserve">Related Drawing(s)</t>
  </si>
  <si>
    <t xml:space="preserve">Submittal Required?</t>
  </si>
  <si>
    <t xml:space="preserve">Submittal Type</t>
  </si>
  <si>
    <t xml:space="preserve">Closeout Requirement</t>
  </si>
  <si>
    <t xml:space="preserve">Acceptable Products / Vendors</t>
  </si>
  <si>
    <t xml:space="preserve">Revision / Update Date</t>
  </si>
  <si>
    <t xml:space="preserve">09 30 00</t>
  </si>
  <si>
    <t xml:space="preserve">Tiling</t>
  </si>
  <si>
    <t xml:space="preserve">Division 09 — Finishes</t>
  </si>
  <si>
    <t xml:space="preserve">MasterFormat 2018 (50-Division)</t>
  </si>
  <si>
    <t xml:space="preserve">A-501, A-502</t>
  </si>
  <si>
    <t xml:space="preserve">Product Data, Samples</t>
  </si>
  <si>
    <t xml:space="preserve">O&amp;M manual, 1-year warranty letter, extra stock (2%)</t>
  </si>
  <si>
    <t xml:space="preserve">Approved: Daltile, American Olean — or equal per 01 60 00</t>
  </si>
  <si>
    <t xml:space="preserve">2026-06-01</t>
  </si>
  <si>
    <t xml:space="preserve">Spec Section 09 30 00.pdf</t>
  </si>
  <si>
    <t xml:space="preserve">Spec Format / Edition (row 3) is set ONCE for the project — confirm it before logging sections; see the Specification Management Skill for how to identify it from the actual spec book's numbering pattern (MasterFormat 1995's 16 divisions vs. 2004+'s 50 divisions vs. UniFormat's element-based lettering are NOT interchangeable and section numbers mean different things in each). The per-row Classification System column is only for the rare case where one section doesn't match the project's stated format (e.g. an old base spec with a newer addendum section added in a different numbering). Use the Specification Management Skill to build the Submittal Register straight from this log (every row with Submittal Required? = Yes becomes a Submittal Log entry), and to register a new/updated section when the Owner issues a change. Row 6 is an example — delete before use.</t>
  </si>
  <si>
    <t xml:space="preserve">OWNER CONTRACT KEY TERMS</t>
  </si>
  <si>
    <t xml:space="preserve">Extracted from the actual executed Owner Contract by the Owner Contract Skill. Values shown are common placeholders (mostly AIA A201 conventions, since that's the most widely used reference point) — NOT specific to your contract's actual form. GMP, Design-Build, IPD, ConsensusDocs, EJCDC, and custom Lump Sum contracts routinely set different terms entirely. CONFIRM every field against your actual executed contract, whatever form it takes, before relying on it.</t>
  </si>
  <si>
    <t xml:space="preserve">Contract Form (AIA / GMP / DB / IPD / ConsensusDocs / EJCDC / Custom)</t>
  </si>
  <si>
    <t xml:space="preserve">Retainage — Labor (%)</t>
  </si>
  <si>
    <t xml:space="preserve">10% (placeholder — set by YOUR contract, not a standard)</t>
  </si>
  <si>
    <t xml:space="preserve">Retainage — Stored Materials (%)</t>
  </si>
  <si>
    <t xml:space="preserve">Retainage Reduction Trigger</t>
  </si>
  <si>
    <t xml:space="preserve">Common: 50% complete — confirm your contract's actual trigger</t>
  </si>
  <si>
    <t xml:space="preserve">Payment Application Due Date</t>
  </si>
  <si>
    <t xml:space="preserve">Payment Terms (days after application)</t>
  </si>
  <si>
    <t xml:space="preserve">30 (placeholder — confirm your contract)</t>
  </si>
  <si>
    <t xml:space="preserve">Change Order Notice / Pricing Deadline</t>
  </si>
  <si>
    <t xml:space="preserve">Claim Notice Deadline (days)</t>
  </si>
  <si>
    <t xml:space="preserve">21 (AIA A201 §15.1.3 — ONLY if AIA governs; other forms vary widely, confirm)</t>
  </si>
  <si>
    <t xml:space="preserve">Delay Notice Deadline (days)</t>
  </si>
  <si>
    <t xml:space="preserve">Submittal Review Turnaround (days)</t>
  </si>
  <si>
    <t xml:space="preserve">14 (common placeholder — confirm your spec Section 01 3300 or equivalent)</t>
  </si>
  <si>
    <t xml:space="preserve">Closeout Submission Deadline (days before SC)</t>
  </si>
  <si>
    <t xml:space="preserve">Closeout Requirements — Summary</t>
  </si>
  <si>
    <t xml:space="preserve">O&amp;M manuals, warranties, as-builts, training, punch list</t>
  </si>
  <si>
    <t xml:space="preserve">Liquidated Damages ($/day)</t>
  </si>
  <si>
    <t xml:space="preserve">Insurance Requirements — Summary</t>
  </si>
  <si>
    <t xml:space="preserve">Dispute Resolution Method</t>
  </si>
  <si>
    <t xml:space="preserve">Common: Mediation, then arbitration/litigation — confirm your contract's actual method</t>
  </si>
  <si>
    <t xml:space="preserve">Termination for Convenience Notice (days)</t>
  </si>
  <si>
    <t xml:space="preserve">Last Reviewed / Extracted</t>
  </si>
  <si>
    <t xml:space="preserve">Cells shaded light gray are for manual entry/extraction. This tab is a summary for quick reference only — the executed contract and its exhibits always govern; if this tab and the actual contract ever disagree, the contract wins.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</si>
</sst>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/dd/yyyy"/>
    <numFmt numFmtId="166" formatCode="\$#,##0"/>
    <numFmt numFmtId="167" formatCode="General"/>
    <numFmt numFmtId="168" formatCode="mm/dd/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A1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sz val="11"/>
      <color rgb="FF1A1A1A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EBEBEB"/>
      </patternFill>
    </fill>
    <fill>
      <patternFill patternType="solid">
        <fgColor rgb="FFEBEBEB"/>
        <bgColor rgb="FFF2F2F2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A251C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>
        <color rgb="FF1A1A1A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/>
      <bottom style="thin">
        <color rgb="FF6B6B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DA251C"/>
      </font>
    </dxf>
    <dxf>
      <font>
        <name val="Arial"/>
        <charset val="1"/>
        <family val="0"/>
        <b val="1"/>
        <color rgb="FFFFFFFF"/>
        <sz val="10"/>
      </font>
      <fill>
        <patternFill>
          <bgColor rgb="FFDA251C"/>
        </patternFill>
      </fill>
    </dxf>
    <dxf>
      <font>
        <name val="Arial"/>
        <charset val="1"/>
        <family val="0"/>
        <i val="1"/>
        <color rgb="FF6B6B6B"/>
      </font>
    </dxf>
  </dxfs>
  <colors>
    <indexedColors>
      <rgbColor rgb="FF000000"/>
      <rgbColor rgb="FFFFFFFF"/>
      <rgbColor rgb="FFDA251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BEB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990360</xdr:colOff>
      <xdr:row>2</xdr:row>
      <xdr:rowOff>27000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030840" y="0"/>
          <a:ext cx="9903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0</xdr:rowOff>
    </xdr:from>
    <xdr:to>
      <xdr:col>5</xdr:col>
      <xdr:colOff>778680</xdr:colOff>
      <xdr:row>2</xdr:row>
      <xdr:rowOff>27000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3665160" y="0"/>
          <a:ext cx="9903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B2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50"/>
  </cols>
  <sheetData>
    <row r="2" customFormat="false" ht="17.35" hidden="false" customHeight="false" outlineLevel="0" collapsed="false">
      <c r="B2" s="1" t="s">
        <v>0</v>
      </c>
      <c r="C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</row>
    <row r="6" customFormat="false" ht="15" hidden="false" customHeight="false" outlineLevel="0" collapsed="false">
      <c r="B6" s="4" t="s">
        <v>3</v>
      </c>
      <c r="C6" s="5"/>
    </row>
    <row r="7" customFormat="false" ht="15" hidden="false" customHeight="false" outlineLevel="0" collapsed="false">
      <c r="B7" s="4" t="s">
        <v>4</v>
      </c>
      <c r="C7" s="5"/>
    </row>
    <row r="8" customFormat="false" ht="15" hidden="false" customHeight="false" outlineLevel="0" collapsed="false">
      <c r="B8" s="4" t="s">
        <v>5</v>
      </c>
      <c r="C8" s="5"/>
    </row>
    <row r="9" customFormat="false" ht="15" hidden="false" customHeight="false" outlineLevel="0" collapsed="false">
      <c r="B9" s="4" t="s">
        <v>6</v>
      </c>
      <c r="C9" s="5"/>
    </row>
    <row r="11" customFormat="false" ht="15" hidden="false" customHeight="false" outlineLevel="0" collapsed="false">
      <c r="B11" s="4" t="s">
        <v>7</v>
      </c>
      <c r="C11" s="5"/>
    </row>
    <row r="12" customFormat="false" ht="15" hidden="false" customHeight="false" outlineLevel="0" collapsed="false">
      <c r="B12" s="4" t="s">
        <v>8</v>
      </c>
      <c r="C12" s="5"/>
    </row>
    <row r="13" customFormat="false" ht="15" hidden="false" customHeight="false" outlineLevel="0" collapsed="false">
      <c r="B13" s="4" t="s">
        <v>9</v>
      </c>
      <c r="C13" s="5"/>
    </row>
    <row r="14" customFormat="false" ht="15" hidden="false" customHeight="false" outlineLevel="0" collapsed="false">
      <c r="B14" s="4" t="s">
        <v>10</v>
      </c>
      <c r="C14" s="5"/>
    </row>
    <row r="15" customFormat="false" ht="15" hidden="false" customHeight="false" outlineLevel="0" collapsed="false">
      <c r="B15" s="4" t="s">
        <v>11</v>
      </c>
      <c r="C15" s="5"/>
    </row>
    <row r="16" customFormat="false" ht="15" hidden="false" customHeight="false" outlineLevel="0" collapsed="false">
      <c r="B16" s="4" t="s">
        <v>12</v>
      </c>
      <c r="C16" s="5"/>
    </row>
    <row r="17" customFormat="false" ht="15" hidden="false" customHeight="false" outlineLevel="0" collapsed="false">
      <c r="B17" s="4" t="s">
        <v>13</v>
      </c>
      <c r="C17" s="5"/>
    </row>
    <row r="19" customFormat="false" ht="15" hidden="false" customHeight="false" outlineLevel="0" collapsed="false">
      <c r="B19" s="4" t="s">
        <v>14</v>
      </c>
      <c r="C19" s="5" t="s">
        <v>15</v>
      </c>
    </row>
    <row r="20" customFormat="false" ht="15" hidden="false" customHeight="false" outlineLevel="0" collapsed="false">
      <c r="B20" s="4" t="s">
        <v>16</v>
      </c>
      <c r="C20" s="6"/>
    </row>
    <row r="21" customFormat="false" ht="15" hidden="false" customHeight="false" outlineLevel="0" collapsed="false">
      <c r="B21" s="4" t="s">
        <v>17</v>
      </c>
      <c r="C21" s="6"/>
    </row>
    <row r="22" customFormat="false" ht="15" hidden="false" customHeight="false" outlineLevel="0" collapsed="false">
      <c r="B22" s="4" t="s">
        <v>18</v>
      </c>
      <c r="C22" s="6"/>
    </row>
    <row r="24" customFormat="false" ht="15" hidden="false" customHeight="false" outlineLevel="0" collapsed="false">
      <c r="B24" s="4" t="s">
        <v>19</v>
      </c>
      <c r="C24" s="7" t="n">
        <v>0</v>
      </c>
    </row>
    <row r="25" customFormat="false" ht="15" hidden="false" customHeight="false" outlineLevel="0" collapsed="false">
      <c r="B25" s="4" t="s">
        <v>20</v>
      </c>
      <c r="C25" s="8" t="n">
        <f aca="false">SUMIFS('Change Order Log'!H2:H300,'Change Order Log'!J2:J300,"Approved")</f>
        <v>0</v>
      </c>
    </row>
    <row r="26" customFormat="false" ht="15" hidden="false" customHeight="false" outlineLevel="0" collapsed="false">
      <c r="B26" s="4" t="s">
        <v>21</v>
      </c>
      <c r="C26" s="8" t="n">
        <f aca="false">C24+C25</f>
        <v>0</v>
      </c>
    </row>
    <row r="28" customFormat="false" ht="15" hidden="false" customHeight="false" outlineLevel="0" collapsed="false">
      <c r="B28" s="4" t="s">
        <v>22</v>
      </c>
      <c r="C28" s="5"/>
    </row>
    <row r="29" customFormat="false" ht="15" hidden="false" customHeight="false" outlineLevel="0" collapsed="false">
      <c r="B29" s="4" t="s">
        <v>23</v>
      </c>
      <c r="C29" s="5"/>
    </row>
    <row r="30" customFormat="false" ht="15" hidden="false" customHeight="false" outlineLevel="0" collapsed="false">
      <c r="B30" s="4" t="s">
        <v>24</v>
      </c>
      <c r="C30" s="9" t="n">
        <f aca="true">TODAY()</f>
        <v>46293</v>
      </c>
    </row>
    <row r="32" customFormat="false" ht="15" hidden="false" customHeight="false" outlineLevel="0" collapsed="false">
      <c r="B32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B2:B1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0" t="s">
        <v>26</v>
      </c>
    </row>
    <row r="4" customFormat="false" ht="15" hidden="false" customHeight="false" outlineLevel="0" collapsed="false">
      <c r="B4" s="11"/>
    </row>
    <row r="5" customFormat="false" ht="15" hidden="false" customHeight="false" outlineLevel="0" collapsed="false">
      <c r="B5" s="11" t="s">
        <v>27</v>
      </c>
    </row>
    <row r="6" customFormat="false" ht="15" hidden="false" customHeight="false" outlineLevel="0" collapsed="false">
      <c r="B6" s="11"/>
    </row>
    <row r="7" customFormat="false" ht="15" hidden="false" customHeight="false" outlineLevel="0" collapsed="false">
      <c r="B7" s="11" t="s">
        <v>28</v>
      </c>
    </row>
    <row r="8" customFormat="false" ht="15" hidden="false" customHeight="false" outlineLevel="0" collapsed="false">
      <c r="B8" s="11" t="s">
        <v>29</v>
      </c>
    </row>
    <row r="9" customFormat="false" ht="15" hidden="false" customHeight="false" outlineLevel="0" collapsed="false">
      <c r="B9" s="11" t="s">
        <v>30</v>
      </c>
    </row>
    <row r="10" customFormat="false" ht="15" hidden="false" customHeight="false" outlineLevel="0" collapsed="false">
      <c r="B10" s="11" t="s">
        <v>31</v>
      </c>
    </row>
    <row r="11" customFormat="false" ht="15" hidden="false" customHeight="false" outlineLevel="0" collapsed="false">
      <c r="B11" s="11" t="s">
        <v>32</v>
      </c>
    </row>
    <row r="12" customFormat="false" ht="15" hidden="false" customHeight="false" outlineLevel="0" collapsed="false">
      <c r="B12" s="11" t="s">
        <v>33</v>
      </c>
    </row>
    <row r="13" customFormat="false" ht="15" hidden="false" customHeight="false" outlineLevel="0" collapsed="false">
      <c r="B13" s="11" t="s">
        <v>34</v>
      </c>
    </row>
    <row r="14" customFormat="false" ht="15" hidden="false" customHeight="false" outlineLevel="0" collapsed="false">
      <c r="B14" s="11" t="s">
        <v>35</v>
      </c>
    </row>
    <row r="15" customFormat="false" ht="15" hidden="false" customHeight="false" outlineLevel="0" collapsed="false">
      <c r="B15" s="11" t="s">
        <v>36</v>
      </c>
    </row>
    <row r="16" customFormat="false" ht="15" hidden="false" customHeight="false" outlineLevel="0" collapsed="false">
      <c r="B16" s="11" t="s">
        <v>37</v>
      </c>
    </row>
    <row r="17" customFormat="false" ht="15" hidden="false" customHeight="false" outlineLevel="0" collapsed="false">
      <c r="B17" s="11" t="s">
        <v>38</v>
      </c>
    </row>
    <row r="18" customFormat="false" ht="15" hidden="false" customHeight="false" outlineLevel="0" collapsed="false">
      <c r="B18" s="11" t="s">
        <v>39</v>
      </c>
    </row>
    <row r="19" customFormat="false" ht="15" hidden="false" customHeight="false" outlineLevel="0" collapsed="false">
      <c r="B19" s="11" t="s">
        <v>40</v>
      </c>
    </row>
    <row r="20" customFormat="false" ht="15" hidden="false" customHeight="false" outlineLevel="0" collapsed="false">
      <c r="B20" s="11" t="s">
        <v>41</v>
      </c>
    </row>
    <row r="21" customFormat="false" ht="15" hidden="false" customHeight="false" outlineLevel="0" collapsed="false">
      <c r="B21" s="11" t="s">
        <v>42</v>
      </c>
    </row>
    <row r="22" customFormat="false" ht="15" hidden="false" customHeight="false" outlineLevel="0" collapsed="false">
      <c r="B22" s="11" t="s">
        <v>43</v>
      </c>
    </row>
    <row r="23" customFormat="false" ht="15" hidden="false" customHeight="false" outlineLevel="0" collapsed="false">
      <c r="B23" s="11" t="s">
        <v>44</v>
      </c>
    </row>
    <row r="24" customFormat="false" ht="15" hidden="false" customHeight="false" outlineLevel="0" collapsed="false">
      <c r="B24" s="11" t="s">
        <v>45</v>
      </c>
    </row>
    <row r="25" customFormat="false" ht="15" hidden="false" customHeight="false" outlineLevel="0" collapsed="false">
      <c r="B25" s="11" t="s">
        <v>46</v>
      </c>
    </row>
    <row r="26" customFormat="false" ht="15" hidden="false" customHeight="false" outlineLevel="0" collapsed="false">
      <c r="B26" s="11" t="s">
        <v>47</v>
      </c>
    </row>
    <row r="27" customFormat="false" ht="15" hidden="false" customHeight="false" outlineLevel="0" collapsed="false">
      <c r="B27" s="11" t="s">
        <v>48</v>
      </c>
    </row>
    <row r="28" customFormat="false" ht="15" hidden="false" customHeight="false" outlineLevel="0" collapsed="false">
      <c r="B28" s="11" t="s">
        <v>49</v>
      </c>
    </row>
    <row r="29" customFormat="false" ht="15" hidden="false" customHeight="false" outlineLevel="0" collapsed="false">
      <c r="B29" s="11" t="s">
        <v>50</v>
      </c>
    </row>
    <row r="30" customFormat="false" ht="15" hidden="false" customHeight="false" outlineLevel="0" collapsed="false">
      <c r="B30" s="11" t="s">
        <v>51</v>
      </c>
    </row>
    <row r="31" customFormat="false" ht="15" hidden="false" customHeight="false" outlineLevel="0" collapsed="false">
      <c r="B31" s="11" t="s">
        <v>52</v>
      </c>
    </row>
    <row r="32" customFormat="false" ht="15" hidden="false" customHeight="false" outlineLevel="0" collapsed="false">
      <c r="B32" s="11" t="s">
        <v>53</v>
      </c>
    </row>
    <row r="33" customFormat="false" ht="15" hidden="false" customHeight="false" outlineLevel="0" collapsed="false">
      <c r="B33" s="11" t="s">
        <v>54</v>
      </c>
    </row>
    <row r="34" customFormat="false" ht="15" hidden="false" customHeight="false" outlineLevel="0" collapsed="false">
      <c r="B34" s="11" t="s">
        <v>55</v>
      </c>
    </row>
    <row r="35" customFormat="false" ht="15" hidden="false" customHeight="false" outlineLevel="0" collapsed="false">
      <c r="B35" s="11" t="s">
        <v>56</v>
      </c>
    </row>
    <row r="36" customFormat="false" ht="15" hidden="false" customHeight="false" outlineLevel="0" collapsed="false">
      <c r="B36" s="11" t="s">
        <v>57</v>
      </c>
    </row>
    <row r="37" customFormat="false" ht="15" hidden="false" customHeight="false" outlineLevel="0" collapsed="false">
      <c r="B37" s="11" t="s">
        <v>58</v>
      </c>
    </row>
    <row r="38" customFormat="false" ht="15" hidden="false" customHeight="false" outlineLevel="0" collapsed="false">
      <c r="B38" s="11" t="s">
        <v>59</v>
      </c>
    </row>
    <row r="39" customFormat="false" ht="15" hidden="false" customHeight="false" outlineLevel="0" collapsed="false">
      <c r="B39" s="11" t="s">
        <v>60</v>
      </c>
    </row>
    <row r="40" customFormat="false" ht="15" hidden="false" customHeight="false" outlineLevel="0" collapsed="false">
      <c r="B40" s="11" t="s">
        <v>61</v>
      </c>
    </row>
    <row r="41" customFormat="false" ht="15" hidden="false" customHeight="false" outlineLevel="0" collapsed="false">
      <c r="B41" s="11" t="s">
        <v>62</v>
      </c>
    </row>
    <row r="42" customFormat="false" ht="15" hidden="false" customHeight="false" outlineLevel="0" collapsed="false">
      <c r="B42" s="11" t="s">
        <v>63</v>
      </c>
    </row>
    <row r="43" customFormat="false" ht="15" hidden="false" customHeight="false" outlineLevel="0" collapsed="false">
      <c r="B43" s="11" t="s">
        <v>64</v>
      </c>
    </row>
    <row r="44" customFormat="false" ht="15" hidden="false" customHeight="false" outlineLevel="0" collapsed="false">
      <c r="B44" s="11" t="s">
        <v>65</v>
      </c>
    </row>
    <row r="45" customFormat="false" ht="15" hidden="false" customHeight="false" outlineLevel="0" collapsed="false">
      <c r="B45" s="11" t="s">
        <v>66</v>
      </c>
    </row>
    <row r="46" customFormat="false" ht="15" hidden="false" customHeight="false" outlineLevel="0" collapsed="false">
      <c r="B46" s="11" t="s">
        <v>67</v>
      </c>
    </row>
    <row r="47" customFormat="false" ht="15" hidden="false" customHeight="false" outlineLevel="0" collapsed="false">
      <c r="B47" s="11" t="s">
        <v>68</v>
      </c>
    </row>
    <row r="48" customFormat="false" ht="15" hidden="false" customHeight="false" outlineLevel="0" collapsed="false">
      <c r="B48" s="11" t="s">
        <v>69</v>
      </c>
    </row>
    <row r="49" customFormat="false" ht="15" hidden="false" customHeight="false" outlineLevel="0" collapsed="false">
      <c r="B49" s="11" t="s">
        <v>70</v>
      </c>
    </row>
    <row r="50" customFormat="false" ht="15" hidden="false" customHeight="false" outlineLevel="0" collapsed="false">
      <c r="B50" s="11" t="s">
        <v>71</v>
      </c>
    </row>
    <row r="51" customFormat="false" ht="15" hidden="false" customHeight="false" outlineLevel="0" collapsed="false">
      <c r="B51" s="11" t="s">
        <v>72</v>
      </c>
    </row>
    <row r="52" customFormat="false" ht="15" hidden="false" customHeight="false" outlineLevel="0" collapsed="false">
      <c r="B52" s="11" t="s">
        <v>73</v>
      </c>
    </row>
    <row r="53" customFormat="false" ht="15" hidden="false" customHeight="false" outlineLevel="0" collapsed="false">
      <c r="B53" s="11"/>
    </row>
    <row r="54" customFormat="false" ht="15" hidden="false" customHeight="false" outlineLevel="0" collapsed="false">
      <c r="B54" s="11" t="s">
        <v>74</v>
      </c>
    </row>
    <row r="55" customFormat="false" ht="15" hidden="false" customHeight="false" outlineLevel="0" collapsed="false">
      <c r="B55" s="11" t="s">
        <v>75</v>
      </c>
    </row>
    <row r="56" customFormat="false" ht="15" hidden="false" customHeight="false" outlineLevel="0" collapsed="false">
      <c r="B56" s="11" t="s">
        <v>76</v>
      </c>
    </row>
    <row r="57" customFormat="false" ht="15" hidden="false" customHeight="false" outlineLevel="0" collapsed="false">
      <c r="B57" s="11" t="s">
        <v>77</v>
      </c>
    </row>
    <row r="58" customFormat="false" ht="15" hidden="false" customHeight="false" outlineLevel="0" collapsed="false">
      <c r="B58" s="11" t="s">
        <v>78</v>
      </c>
    </row>
    <row r="59" customFormat="false" ht="15" hidden="false" customHeight="false" outlineLevel="0" collapsed="false">
      <c r="B59" s="11" t="s">
        <v>79</v>
      </c>
    </row>
    <row r="60" customFormat="false" ht="15" hidden="false" customHeight="false" outlineLevel="0" collapsed="false">
      <c r="B60" s="11" t="s">
        <v>80</v>
      </c>
    </row>
    <row r="61" customFormat="false" ht="15" hidden="false" customHeight="false" outlineLevel="0" collapsed="false">
      <c r="B61" s="11" t="s">
        <v>81</v>
      </c>
    </row>
    <row r="62" customFormat="false" ht="15" hidden="false" customHeight="false" outlineLevel="0" collapsed="false">
      <c r="B62" s="11"/>
    </row>
    <row r="63" customFormat="false" ht="15" hidden="false" customHeight="false" outlineLevel="0" collapsed="false">
      <c r="B63" s="11" t="s">
        <v>82</v>
      </c>
    </row>
    <row r="64" customFormat="false" ht="15" hidden="false" customHeight="false" outlineLevel="0" collapsed="false">
      <c r="B64" s="11" t="s">
        <v>83</v>
      </c>
    </row>
    <row r="65" customFormat="false" ht="15" hidden="false" customHeight="false" outlineLevel="0" collapsed="false">
      <c r="B65" s="11" t="s">
        <v>84</v>
      </c>
    </row>
    <row r="66" customFormat="false" ht="15" hidden="false" customHeight="false" outlineLevel="0" collapsed="false">
      <c r="B66" s="11" t="s">
        <v>85</v>
      </c>
    </row>
    <row r="67" customFormat="false" ht="15" hidden="false" customHeight="false" outlineLevel="0" collapsed="false">
      <c r="B67" s="11" t="s">
        <v>86</v>
      </c>
    </row>
    <row r="68" customFormat="false" ht="15" hidden="false" customHeight="false" outlineLevel="0" collapsed="false">
      <c r="B68" s="11" t="s">
        <v>87</v>
      </c>
    </row>
    <row r="69" customFormat="false" ht="15" hidden="false" customHeight="false" outlineLevel="0" collapsed="false">
      <c r="B69" s="11" t="s">
        <v>88</v>
      </c>
    </row>
    <row r="70" customFormat="false" ht="15" hidden="false" customHeight="false" outlineLevel="0" collapsed="false">
      <c r="B70" s="11" t="s">
        <v>89</v>
      </c>
    </row>
    <row r="71" customFormat="false" ht="15" hidden="false" customHeight="false" outlineLevel="0" collapsed="false">
      <c r="B71" s="11" t="s">
        <v>90</v>
      </c>
    </row>
    <row r="72" customFormat="false" ht="15" hidden="false" customHeight="false" outlineLevel="0" collapsed="false">
      <c r="B72" s="11" t="s">
        <v>91</v>
      </c>
    </row>
    <row r="73" customFormat="false" ht="15" hidden="false" customHeight="false" outlineLevel="0" collapsed="false">
      <c r="B73" s="11" t="s">
        <v>92</v>
      </c>
    </row>
    <row r="74" customFormat="false" ht="15" hidden="false" customHeight="false" outlineLevel="0" collapsed="false">
      <c r="B74" s="11" t="s">
        <v>93</v>
      </c>
    </row>
    <row r="75" customFormat="false" ht="15" hidden="false" customHeight="false" outlineLevel="0" collapsed="false">
      <c r="B75" s="11"/>
    </row>
    <row r="76" customFormat="false" ht="15" hidden="false" customHeight="false" outlineLevel="0" collapsed="false">
      <c r="B76" s="11" t="s">
        <v>94</v>
      </c>
    </row>
    <row r="77" customFormat="false" ht="15" hidden="false" customHeight="false" outlineLevel="0" collapsed="false">
      <c r="B77" s="11" t="s">
        <v>95</v>
      </c>
    </row>
    <row r="78" customFormat="false" ht="15" hidden="false" customHeight="false" outlineLevel="0" collapsed="false">
      <c r="B78" s="11" t="s">
        <v>96</v>
      </c>
    </row>
    <row r="79" customFormat="false" ht="15" hidden="false" customHeight="false" outlineLevel="0" collapsed="false">
      <c r="B79" s="11" t="s">
        <v>97</v>
      </c>
    </row>
    <row r="80" customFormat="false" ht="15" hidden="false" customHeight="false" outlineLevel="0" collapsed="false">
      <c r="B80" s="11" t="s">
        <v>98</v>
      </c>
    </row>
    <row r="81" customFormat="false" ht="15" hidden="false" customHeight="false" outlineLevel="0" collapsed="false">
      <c r="B81" s="11" t="s">
        <v>99</v>
      </c>
    </row>
    <row r="82" customFormat="false" ht="15" hidden="false" customHeight="false" outlineLevel="0" collapsed="false">
      <c r="B82" s="11" t="s">
        <v>100</v>
      </c>
    </row>
    <row r="83" customFormat="false" ht="15" hidden="false" customHeight="false" outlineLevel="0" collapsed="false">
      <c r="B83" s="11" t="s">
        <v>101</v>
      </c>
    </row>
    <row r="84" customFormat="false" ht="15" hidden="false" customHeight="false" outlineLevel="0" collapsed="false">
      <c r="B84" s="11" t="s">
        <v>102</v>
      </c>
    </row>
    <row r="85" customFormat="false" ht="15" hidden="false" customHeight="false" outlineLevel="0" collapsed="false">
      <c r="B85" s="11"/>
    </row>
    <row r="86" customFormat="false" ht="15" hidden="false" customHeight="false" outlineLevel="0" collapsed="false">
      <c r="B86" s="11" t="s">
        <v>103</v>
      </c>
    </row>
    <row r="87" customFormat="false" ht="15" hidden="false" customHeight="false" outlineLevel="0" collapsed="false">
      <c r="B87" s="11" t="s">
        <v>104</v>
      </c>
    </row>
    <row r="88" customFormat="false" ht="15" hidden="false" customHeight="false" outlineLevel="0" collapsed="false">
      <c r="B88" s="11" t="s">
        <v>105</v>
      </c>
    </row>
    <row r="89" customFormat="false" ht="15" hidden="false" customHeight="false" outlineLevel="0" collapsed="false">
      <c r="B89" s="11" t="s">
        <v>106</v>
      </c>
    </row>
    <row r="90" customFormat="false" ht="15" hidden="false" customHeight="false" outlineLevel="0" collapsed="false">
      <c r="B90" s="11" t="s">
        <v>107</v>
      </c>
    </row>
    <row r="91" customFormat="false" ht="15" hidden="false" customHeight="false" outlineLevel="0" collapsed="false">
      <c r="B91" s="11" t="s">
        <v>108</v>
      </c>
    </row>
    <row r="92" customFormat="false" ht="15" hidden="false" customHeight="false" outlineLevel="0" collapsed="false">
      <c r="B92" s="11" t="s">
        <v>109</v>
      </c>
    </row>
    <row r="93" customFormat="false" ht="15" hidden="false" customHeight="false" outlineLevel="0" collapsed="false">
      <c r="B93" s="11" t="s">
        <v>110</v>
      </c>
    </row>
    <row r="94" customFormat="false" ht="15" hidden="false" customHeight="false" outlineLevel="0" collapsed="false">
      <c r="B94" s="11" t="s">
        <v>111</v>
      </c>
    </row>
    <row r="95" customFormat="false" ht="15" hidden="false" customHeight="false" outlineLevel="0" collapsed="false">
      <c r="B95" s="11" t="s">
        <v>112</v>
      </c>
    </row>
    <row r="96" customFormat="false" ht="15" hidden="false" customHeight="false" outlineLevel="0" collapsed="false">
      <c r="B96" s="11" t="s">
        <v>113</v>
      </c>
    </row>
    <row r="97" customFormat="false" ht="15" hidden="false" customHeight="false" outlineLevel="0" collapsed="false">
      <c r="B97" s="11" t="s">
        <v>114</v>
      </c>
    </row>
    <row r="98" customFormat="false" ht="15" hidden="false" customHeight="false" outlineLevel="0" collapsed="false">
      <c r="B98" s="11" t="s">
        <v>115</v>
      </c>
    </row>
    <row r="99" customFormat="false" ht="15" hidden="false" customHeight="false" outlineLevel="0" collapsed="false">
      <c r="B99" s="11" t="s">
        <v>116</v>
      </c>
    </row>
    <row r="100" customFormat="false" ht="15" hidden="false" customHeight="false" outlineLevel="0" collapsed="false">
      <c r="B100" s="11" t="s">
        <v>117</v>
      </c>
    </row>
    <row r="101" customFormat="false" ht="15" hidden="false" customHeight="false" outlineLevel="0" collapsed="false">
      <c r="B101" s="11" t="s">
        <v>118</v>
      </c>
    </row>
    <row r="102" customFormat="false" ht="15" hidden="false" customHeight="false" outlineLevel="0" collapsed="false">
      <c r="B102" s="11" t="s">
        <v>119</v>
      </c>
    </row>
    <row r="103" customFormat="false" ht="15" hidden="false" customHeight="false" outlineLevel="0" collapsed="false">
      <c r="B103" s="11" t="s">
        <v>120</v>
      </c>
    </row>
    <row r="104" customFormat="false" ht="15" hidden="false" customHeight="false" outlineLevel="0" collapsed="false">
      <c r="B104" s="11" t="s">
        <v>121</v>
      </c>
    </row>
    <row r="105" customFormat="false" ht="15" hidden="false" customHeight="false" outlineLevel="0" collapsed="false">
      <c r="B105" s="11" t="s">
        <v>122</v>
      </c>
    </row>
    <row r="106" customFormat="false" ht="15" hidden="false" customHeight="false" outlineLevel="0" collapsed="false">
      <c r="B106" s="11" t="s">
        <v>123</v>
      </c>
    </row>
    <row r="107" customFormat="false" ht="15" hidden="false" customHeight="false" outlineLevel="0" collapsed="false">
      <c r="B107" s="11" t="s">
        <v>124</v>
      </c>
    </row>
    <row r="108" customFormat="false" ht="15" hidden="false" customHeight="false" outlineLevel="0" collapsed="false">
      <c r="B108" s="11" t="s">
        <v>125</v>
      </c>
    </row>
    <row r="109" customFormat="false" ht="15" hidden="false" customHeight="false" outlineLevel="0" collapsed="false">
      <c r="B109" s="11" t="s">
        <v>126</v>
      </c>
    </row>
    <row r="110" customFormat="false" ht="15" hidden="false" customHeight="false" outlineLevel="0" collapsed="false">
      <c r="B110" s="11" t="s">
        <v>127</v>
      </c>
    </row>
    <row r="111" customFormat="false" ht="15" hidden="false" customHeight="false" outlineLevel="0" collapsed="false">
      <c r="B111" s="11" t="s">
        <v>128</v>
      </c>
    </row>
    <row r="112" customFormat="false" ht="15" hidden="false" customHeight="false" outlineLevel="0" collapsed="false">
      <c r="B112" s="11" t="s">
        <v>129</v>
      </c>
    </row>
    <row r="113" customFormat="false" ht="15" hidden="false" customHeight="false" outlineLevel="0" collapsed="false">
      <c r="B113" s="11" t="s">
        <v>130</v>
      </c>
    </row>
    <row r="114" customFormat="false" ht="15" hidden="false" customHeight="false" outlineLevel="0" collapsed="false">
      <c r="B114" s="11" t="s">
        <v>131</v>
      </c>
    </row>
    <row r="115" customFormat="false" ht="15" hidden="false" customHeight="false" outlineLevel="0" collapsed="false">
      <c r="B115" s="11" t="s">
        <v>132</v>
      </c>
    </row>
    <row r="116" customFormat="false" ht="15" hidden="false" customHeight="false" outlineLevel="0" collapsed="false">
      <c r="B116" s="11" t="s">
        <v>133</v>
      </c>
    </row>
    <row r="117" customFormat="false" ht="15" hidden="false" customHeight="false" outlineLevel="0" collapsed="false">
      <c r="B117" s="11" t="s">
        <v>134</v>
      </c>
    </row>
    <row r="118" customFormat="false" ht="15" hidden="false" customHeight="false" outlineLevel="0" collapsed="false">
      <c r="B118" s="11" t="s">
        <v>135</v>
      </c>
    </row>
    <row r="119" customFormat="false" ht="15" hidden="false" customHeight="false" outlineLevel="0" collapsed="false">
      <c r="B119" s="11" t="s">
        <v>136</v>
      </c>
    </row>
    <row r="120" customFormat="false" ht="15" hidden="false" customHeight="false" outlineLevel="0" collapsed="false">
      <c r="B120" s="11" t="s">
        <v>137</v>
      </c>
    </row>
    <row r="121" customFormat="false" ht="15" hidden="false" customHeight="false" outlineLevel="0" collapsed="false">
      <c r="B121" s="11" t="s">
        <v>138</v>
      </c>
    </row>
    <row r="122" customFormat="false" ht="15" hidden="false" customHeight="false" outlineLevel="0" collapsed="false">
      <c r="B122" s="11" t="s">
        <v>139</v>
      </c>
    </row>
    <row r="123" customFormat="false" ht="15" hidden="false" customHeight="false" outlineLevel="0" collapsed="false">
      <c r="B123" s="11" t="s">
        <v>140</v>
      </c>
    </row>
    <row r="124" customFormat="false" ht="15" hidden="false" customHeight="false" outlineLevel="0" collapsed="false">
      <c r="B124" s="11" t="s">
        <v>141</v>
      </c>
    </row>
    <row r="125" customFormat="false" ht="15" hidden="false" customHeight="false" outlineLevel="0" collapsed="false">
      <c r="B125" s="11" t="s">
        <v>142</v>
      </c>
    </row>
    <row r="126" customFormat="false" ht="15" hidden="false" customHeight="false" outlineLevel="0" collapsed="false">
      <c r="B126" s="11" t="s">
        <v>143</v>
      </c>
    </row>
    <row r="127" customFormat="false" ht="15" hidden="false" customHeight="false" outlineLevel="0" collapsed="false">
      <c r="B127" s="11" t="s">
        <v>144</v>
      </c>
    </row>
    <row r="128" customFormat="false" ht="15" hidden="false" customHeight="false" outlineLevel="0" collapsed="false">
      <c r="B128" s="11"/>
    </row>
    <row r="129" customFormat="false" ht="15" hidden="false" customHeight="false" outlineLevel="0" collapsed="false">
      <c r="B129" s="11" t="s">
        <v>145</v>
      </c>
    </row>
    <row r="130" customFormat="false" ht="15" hidden="false" customHeight="false" outlineLevel="0" collapsed="false">
      <c r="B130" s="11" t="s">
        <v>146</v>
      </c>
    </row>
    <row r="131" customFormat="false" ht="15" hidden="false" customHeight="false" outlineLevel="0" collapsed="false">
      <c r="B131" s="11"/>
    </row>
    <row r="132" customFormat="false" ht="15" hidden="false" customHeight="false" outlineLevel="0" collapsed="false">
      <c r="B132" s="11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251C"/>
    <pageSetUpPr fitToPage="true"/>
  </sheetPr>
  <dimension ref="B2:D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3"/>
    <col collapsed="false" customWidth="true" hidden="false" outlineLevel="0" max="6" min="6" style="0" width="14"/>
  </cols>
  <sheetData>
    <row r="2" customFormat="false" ht="17.35" hidden="false" customHeight="false" outlineLevel="0" collapsed="false">
      <c r="B2" s="1" t="s">
        <v>148</v>
      </c>
      <c r="C2" s="2"/>
      <c r="D2" s="2"/>
    </row>
    <row r="3" customFormat="false" ht="15" hidden="false" customHeight="false" outlineLevel="0" collapsed="false">
      <c r="B3" s="3" t="s">
        <v>149</v>
      </c>
    </row>
    <row r="5" customFormat="false" ht="15" hidden="false" customHeight="false" outlineLevel="0" collapsed="false">
      <c r="B5" s="12" t="s">
        <v>150</v>
      </c>
      <c r="C5" s="0" t="str">
        <f aca="false">IF('Project Info'!C5="","",'Project Info'!C5)</f>
        <v/>
      </c>
    </row>
    <row r="6" customFormat="false" ht="15" hidden="false" customHeight="false" outlineLevel="0" collapsed="false">
      <c r="B6" s="12" t="s">
        <v>151</v>
      </c>
      <c r="C6" s="0" t="str">
        <f aca="false">IF('Project Info'!C6="","",'Project Info'!C6)</f>
        <v/>
      </c>
    </row>
    <row r="7" customFormat="false" ht="15" hidden="false" customHeight="false" outlineLevel="0" collapsed="false">
      <c r="B7" s="12" t="s">
        <v>152</v>
      </c>
      <c r="C7" s="13" t="n">
        <f aca="true">TODAY()</f>
        <v>46293</v>
      </c>
    </row>
    <row r="9" customFormat="false" ht="15" hidden="false" customHeight="false" outlineLevel="0" collapsed="false">
      <c r="B9" s="14"/>
    </row>
    <row r="10" customFormat="false" ht="15" hidden="false" customHeight="false" outlineLevel="0" collapsed="false">
      <c r="B10" s="15" t="s">
        <v>153</v>
      </c>
      <c r="C10" s="16"/>
    </row>
    <row r="11" customFormat="false" ht="15" hidden="false" customHeight="false" outlineLevel="0" collapsed="false">
      <c r="B11" s="14" t="s">
        <v>154</v>
      </c>
      <c r="C11" s="4" t="n">
        <f aca="false">COUNTIF('RFI Log'!K2:K300,"Open")</f>
        <v>1</v>
      </c>
    </row>
    <row r="12" customFormat="false" ht="15" hidden="false" customHeight="false" outlineLevel="0" collapsed="false">
      <c r="B12" s="14" t="s">
        <v>155</v>
      </c>
      <c r="C12" s="17" t="n">
        <f aca="false">COUNTIF('RFI Log'!K2:K300,"Overdue")</f>
        <v>0</v>
      </c>
    </row>
    <row r="13" customFormat="false" ht="15" hidden="false" customHeight="false" outlineLevel="0" collapsed="false">
      <c r="B13" s="14" t="s">
        <v>156</v>
      </c>
      <c r="C13" s="4" t="n">
        <f aca="false">COUNTIF('RFI Log'!K2:K300,"Closed")</f>
        <v>0</v>
      </c>
    </row>
    <row r="14" customFormat="false" ht="15" hidden="false" customHeight="false" outlineLevel="0" collapsed="false">
      <c r="B14" s="15" t="s">
        <v>157</v>
      </c>
      <c r="C14" s="16"/>
    </row>
    <row r="15" customFormat="false" ht="15" hidden="false" customHeight="false" outlineLevel="0" collapsed="false">
      <c r="B15" s="14" t="s">
        <v>158</v>
      </c>
      <c r="C15" s="4" t="n">
        <f aca="false">COUNTIFS('Submittal Log'!G2:G300,"&lt;&gt;",'Submittal Log'!I2:I300,"")</f>
        <v>1</v>
      </c>
    </row>
    <row r="16" customFormat="false" ht="15" hidden="false" customHeight="false" outlineLevel="0" collapsed="false">
      <c r="B16" s="14" t="s">
        <v>159</v>
      </c>
      <c r="C16" s="17" t="n">
        <f aca="false">COUNTIF('Submittal Log'!J2:J300,"Revise &amp; Resubmit")</f>
        <v>0</v>
      </c>
    </row>
    <row r="17" customFormat="false" ht="15" hidden="false" customHeight="false" outlineLevel="0" collapsed="false">
      <c r="B17" s="15" t="s">
        <v>160</v>
      </c>
      <c r="C17" s="16"/>
    </row>
    <row r="18" customFormat="false" ht="15" hidden="false" customHeight="false" outlineLevel="0" collapsed="false">
      <c r="B18" s="14" t="s">
        <v>161</v>
      </c>
      <c r="C18" s="17" t="n">
        <f aca="false">COUNTIF('Change Order Log'!J2:J300,"Pending")</f>
        <v>1</v>
      </c>
    </row>
    <row r="19" customFormat="false" ht="15" hidden="false" customHeight="false" outlineLevel="0" collapsed="false">
      <c r="B19" s="14" t="s">
        <v>162</v>
      </c>
      <c r="C19" s="18" t="n">
        <f aca="false">SUMIFS('Change Order Log'!H2:H300,'Change Order Log'!J2:J300,"Approved")</f>
        <v>0</v>
      </c>
    </row>
    <row r="20" customFormat="false" ht="15" hidden="false" customHeight="false" outlineLevel="0" collapsed="false">
      <c r="B20" s="15" t="s">
        <v>163</v>
      </c>
      <c r="C20" s="16"/>
    </row>
    <row r="21" customFormat="false" ht="15" hidden="false" customHeight="false" outlineLevel="0" collapsed="false">
      <c r="B21" s="14" t="s">
        <v>164</v>
      </c>
      <c r="C21" s="17" t="n">
        <f aca="false">COUNTIF('Subcontractor CO Log'!K2:K300,"Under Review")</f>
        <v>1</v>
      </c>
    </row>
    <row r="22" customFormat="false" ht="15" hidden="false" customHeight="false" outlineLevel="0" collapsed="false">
      <c r="B22" s="14" t="s">
        <v>165</v>
      </c>
      <c r="C22" s="17" t="n">
        <f aca="false">COUNTIF('Subcontractor CO Log'!K2:K300,"Rejected")</f>
        <v>0</v>
      </c>
    </row>
    <row r="23" customFormat="false" ht="15" hidden="false" customHeight="false" outlineLevel="0" collapsed="false">
      <c r="B23" s="14" t="s">
        <v>162</v>
      </c>
      <c r="C23" s="18" t="n">
        <f aca="false">SUMIFS('Subcontractor CO Log'!N2:N300,'Subcontractor CO Log'!K2:K300,"Approved")</f>
        <v>0</v>
      </c>
    </row>
    <row r="24" customFormat="false" ht="15" hidden="false" customHeight="false" outlineLevel="0" collapsed="false">
      <c r="B24" s="15" t="s">
        <v>166</v>
      </c>
      <c r="C24" s="16"/>
    </row>
    <row r="25" customFormat="false" ht="15" hidden="false" customHeight="false" outlineLevel="0" collapsed="false">
      <c r="B25" s="14" t="s">
        <v>154</v>
      </c>
      <c r="C25" s="4" t="n">
        <f aca="false">COUNTIF('Claims Log'!K2:K300,"Open")</f>
        <v>1</v>
      </c>
    </row>
    <row r="26" customFormat="false" ht="15" hidden="false" customHeight="false" outlineLevel="0" collapsed="false">
      <c r="B26" s="14" t="s">
        <v>167</v>
      </c>
      <c r="C26" s="17" t="n">
        <f aca="false">COUNTIF('Claims Log'!F2:F300,"NO - LATE")</f>
        <v>0</v>
      </c>
    </row>
    <row r="27" customFormat="false" ht="15" hidden="false" customHeight="false" outlineLevel="0" collapsed="false">
      <c r="B27" s="15" t="s">
        <v>168</v>
      </c>
      <c r="C27" s="16"/>
    </row>
    <row r="28" customFormat="false" ht="15" hidden="false" customHeight="false" outlineLevel="0" collapsed="false">
      <c r="B28" s="14" t="s">
        <v>169</v>
      </c>
      <c r="C28" s="17" t="n">
        <f aca="false">COUNTIFS('Risk Register'!H2:H300,"High",'Risk Register'!M2:M300,"Open")</f>
        <v>0</v>
      </c>
    </row>
    <row r="29" customFormat="false" ht="15" hidden="false" customHeight="false" outlineLevel="0" collapsed="false">
      <c r="B29" s="14" t="s">
        <v>170</v>
      </c>
      <c r="C29" s="4" t="n">
        <f aca="false">COUNTIF('Risk Register'!M2:M300,"Open")</f>
        <v>1</v>
      </c>
    </row>
    <row r="30" customFormat="false" ht="15" hidden="false" customHeight="false" outlineLevel="0" collapsed="false">
      <c r="B30" s="15" t="s">
        <v>171</v>
      </c>
      <c r="C30" s="16"/>
    </row>
    <row r="31" customFormat="false" ht="15" hidden="false" customHeight="false" outlineLevel="0" collapsed="false">
      <c r="B31" s="14" t="s">
        <v>154</v>
      </c>
      <c r="C31" s="4" t="n">
        <f aca="false">COUNTIF('Meeting Minutes Log'!I2:I300,"Open")</f>
        <v>1</v>
      </c>
    </row>
    <row r="32" customFormat="false" ht="15" hidden="false" customHeight="false" outlineLevel="0" collapsed="false">
      <c r="B32" s="14" t="s">
        <v>155</v>
      </c>
      <c r="C32" s="17" t="n">
        <f aca="true">SUMPRODUCT(('Meeting Minutes Log'!$H$2:$H$300&lt;&gt;"")*('Meeting Minutes Log'!$H$2:$H$300&lt;TODAY())*('Meeting Minutes Log'!$I$2:$I$300&lt;&gt;"Closed"))</f>
        <v>0</v>
      </c>
    </row>
    <row r="33" customFormat="false" ht="15" hidden="false" customHeight="false" outlineLevel="0" collapsed="false">
      <c r="B33" s="15" t="s">
        <v>172</v>
      </c>
      <c r="C33" s="16"/>
    </row>
    <row r="34" customFormat="false" ht="15" hidden="false" customHeight="false" outlineLevel="0" collapsed="false">
      <c r="B34" s="14" t="s">
        <v>173</v>
      </c>
      <c r="C34" s="17" t="n">
        <f aca="false">COUNTIFS('Contract Review Log'!G2:G300,"High",'Contract Review Log'!I2:I300,"Open")</f>
        <v>1</v>
      </c>
    </row>
    <row r="35" customFormat="false" ht="15" hidden="false" customHeight="false" outlineLevel="0" collapsed="false">
      <c r="B35" s="15" t="s">
        <v>174</v>
      </c>
      <c r="C35" s="16"/>
    </row>
    <row r="36" customFormat="false" ht="15" hidden="false" customHeight="false" outlineLevel="0" collapsed="false">
      <c r="B36" s="14" t="s">
        <v>175</v>
      </c>
      <c r="C36" s="17" t="n">
        <f aca="false">COUNTIF('Contract Milestones'!D2:D300,"Missed")</f>
        <v>0</v>
      </c>
    </row>
    <row r="37" customFormat="false" ht="15" hidden="false" customHeight="false" outlineLevel="0" collapsed="false">
      <c r="B37" s="14" t="s">
        <v>176</v>
      </c>
      <c r="C37" s="17" t="n">
        <f aca="false">COUNTIF('Contract Milestones'!D2:D300,"Met - Late")</f>
        <v>0</v>
      </c>
    </row>
    <row r="38" customFormat="false" ht="15" hidden="false" customHeight="false" outlineLevel="0" collapsed="false">
      <c r="B38" s="14" t="s">
        <v>177</v>
      </c>
      <c r="C38" s="17" t="n">
        <f aca="false">COUNTIF('Contract Milestones'!D2:D300,"Due Soon")</f>
        <v>0</v>
      </c>
    </row>
    <row r="39" customFormat="false" ht="15" hidden="false" customHeight="false" outlineLevel="0" collapsed="false">
      <c r="B39" s="15" t="s">
        <v>178</v>
      </c>
      <c r="C39" s="16"/>
    </row>
    <row r="40" customFormat="false" ht="15" hidden="false" customHeight="false" outlineLevel="0" collapsed="false">
      <c r="B40" s="14" t="s">
        <v>179</v>
      </c>
      <c r="C40" s="17" t="n">
        <f aca="false">COUNTIF('Permit Tracker'!J6:J304,"ACTION NEEDED")</f>
        <v>0</v>
      </c>
    </row>
    <row r="41" customFormat="false" ht="15" hidden="false" customHeight="false" outlineLevel="0" collapsed="false">
      <c r="B41" s="14" t="s">
        <v>180</v>
      </c>
      <c r="C41" s="17" t="n">
        <f aca="false">COUNTIF('Permit Tracker'!J6:J304,"EXPIRING SOON")</f>
        <v>0</v>
      </c>
    </row>
    <row r="42" customFormat="false" ht="15" hidden="false" customHeight="false" outlineLevel="0" collapsed="false">
      <c r="B42" s="14" t="s">
        <v>181</v>
      </c>
      <c r="C42" s="4" t="n">
        <f aca="false">COUNTIF('Permit Tracker'!E6:E304,"In Hand")</f>
        <v>1</v>
      </c>
    </row>
    <row r="43" customFormat="false" ht="15" hidden="false" customHeight="false" outlineLevel="0" collapsed="false">
      <c r="B43" s="15" t="s">
        <v>182</v>
      </c>
      <c r="C43" s="16"/>
    </row>
    <row r="44" customFormat="false" ht="15" hidden="false" customHeight="false" outlineLevel="0" collapsed="false">
      <c r="B44" s="14" t="s">
        <v>183</v>
      </c>
      <c r="C44" s="4" t="n">
        <f aca="false">COUNTIF('Material Tracker'!F6:F304,"Not Ordered")</f>
        <v>0</v>
      </c>
    </row>
    <row r="45" customFormat="false" ht="15" hidden="false" customHeight="false" outlineLevel="0" collapsed="false">
      <c r="B45" s="14" t="s">
        <v>184</v>
      </c>
      <c r="C45" s="17" t="n">
        <f aca="false">COUNTIF('Material Tracker'!M6:M304,"OVERDUE")</f>
        <v>0</v>
      </c>
    </row>
    <row r="46" customFormat="false" ht="15" hidden="false" customHeight="false" outlineLevel="0" collapsed="false">
      <c r="B46" s="14" t="s">
        <v>185</v>
      </c>
      <c r="C46" s="4" t="n">
        <f aca="false">COUNTIF('Material Tracker'!F6:F304,"Received")</f>
        <v>0</v>
      </c>
    </row>
    <row r="47" customFormat="false" ht="15" hidden="false" customHeight="false" outlineLevel="0" collapsed="false">
      <c r="B47" s="15" t="s">
        <v>186</v>
      </c>
      <c r="C47" s="16"/>
    </row>
    <row r="48" customFormat="false" ht="15" hidden="false" customHeight="false" outlineLevel="0" collapsed="false">
      <c r="B48" s="14" t="s">
        <v>187</v>
      </c>
      <c r="C48" s="17" t="n">
        <f aca="false">COUNTIF(Schedule!H2:H300,"Delayed")</f>
        <v>1</v>
      </c>
    </row>
    <row r="49" customFormat="false" ht="15" hidden="false" customHeight="false" outlineLevel="0" collapsed="false">
      <c r="B49" s="14" t="s">
        <v>188</v>
      </c>
      <c r="C49" s="17" t="n">
        <f aca="false">COUNTIF(Schedule!H2:H300,"At Risk")</f>
        <v>0</v>
      </c>
    </row>
    <row r="50" customFormat="false" ht="15" hidden="false" customHeight="false" outlineLevel="0" collapsed="false">
      <c r="B50" s="15" t="s">
        <v>189</v>
      </c>
      <c r="C50" s="16"/>
    </row>
    <row r="51" customFormat="false" ht="15" hidden="false" customHeight="false" outlineLevel="0" collapsed="false">
      <c r="B51" s="14" t="s">
        <v>190</v>
      </c>
      <c r="C51" s="17" t="n">
        <f aca="false">COUNTIF('RFI Log'!V2:V300,"&gt;=14")</f>
        <v>1</v>
      </c>
    </row>
    <row r="52" customFormat="false" ht="15" hidden="false" customHeight="false" outlineLevel="0" collapsed="false">
      <c r="B52" s="14" t="s">
        <v>191</v>
      </c>
      <c r="C52" s="17" t="n">
        <f aca="false">COUNTIF('Submittal Log'!P2:P300,"&gt;=14")</f>
        <v>0</v>
      </c>
    </row>
    <row r="53" customFormat="false" ht="15" hidden="false" customHeight="false" outlineLevel="0" collapsed="false">
      <c r="B53" s="14" t="s">
        <v>192</v>
      </c>
      <c r="C53" s="17" t="n">
        <f aca="false">COUNTIF('Change Order Log'!Q2:Q300,"&gt;=14")</f>
        <v>1</v>
      </c>
    </row>
    <row r="54" customFormat="false" ht="15" hidden="false" customHeight="false" outlineLevel="0" collapsed="false">
      <c r="B54" s="14" t="s">
        <v>193</v>
      </c>
      <c r="C54" s="17" t="n">
        <f aca="false">COUNTIF('Subcontractor CO Log'!S2:S300,"&gt;=14")</f>
        <v>1</v>
      </c>
    </row>
    <row r="55" customFormat="false" ht="15" hidden="false" customHeight="false" outlineLevel="0" collapsed="false">
      <c r="B55" s="14" t="s">
        <v>194</v>
      </c>
      <c r="C55" s="17" t="n">
        <f aca="false">COUNTIF('Claims Log'!P2:P300,"&gt;=14")</f>
        <v>0</v>
      </c>
    </row>
    <row r="56" customFormat="false" ht="15" hidden="false" customHeight="false" outlineLevel="0" collapsed="false">
      <c r="B56" s="14" t="s">
        <v>195</v>
      </c>
      <c r="C56" s="17" t="n">
        <f aca="false">COUNTIF('Risk Register'!O2:O300,"&gt;=14")</f>
        <v>1</v>
      </c>
    </row>
    <row r="57" customFormat="false" ht="15" hidden="false" customHeight="false" outlineLevel="0" collapsed="false">
      <c r="B57" s="14" t="s">
        <v>196</v>
      </c>
      <c r="C57" s="17" t="n">
        <f aca="false">COUNTIF('Permit Tracker'!N6:N304,"&gt;=14")</f>
        <v>0</v>
      </c>
    </row>
    <row r="58" customFormat="false" ht="15" hidden="false" customHeight="false" outlineLevel="0" collapsed="false">
      <c r="B58" s="14" t="s">
        <v>197</v>
      </c>
      <c r="C58" s="17" t="n">
        <f aca="false">COUNTIF('Material Tracker'!S6:S304,"&gt;=14")</f>
        <v>1</v>
      </c>
    </row>
  </sheetData>
  <conditionalFormatting sqref="C12">
    <cfRule type="cellIs" priority="2" operator="greaterThan" aboveAverage="0" equalAverage="0" bottom="0" percent="0" rank="0" text="" dxfId="0">
      <formula>0</formula>
    </cfRule>
  </conditionalFormatting>
  <conditionalFormatting sqref="C16">
    <cfRule type="cellIs" priority="3" operator="greaterThan" aboveAverage="0" equalAverage="0" bottom="0" percent="0" rank="0" text="" dxfId="0">
      <formula>0</formula>
    </cfRule>
  </conditionalFormatting>
  <conditionalFormatting sqref="C18">
    <cfRule type="cellIs" priority="4" operator="greaterThan" aboveAverage="0" equalAverage="0" bottom="0" percent="0" rank="0" text="" dxfId="0">
      <formula>0</formula>
    </cfRule>
  </conditionalFormatting>
  <conditionalFormatting sqref="C21">
    <cfRule type="cellIs" priority="5" operator="greaterThan" aboveAverage="0" equalAverage="0" bottom="0" percent="0" rank="0" text="" dxfId="0">
      <formula>0</formula>
    </cfRule>
  </conditionalFormatting>
  <conditionalFormatting sqref="C22">
    <cfRule type="cellIs" priority="6" operator="greaterThan" aboveAverage="0" equalAverage="0" bottom="0" percent="0" rank="0" text="" dxfId="0">
      <formula>0</formula>
    </cfRule>
  </conditionalFormatting>
  <conditionalFormatting sqref="C26">
    <cfRule type="cellIs" priority="7" operator="greaterThan" aboveAverage="0" equalAverage="0" bottom="0" percent="0" rank="0" text="" dxfId="0">
      <formula>0</formula>
    </cfRule>
  </conditionalFormatting>
  <conditionalFormatting sqref="C28">
    <cfRule type="cellIs" priority="8" operator="greaterThan" aboveAverage="0" equalAverage="0" bottom="0" percent="0" rank="0" text="" dxfId="0">
      <formula>0</formula>
    </cfRule>
  </conditionalFormatting>
  <conditionalFormatting sqref="C32">
    <cfRule type="cellIs" priority="9" operator="greaterThan" aboveAverage="0" equalAverage="0" bottom="0" percent="0" rank="0" text="" dxfId="0">
      <formula>0</formula>
    </cfRule>
  </conditionalFormatting>
  <conditionalFormatting sqref="C34">
    <cfRule type="cellIs" priority="10" operator="greaterThan" aboveAverage="0" equalAverage="0" bottom="0" percent="0" rank="0" text="" dxfId="0">
      <formula>0</formula>
    </cfRule>
  </conditionalFormatting>
  <conditionalFormatting sqref="C36">
    <cfRule type="cellIs" priority="11" operator="greaterThan" aboveAverage="0" equalAverage="0" bottom="0" percent="0" rank="0" text="" dxfId="0">
      <formula>0</formula>
    </cfRule>
  </conditionalFormatting>
  <conditionalFormatting sqref="C37">
    <cfRule type="cellIs" priority="12" operator="greaterThan" aboveAverage="0" equalAverage="0" bottom="0" percent="0" rank="0" text="" dxfId="0">
      <formula>0</formula>
    </cfRule>
  </conditionalFormatting>
  <conditionalFormatting sqref="C38">
    <cfRule type="cellIs" priority="13" operator="greaterThan" aboveAverage="0" equalAverage="0" bottom="0" percent="0" rank="0" text="" dxfId="0">
      <formula>0</formula>
    </cfRule>
  </conditionalFormatting>
  <conditionalFormatting sqref="C40">
    <cfRule type="cellIs" priority="14" operator="greaterThan" aboveAverage="0" equalAverage="0" bottom="0" percent="0" rank="0" text="" dxfId="0">
      <formula>0</formula>
    </cfRule>
  </conditionalFormatting>
  <conditionalFormatting sqref="C41">
    <cfRule type="cellIs" priority="15" operator="greaterThan" aboveAverage="0" equalAverage="0" bottom="0" percent="0" rank="0" text="" dxfId="0">
      <formula>0</formula>
    </cfRule>
  </conditionalFormatting>
  <conditionalFormatting sqref="C45">
    <cfRule type="cellIs" priority="16" operator="greaterThan" aboveAverage="0" equalAverage="0" bottom="0" percent="0" rank="0" text="" dxfId="0">
      <formula>0</formula>
    </cfRule>
  </conditionalFormatting>
  <conditionalFormatting sqref="C48">
    <cfRule type="cellIs" priority="17" operator="greaterThan" aboveAverage="0" equalAverage="0" bottom="0" percent="0" rank="0" text="" dxfId="0">
      <formula>0</formula>
    </cfRule>
  </conditionalFormatting>
  <conditionalFormatting sqref="C49">
    <cfRule type="cellIs" priority="18" operator="greaterThan" aboveAverage="0" equalAverage="0" bottom="0" percent="0" rank="0" text="" dxfId="0">
      <formula>0</formula>
    </cfRule>
  </conditionalFormatting>
  <conditionalFormatting sqref="C51">
    <cfRule type="cellIs" priority="19" operator="greaterThan" aboveAverage="0" equalAverage="0" bottom="0" percent="0" rank="0" text="" dxfId="0">
      <formula>0</formula>
    </cfRule>
  </conditionalFormatting>
  <conditionalFormatting sqref="C52">
    <cfRule type="cellIs" priority="20" operator="greaterThan" aboveAverage="0" equalAverage="0" bottom="0" percent="0" rank="0" text="" dxfId="0">
      <formula>0</formula>
    </cfRule>
  </conditionalFormatting>
  <conditionalFormatting sqref="C53">
    <cfRule type="cellIs" priority="21" operator="greaterThan" aboveAverage="0" equalAverage="0" bottom="0" percent="0" rank="0" text="" dxfId="0">
      <formula>0</formula>
    </cfRule>
  </conditionalFormatting>
  <conditionalFormatting sqref="C54">
    <cfRule type="cellIs" priority="22" operator="greaterThan" aboveAverage="0" equalAverage="0" bottom="0" percent="0" rank="0" text="" dxfId="0">
      <formula>0</formula>
    </cfRule>
  </conditionalFormatting>
  <conditionalFormatting sqref="C55">
    <cfRule type="cellIs" priority="23" operator="greaterThan" aboveAverage="0" equalAverage="0" bottom="0" percent="0" rank="0" text="" dxfId="0">
      <formula>0</formula>
    </cfRule>
  </conditionalFormatting>
  <conditionalFormatting sqref="C56">
    <cfRule type="cellIs" priority="24" operator="greaterThan" aboveAverage="0" equalAverage="0" bottom="0" percent="0" rank="0" text="" dxfId="0">
      <formula>0</formula>
    </cfRule>
  </conditionalFormatting>
  <conditionalFormatting sqref="C57">
    <cfRule type="cellIs" priority="25" operator="greaterThan" aboveAverage="0" equalAverage="0" bottom="0" percent="0" rank="0" text="" dxfId="0">
      <formula>0</formula>
    </cfRule>
  </conditionalFormatting>
  <conditionalFormatting sqref="C58">
    <cfRule type="cellIs" priority="26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V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5" min="13" style="0" width="12"/>
    <col collapsed="false" customWidth="true" hidden="false" outlineLevel="0" max="16" min="16" style="0" width="14"/>
    <col collapsed="false" customWidth="true" hidden="false" outlineLevel="0" max="17" min="17" style="0" width="24"/>
    <col collapsed="false" customWidth="true" hidden="false" outlineLevel="0" max="18" min="18" style="0" width="14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2" min="21" style="0" width="14"/>
  </cols>
  <sheetData>
    <row r="1" customFormat="false" ht="31.5" hidden="false" customHeight="true" outlineLevel="0" collapsed="false">
      <c r="A1" s="19" t="s">
        <v>198</v>
      </c>
      <c r="B1" s="19" t="s">
        <v>199</v>
      </c>
      <c r="C1" s="19" t="s">
        <v>200</v>
      </c>
      <c r="D1" s="19" t="s">
        <v>201</v>
      </c>
      <c r="E1" s="19" t="s">
        <v>202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207</v>
      </c>
      <c r="K1" s="19" t="s">
        <v>208</v>
      </c>
      <c r="L1" s="19" t="s">
        <v>209</v>
      </c>
      <c r="M1" s="19" t="s">
        <v>210</v>
      </c>
      <c r="N1" s="19" t="s">
        <v>211</v>
      </c>
      <c r="O1" s="19" t="s">
        <v>212</v>
      </c>
      <c r="P1" s="19" t="s">
        <v>213</v>
      </c>
      <c r="Q1" s="19" t="s">
        <v>214</v>
      </c>
      <c r="R1" s="19" t="s">
        <v>215</v>
      </c>
      <c r="S1" s="19" t="s">
        <v>216</v>
      </c>
      <c r="T1" s="19" t="s">
        <v>217</v>
      </c>
      <c r="U1" s="19" t="s">
        <v>218</v>
      </c>
      <c r="V1" s="19" t="s">
        <v>219</v>
      </c>
    </row>
    <row r="2" customFormat="false" ht="15" hidden="false" customHeight="false" outlineLevel="0" collapsed="false">
      <c r="A2" s="20" t="s">
        <v>220</v>
      </c>
      <c r="B2" s="20" t="s">
        <v>221</v>
      </c>
      <c r="C2" s="20" t="s">
        <v>222</v>
      </c>
      <c r="D2" s="20" t="s">
        <v>223</v>
      </c>
      <c r="E2" s="20" t="s">
        <v>224</v>
      </c>
      <c r="F2" s="20" t="s">
        <v>225</v>
      </c>
      <c r="G2" s="20" t="s">
        <v>226</v>
      </c>
      <c r="H2" s="20" t="s">
        <v>227</v>
      </c>
      <c r="I2" s="20"/>
      <c r="J2" s="20"/>
      <c r="K2" s="21" t="str">
        <f aca="true">IF(A2="","",IF(T2="Yes","Void",IF(I2&lt;&gt;"","Closed",IF(AND(H2&lt;&gt;"",TODAY()&gt;H2),"Overdue","Open"))))</f>
        <v>Open</v>
      </c>
      <c r="L2" s="22" t="n">
        <f aca="true">IF(A2="","",IF(I2&lt;&gt;"",J2-B2,TODAY()-B2))</f>
        <v>27</v>
      </c>
      <c r="M2" s="20" t="n">
        <v>0</v>
      </c>
      <c r="N2" s="20" t="n">
        <v>0</v>
      </c>
      <c r="O2" s="20"/>
      <c r="P2" s="20"/>
      <c r="Q2" s="20" t="s">
        <v>228</v>
      </c>
      <c r="R2" s="20" t="s">
        <v>229</v>
      </c>
      <c r="S2" s="20" t="s">
        <v>230</v>
      </c>
      <c r="T2" s="20" t="s">
        <v>229</v>
      </c>
      <c r="U2" s="23" t="n">
        <f aca="false">IF(A2="","",MAX(B2+0,H2+0,J2+0))</f>
        <v>46273</v>
      </c>
      <c r="V2" s="22" t="n">
        <f aca="true">IF(A2="","",IF(K2="Closed","",TODAY()-U2))</f>
        <v>20</v>
      </c>
    </row>
    <row r="3" customFormat="false" ht="15" hidden="false" customHeight="false" outlineLevel="0" collapsed="false">
      <c r="K3" s="0" t="str">
        <f aca="true">IF(A3="","",IF(T3="Yes","Void",IF(I3&lt;&gt;"","Closed",IF(AND(H3&lt;&gt;"",TODAY()&gt;H3),"Overdue","Open"))))</f>
        <v/>
      </c>
      <c r="L3" s="0" t="str">
        <f aca="true">IF(A3="","",IF(I3&lt;&gt;"",J3-B3,TODAY()-B3))</f>
        <v/>
      </c>
      <c r="U3" s="13" t="str">
        <f aca="false">IF(A3="","",MAX(B3+0,H3+0,J3+0))</f>
        <v/>
      </c>
      <c r="V3" s="0" t="str">
        <f aca="true">IF(A3="","",IF(K3="Closed","",TODAY()-U3))</f>
        <v/>
      </c>
    </row>
    <row r="4" customFormat="false" ht="15" hidden="false" customHeight="false" outlineLevel="0" collapsed="false">
      <c r="K4" s="0" t="str">
        <f aca="true">IF(A4="","",IF(T4="Yes","Void",IF(I4&lt;&gt;"","Closed",IF(AND(H4&lt;&gt;"",TODAY()&gt;H4),"Overdue","Open"))))</f>
        <v/>
      </c>
      <c r="L4" s="0" t="str">
        <f aca="true">IF(A4="","",IF(I4&lt;&gt;"",J4-B4,TODAY()-B4))</f>
        <v/>
      </c>
      <c r="U4" s="13" t="str">
        <f aca="false">IF(A4="","",MAX(B4+0,H4+0,J4+0))</f>
        <v/>
      </c>
      <c r="V4" s="0" t="str">
        <f aca="true">IF(A4="","",IF(K4="Closed","",TODAY()-U4))</f>
        <v/>
      </c>
    </row>
    <row r="5" customFormat="false" ht="15" hidden="false" customHeight="false" outlineLevel="0" collapsed="false">
      <c r="K5" s="0" t="str">
        <f aca="true">IF(A5="","",IF(T5="Yes","Void",IF(I5&lt;&gt;"","Closed",IF(AND(H5&lt;&gt;"",TODAY()&gt;H5),"Overdue","Open"))))</f>
        <v/>
      </c>
      <c r="L5" s="0" t="str">
        <f aca="true">IF(A5="","",IF(I5&lt;&gt;"",J5-B5,TODAY()-B5))</f>
        <v/>
      </c>
      <c r="U5" s="13" t="str">
        <f aca="false">IF(A5="","",MAX(B5+0,H5+0,J5+0))</f>
        <v/>
      </c>
      <c r="V5" s="0" t="str">
        <f aca="true">IF(A5="","",IF(K5="Closed","",TODAY()-U5))</f>
        <v/>
      </c>
    </row>
    <row r="6" customFormat="false" ht="15" hidden="false" customHeight="false" outlineLevel="0" collapsed="false">
      <c r="K6" s="0" t="str">
        <f aca="true">IF(A6="","",IF(T6="Yes","Void",IF(I6&lt;&gt;"","Closed",IF(AND(H6&lt;&gt;"",TODAY()&gt;H6),"Overdue","Open"))))</f>
        <v/>
      </c>
      <c r="L6" s="0" t="str">
        <f aca="true">IF(A6="","",IF(I6&lt;&gt;"",J6-B6,TODAY()-B6))</f>
        <v/>
      </c>
      <c r="U6" s="13" t="str">
        <f aca="false">IF(A6="","",MAX(B6+0,H6+0,J6+0))</f>
        <v/>
      </c>
      <c r="V6" s="0" t="str">
        <f aca="true">IF(A6="","",IF(K6="Closed","",TODAY()-U6))</f>
        <v/>
      </c>
    </row>
    <row r="7" customFormat="false" ht="15" hidden="false" customHeight="false" outlineLevel="0" collapsed="false">
      <c r="K7" s="0" t="str">
        <f aca="true">IF(A7="","",IF(T7="Yes","Void",IF(I7&lt;&gt;"","Closed",IF(AND(H7&lt;&gt;"",TODAY()&gt;H7),"Overdue","Open"))))</f>
        <v/>
      </c>
      <c r="L7" s="0" t="str">
        <f aca="true">IF(A7="","",IF(I7&lt;&gt;"",J7-B7,TODAY()-B7))</f>
        <v/>
      </c>
      <c r="U7" s="13" t="str">
        <f aca="false">IF(A7="","",MAX(B7+0,H7+0,J7+0))</f>
        <v/>
      </c>
      <c r="V7" s="0" t="str">
        <f aca="true">IF(A7="","",IF(K7="Closed","",TODAY()-U7))</f>
        <v/>
      </c>
    </row>
    <row r="8" customFormat="false" ht="15" hidden="false" customHeight="false" outlineLevel="0" collapsed="false">
      <c r="K8" s="0" t="str">
        <f aca="true">IF(A8="","",IF(T8="Yes","Void",IF(I8&lt;&gt;"","Closed",IF(AND(H8&lt;&gt;"",TODAY()&gt;H8),"Overdue","Open"))))</f>
        <v/>
      </c>
      <c r="L8" s="0" t="str">
        <f aca="true">IF(A8="","",IF(I8&lt;&gt;"",J8-B8,TODAY()-B8))</f>
        <v/>
      </c>
      <c r="U8" s="13" t="str">
        <f aca="false">IF(A8="","",MAX(B8+0,H8+0,J8+0))</f>
        <v/>
      </c>
      <c r="V8" s="0" t="str">
        <f aca="true">IF(A8="","",IF(K8="Closed","",TODAY()-U8))</f>
        <v/>
      </c>
    </row>
    <row r="9" customFormat="false" ht="15" hidden="false" customHeight="false" outlineLevel="0" collapsed="false">
      <c r="K9" s="0" t="str">
        <f aca="true">IF(A9="","",IF(T9="Yes","Void",IF(I9&lt;&gt;"","Closed",IF(AND(H9&lt;&gt;"",TODAY()&gt;H9),"Overdue","Open"))))</f>
        <v/>
      </c>
      <c r="L9" s="0" t="str">
        <f aca="true">IF(A9="","",IF(I9&lt;&gt;"",J9-B9,TODAY()-B9))</f>
        <v/>
      </c>
      <c r="U9" s="13" t="str">
        <f aca="false">IF(A9="","",MAX(B9+0,H9+0,J9+0))</f>
        <v/>
      </c>
      <c r="V9" s="0" t="str">
        <f aca="true">IF(A9="","",IF(K9="Closed","",TODAY()-U9))</f>
        <v/>
      </c>
    </row>
    <row r="10" customFormat="false" ht="15" hidden="false" customHeight="false" outlineLevel="0" collapsed="false">
      <c r="K10" s="0" t="str">
        <f aca="true">IF(A10="","",IF(T10="Yes","Void",IF(I10&lt;&gt;"","Closed",IF(AND(H10&lt;&gt;"",TODAY()&gt;H10),"Overdue","Open"))))</f>
        <v/>
      </c>
      <c r="L10" s="0" t="str">
        <f aca="true">IF(A10="","",IF(I10&lt;&gt;"",J10-B10,TODAY()-B10))</f>
        <v/>
      </c>
      <c r="U10" s="13" t="str">
        <f aca="false">IF(A10="","",MAX(B10+0,H10+0,J10+0))</f>
        <v/>
      </c>
      <c r="V10" s="0" t="str">
        <f aca="true">IF(A10="","",IF(K10="Closed","",TODAY()-U10))</f>
        <v/>
      </c>
    </row>
    <row r="11" customFormat="false" ht="15" hidden="false" customHeight="false" outlineLevel="0" collapsed="false">
      <c r="K11" s="0" t="str">
        <f aca="true">IF(A11="","",IF(T11="Yes","Void",IF(I11&lt;&gt;"","Closed",IF(AND(H11&lt;&gt;"",TODAY()&gt;H11),"Overdue","Open"))))</f>
        <v/>
      </c>
      <c r="L11" s="0" t="str">
        <f aca="true">IF(A11="","",IF(I11&lt;&gt;"",J11-B11,TODAY()-B11))</f>
        <v/>
      </c>
      <c r="U11" s="13" t="str">
        <f aca="false">IF(A11="","",MAX(B11+0,H11+0,J11+0))</f>
        <v/>
      </c>
      <c r="V11" s="0" t="str">
        <f aca="true">IF(A11="","",IF(K11="Closed","",TODAY()-U11))</f>
        <v/>
      </c>
    </row>
    <row r="12" customFormat="false" ht="15" hidden="false" customHeight="false" outlineLevel="0" collapsed="false">
      <c r="K12" s="0" t="str">
        <f aca="true">IF(A12="","",IF(T12="Yes","Void",IF(I12&lt;&gt;"","Closed",IF(AND(H12&lt;&gt;"",TODAY()&gt;H12),"Overdue","Open"))))</f>
        <v/>
      </c>
      <c r="L12" s="0" t="str">
        <f aca="true">IF(A12="","",IF(I12&lt;&gt;"",J12-B12,TODAY()-B12))</f>
        <v/>
      </c>
      <c r="U12" s="13" t="str">
        <f aca="false">IF(A12="","",MAX(B12+0,H12+0,J12+0))</f>
        <v/>
      </c>
      <c r="V12" s="0" t="str">
        <f aca="true">IF(A12="","",IF(K12="Closed","",TODAY()-U12))</f>
        <v/>
      </c>
    </row>
    <row r="13" customFormat="false" ht="15" hidden="false" customHeight="false" outlineLevel="0" collapsed="false">
      <c r="K13" s="0" t="str">
        <f aca="true">IF(A13="","",IF(T13="Yes","Void",IF(I13&lt;&gt;"","Closed",IF(AND(H13&lt;&gt;"",TODAY()&gt;H13),"Overdue","Open"))))</f>
        <v/>
      </c>
      <c r="L13" s="0" t="str">
        <f aca="true">IF(A13="","",IF(I13&lt;&gt;"",J13-B13,TODAY()-B13))</f>
        <v/>
      </c>
      <c r="U13" s="13" t="str">
        <f aca="false">IF(A13="","",MAX(B13+0,H13+0,J13+0))</f>
        <v/>
      </c>
      <c r="V13" s="0" t="str">
        <f aca="true">IF(A13="","",IF(K13="Closed","",TODAY()-U13))</f>
        <v/>
      </c>
    </row>
    <row r="14" customFormat="false" ht="15" hidden="false" customHeight="false" outlineLevel="0" collapsed="false">
      <c r="K14" s="0" t="str">
        <f aca="true">IF(A14="","",IF(T14="Yes","Void",IF(I14&lt;&gt;"","Closed",IF(AND(H14&lt;&gt;"",TODAY()&gt;H14),"Overdue","Open"))))</f>
        <v/>
      </c>
      <c r="L14" s="0" t="str">
        <f aca="true">IF(A14="","",IF(I14&lt;&gt;"",J14-B14,TODAY()-B14))</f>
        <v/>
      </c>
      <c r="U14" s="13" t="str">
        <f aca="false">IF(A14="","",MAX(B14+0,H14+0,J14+0))</f>
        <v/>
      </c>
      <c r="V14" s="0" t="str">
        <f aca="true">IF(A14="","",IF(K14="Closed","",TODAY()-U14))</f>
        <v/>
      </c>
    </row>
    <row r="15" customFormat="false" ht="15" hidden="false" customHeight="false" outlineLevel="0" collapsed="false">
      <c r="K15" s="0" t="str">
        <f aca="true">IF(A15="","",IF(T15="Yes","Void",IF(I15&lt;&gt;"","Closed",IF(AND(H15&lt;&gt;"",TODAY()&gt;H15),"Overdue","Open"))))</f>
        <v/>
      </c>
      <c r="L15" s="0" t="str">
        <f aca="true">IF(A15="","",IF(I15&lt;&gt;"",J15-B15,TODAY()-B15))</f>
        <v/>
      </c>
      <c r="U15" s="13" t="str">
        <f aca="false">IF(A15="","",MAX(B15+0,H15+0,J15+0))</f>
        <v/>
      </c>
      <c r="V15" s="0" t="str">
        <f aca="true">IF(A15="","",IF(K15="Closed","",TODAY()-U15))</f>
        <v/>
      </c>
    </row>
    <row r="16" customFormat="false" ht="15" hidden="false" customHeight="false" outlineLevel="0" collapsed="false">
      <c r="K16" s="0" t="str">
        <f aca="true">IF(A16="","",IF(T16="Yes","Void",IF(I16&lt;&gt;"","Closed",IF(AND(H16&lt;&gt;"",TODAY()&gt;H16),"Overdue","Open"))))</f>
        <v/>
      </c>
      <c r="L16" s="0" t="str">
        <f aca="true">IF(A16="","",IF(I16&lt;&gt;"",J16-B16,TODAY()-B16))</f>
        <v/>
      </c>
      <c r="U16" s="13" t="str">
        <f aca="false">IF(A16="","",MAX(B16+0,H16+0,J16+0))</f>
        <v/>
      </c>
      <c r="V16" s="0" t="str">
        <f aca="true">IF(A16="","",IF(K16="Closed","",TODAY()-U16))</f>
        <v/>
      </c>
    </row>
    <row r="17" customFormat="false" ht="15" hidden="false" customHeight="false" outlineLevel="0" collapsed="false">
      <c r="K17" s="0" t="str">
        <f aca="true">IF(A17="","",IF(T17="Yes","Void",IF(I17&lt;&gt;"","Closed",IF(AND(H17&lt;&gt;"",TODAY()&gt;H17),"Overdue","Open"))))</f>
        <v/>
      </c>
      <c r="L17" s="0" t="str">
        <f aca="true">IF(A17="","",IF(I17&lt;&gt;"",J17-B17,TODAY()-B17))</f>
        <v/>
      </c>
      <c r="U17" s="13" t="str">
        <f aca="false">IF(A17="","",MAX(B17+0,H17+0,J17+0))</f>
        <v/>
      </c>
      <c r="V17" s="0" t="str">
        <f aca="true">IF(A17="","",IF(K17="Closed","",TODAY()-U17))</f>
        <v/>
      </c>
    </row>
    <row r="18" customFormat="false" ht="15" hidden="false" customHeight="false" outlineLevel="0" collapsed="false">
      <c r="K18" s="0" t="str">
        <f aca="true">IF(A18="","",IF(T18="Yes","Void",IF(I18&lt;&gt;"","Closed",IF(AND(H18&lt;&gt;"",TODAY()&gt;H18),"Overdue","Open"))))</f>
        <v/>
      </c>
      <c r="L18" s="0" t="str">
        <f aca="true">IF(A18="","",IF(I18&lt;&gt;"",J18-B18,TODAY()-B18))</f>
        <v/>
      </c>
      <c r="U18" s="13" t="str">
        <f aca="false">IF(A18="","",MAX(B18+0,H18+0,J18+0))</f>
        <v/>
      </c>
      <c r="V18" s="0" t="str">
        <f aca="true">IF(A18="","",IF(K18="Closed","",TODAY()-U18))</f>
        <v/>
      </c>
    </row>
    <row r="19" customFormat="false" ht="15" hidden="false" customHeight="false" outlineLevel="0" collapsed="false">
      <c r="K19" s="0" t="str">
        <f aca="true">IF(A19="","",IF(T19="Yes","Void",IF(I19&lt;&gt;"","Closed",IF(AND(H19&lt;&gt;"",TODAY()&gt;H19),"Overdue","Open"))))</f>
        <v/>
      </c>
      <c r="L19" s="0" t="str">
        <f aca="true">IF(A19="","",IF(I19&lt;&gt;"",J19-B19,TODAY()-B19))</f>
        <v/>
      </c>
      <c r="U19" s="13" t="str">
        <f aca="false">IF(A19="","",MAX(B19+0,H19+0,J19+0))</f>
        <v/>
      </c>
      <c r="V19" s="0" t="str">
        <f aca="true">IF(A19="","",IF(K19="Closed","",TODAY()-U19))</f>
        <v/>
      </c>
    </row>
    <row r="20" customFormat="false" ht="15" hidden="false" customHeight="false" outlineLevel="0" collapsed="false">
      <c r="K20" s="0" t="str">
        <f aca="true">IF(A20="","",IF(T20="Yes","Void",IF(I20&lt;&gt;"","Closed",IF(AND(H20&lt;&gt;"",TODAY()&gt;H20),"Overdue","Open"))))</f>
        <v/>
      </c>
      <c r="L20" s="0" t="str">
        <f aca="true">IF(A20="","",IF(I20&lt;&gt;"",J20-B20,TODAY()-B20))</f>
        <v/>
      </c>
      <c r="U20" s="13" t="str">
        <f aca="false">IF(A20="","",MAX(B20+0,H20+0,J20+0))</f>
        <v/>
      </c>
      <c r="V20" s="0" t="str">
        <f aca="true">IF(A20="","",IF(K20="Closed","",TODAY()-U20))</f>
        <v/>
      </c>
    </row>
    <row r="21" customFormat="false" ht="15" hidden="false" customHeight="false" outlineLevel="0" collapsed="false">
      <c r="K21" s="0" t="str">
        <f aca="true">IF(A21="","",IF(T21="Yes","Void",IF(I21&lt;&gt;"","Closed",IF(AND(H21&lt;&gt;"",TODAY()&gt;H21),"Overdue","Open"))))</f>
        <v/>
      </c>
      <c r="L21" s="0" t="str">
        <f aca="true">IF(A21="","",IF(I21&lt;&gt;"",J21-B21,TODAY()-B21))</f>
        <v/>
      </c>
      <c r="U21" s="13" t="str">
        <f aca="false">IF(A21="","",MAX(B21+0,H21+0,J21+0))</f>
        <v/>
      </c>
      <c r="V21" s="0" t="str">
        <f aca="true">IF(A21="","",IF(K21="Closed","",TODAY()-U21))</f>
        <v/>
      </c>
    </row>
    <row r="22" customFormat="false" ht="15" hidden="false" customHeight="false" outlineLevel="0" collapsed="false">
      <c r="K22" s="0" t="str">
        <f aca="true">IF(A22="","",IF(T22="Yes","Void",IF(I22&lt;&gt;"","Closed",IF(AND(H22&lt;&gt;"",TODAY()&gt;H22),"Overdue","Open"))))</f>
        <v/>
      </c>
      <c r="L22" s="0" t="str">
        <f aca="true">IF(A22="","",IF(I22&lt;&gt;"",J22-B22,TODAY()-B22))</f>
        <v/>
      </c>
      <c r="U22" s="13" t="str">
        <f aca="false">IF(A22="","",MAX(B22+0,H22+0,J22+0))</f>
        <v/>
      </c>
      <c r="V22" s="0" t="str">
        <f aca="true">IF(A22="","",IF(K22="Closed","",TODAY()-U22))</f>
        <v/>
      </c>
    </row>
    <row r="23" customFormat="false" ht="15" hidden="false" customHeight="false" outlineLevel="0" collapsed="false">
      <c r="K23" s="0" t="str">
        <f aca="true">IF(A23="","",IF(T23="Yes","Void",IF(I23&lt;&gt;"","Closed",IF(AND(H23&lt;&gt;"",TODAY()&gt;H23),"Overdue","Open"))))</f>
        <v/>
      </c>
      <c r="L23" s="0" t="str">
        <f aca="true">IF(A23="","",IF(I23&lt;&gt;"",J23-B23,TODAY()-B23))</f>
        <v/>
      </c>
      <c r="U23" s="13" t="str">
        <f aca="false">IF(A23="","",MAX(B23+0,H23+0,J23+0))</f>
        <v/>
      </c>
      <c r="V23" s="0" t="str">
        <f aca="true">IF(A23="","",IF(K23="Closed","",TODAY()-U23))</f>
        <v/>
      </c>
    </row>
    <row r="24" customFormat="false" ht="15" hidden="false" customHeight="false" outlineLevel="0" collapsed="false">
      <c r="K24" s="0" t="str">
        <f aca="true">IF(A24="","",IF(T24="Yes","Void",IF(I24&lt;&gt;"","Closed",IF(AND(H24&lt;&gt;"",TODAY()&gt;H24),"Overdue","Open"))))</f>
        <v/>
      </c>
      <c r="L24" s="0" t="str">
        <f aca="true">IF(A24="","",IF(I24&lt;&gt;"",J24-B24,TODAY()-B24))</f>
        <v/>
      </c>
      <c r="U24" s="13" t="str">
        <f aca="false">IF(A24="","",MAX(B24+0,H24+0,J24+0))</f>
        <v/>
      </c>
      <c r="V24" s="0" t="str">
        <f aca="true">IF(A24="","",IF(K24="Closed","",TODAY()-U24))</f>
        <v/>
      </c>
    </row>
    <row r="25" customFormat="false" ht="15" hidden="false" customHeight="false" outlineLevel="0" collapsed="false">
      <c r="K25" s="0" t="str">
        <f aca="true">IF(A25="","",IF(T25="Yes","Void",IF(I25&lt;&gt;"","Closed",IF(AND(H25&lt;&gt;"",TODAY()&gt;H25),"Overdue","Open"))))</f>
        <v/>
      </c>
      <c r="L25" s="0" t="str">
        <f aca="true">IF(A25="","",IF(I25&lt;&gt;"",J25-B25,TODAY()-B25))</f>
        <v/>
      </c>
      <c r="U25" s="13" t="str">
        <f aca="false">IF(A25="","",MAX(B25+0,H25+0,J25+0))</f>
        <v/>
      </c>
      <c r="V25" s="0" t="str">
        <f aca="true">IF(A25="","",IF(K25="Closed","",TODAY()-U25))</f>
        <v/>
      </c>
    </row>
    <row r="26" customFormat="false" ht="15" hidden="false" customHeight="false" outlineLevel="0" collapsed="false">
      <c r="K26" s="0" t="str">
        <f aca="true">IF(A26="","",IF(T26="Yes","Void",IF(I26&lt;&gt;"","Closed",IF(AND(H26&lt;&gt;"",TODAY()&gt;H26),"Overdue","Open"))))</f>
        <v/>
      </c>
      <c r="L26" s="0" t="str">
        <f aca="true">IF(A26="","",IF(I26&lt;&gt;"",J26-B26,TODAY()-B26))</f>
        <v/>
      </c>
      <c r="U26" s="13" t="str">
        <f aca="false">IF(A26="","",MAX(B26+0,H26+0,J26+0))</f>
        <v/>
      </c>
      <c r="V26" s="0" t="str">
        <f aca="true">IF(A26="","",IF(K26="Closed","",TODAY()-U26))</f>
        <v/>
      </c>
    </row>
    <row r="27" customFormat="false" ht="15" hidden="false" customHeight="false" outlineLevel="0" collapsed="false">
      <c r="K27" s="0" t="str">
        <f aca="true">IF(A27="","",IF(T27="Yes","Void",IF(I27&lt;&gt;"","Closed",IF(AND(H27&lt;&gt;"",TODAY()&gt;H27),"Overdue","Open"))))</f>
        <v/>
      </c>
      <c r="L27" s="0" t="str">
        <f aca="true">IF(A27="","",IF(I27&lt;&gt;"",J27-B27,TODAY()-B27))</f>
        <v/>
      </c>
      <c r="U27" s="13" t="str">
        <f aca="false">IF(A27="","",MAX(B27+0,H27+0,J27+0))</f>
        <v/>
      </c>
      <c r="V27" s="0" t="str">
        <f aca="true">IF(A27="","",IF(K27="Closed","",TODAY()-U27))</f>
        <v/>
      </c>
    </row>
    <row r="28" customFormat="false" ht="15" hidden="false" customHeight="false" outlineLevel="0" collapsed="false">
      <c r="K28" s="0" t="str">
        <f aca="true">IF(A28="","",IF(T28="Yes","Void",IF(I28&lt;&gt;"","Closed",IF(AND(H28&lt;&gt;"",TODAY()&gt;H28),"Overdue","Open"))))</f>
        <v/>
      </c>
      <c r="L28" s="0" t="str">
        <f aca="true">IF(A28="","",IF(I28&lt;&gt;"",J28-B28,TODAY()-B28))</f>
        <v/>
      </c>
      <c r="U28" s="13" t="str">
        <f aca="false">IF(A28="","",MAX(B28+0,H28+0,J28+0))</f>
        <v/>
      </c>
      <c r="V28" s="0" t="str">
        <f aca="true">IF(A28="","",IF(K28="Closed","",TODAY()-U28))</f>
        <v/>
      </c>
    </row>
    <row r="29" customFormat="false" ht="15" hidden="false" customHeight="false" outlineLevel="0" collapsed="false">
      <c r="K29" s="0" t="str">
        <f aca="true">IF(A29="","",IF(T29="Yes","Void",IF(I29&lt;&gt;"","Closed",IF(AND(H29&lt;&gt;"",TODAY()&gt;H29),"Overdue","Open"))))</f>
        <v/>
      </c>
      <c r="L29" s="0" t="str">
        <f aca="true">IF(A29="","",IF(I29&lt;&gt;"",J29-B29,TODAY()-B29))</f>
        <v/>
      </c>
      <c r="U29" s="13" t="str">
        <f aca="false">IF(A29="","",MAX(B29+0,H29+0,J29+0))</f>
        <v/>
      </c>
      <c r="V29" s="0" t="str">
        <f aca="true">IF(A29="","",IF(K29="Closed","",TODAY()-U29))</f>
        <v/>
      </c>
    </row>
    <row r="30" customFormat="false" ht="15" hidden="false" customHeight="false" outlineLevel="0" collapsed="false">
      <c r="K30" s="0" t="str">
        <f aca="true">IF(A30="","",IF(T30="Yes","Void",IF(I30&lt;&gt;"","Closed",IF(AND(H30&lt;&gt;"",TODAY()&gt;H30),"Overdue","Open"))))</f>
        <v/>
      </c>
      <c r="L30" s="0" t="str">
        <f aca="true">IF(A30="","",IF(I30&lt;&gt;"",J30-B30,TODAY()-B30))</f>
        <v/>
      </c>
      <c r="U30" s="13" t="str">
        <f aca="false">IF(A30="","",MAX(B30+0,H30+0,J30+0))</f>
        <v/>
      </c>
      <c r="V30" s="0" t="str">
        <f aca="true">IF(A30="","",IF(K30="Closed","",TODAY()-U30))</f>
        <v/>
      </c>
    </row>
    <row r="31" customFormat="false" ht="15" hidden="false" customHeight="false" outlineLevel="0" collapsed="false">
      <c r="K31" s="0" t="str">
        <f aca="true">IF(A31="","",IF(T31="Yes","Void",IF(I31&lt;&gt;"","Closed",IF(AND(H31&lt;&gt;"",TODAY()&gt;H31),"Overdue","Open"))))</f>
        <v/>
      </c>
      <c r="L31" s="0" t="str">
        <f aca="true">IF(A31="","",IF(I31&lt;&gt;"",J31-B31,TODAY()-B31))</f>
        <v/>
      </c>
      <c r="U31" s="13" t="str">
        <f aca="false">IF(A31="","",MAX(B31+0,H31+0,J31+0))</f>
        <v/>
      </c>
      <c r="V31" s="0" t="str">
        <f aca="true">IF(A31="","",IF(K31="Closed","",TODAY()-U31))</f>
        <v/>
      </c>
    </row>
    <row r="32" customFormat="false" ht="15" hidden="false" customHeight="false" outlineLevel="0" collapsed="false">
      <c r="K32" s="0" t="str">
        <f aca="true">IF(A32="","",IF(T32="Yes","Void",IF(I32&lt;&gt;"","Closed",IF(AND(H32&lt;&gt;"",TODAY()&gt;H32),"Overdue","Open"))))</f>
        <v/>
      </c>
      <c r="L32" s="0" t="str">
        <f aca="true">IF(A32="","",IF(I32&lt;&gt;"",J32-B32,TODAY()-B32))</f>
        <v/>
      </c>
      <c r="U32" s="13" t="str">
        <f aca="false">IF(A32="","",MAX(B32+0,H32+0,J32+0))</f>
        <v/>
      </c>
      <c r="V32" s="0" t="str">
        <f aca="true">IF(A32="","",IF(K32="Closed","",TODAY()-U32))</f>
        <v/>
      </c>
    </row>
    <row r="33" customFormat="false" ht="15" hidden="false" customHeight="false" outlineLevel="0" collapsed="false">
      <c r="K33" s="0" t="str">
        <f aca="true">IF(A33="","",IF(T33="Yes","Void",IF(I33&lt;&gt;"","Closed",IF(AND(H33&lt;&gt;"",TODAY()&gt;H33),"Overdue","Open"))))</f>
        <v/>
      </c>
      <c r="L33" s="0" t="str">
        <f aca="true">IF(A33="","",IF(I33&lt;&gt;"",J33-B33,TODAY()-B33))</f>
        <v/>
      </c>
      <c r="U33" s="13" t="str">
        <f aca="false">IF(A33="","",MAX(B33+0,H33+0,J33+0))</f>
        <v/>
      </c>
      <c r="V33" s="0" t="str">
        <f aca="true">IF(A33="","",IF(K33="Closed","",TODAY()-U33))</f>
        <v/>
      </c>
    </row>
    <row r="34" customFormat="false" ht="15" hidden="false" customHeight="false" outlineLevel="0" collapsed="false">
      <c r="K34" s="0" t="str">
        <f aca="true">IF(A34="","",IF(T34="Yes","Void",IF(I34&lt;&gt;"","Closed",IF(AND(H34&lt;&gt;"",TODAY()&gt;H34),"Overdue","Open"))))</f>
        <v/>
      </c>
      <c r="L34" s="0" t="str">
        <f aca="true">IF(A34="","",IF(I34&lt;&gt;"",J34-B34,TODAY()-B34))</f>
        <v/>
      </c>
      <c r="U34" s="13" t="str">
        <f aca="false">IF(A34="","",MAX(B34+0,H34+0,J34+0))</f>
        <v/>
      </c>
      <c r="V34" s="0" t="str">
        <f aca="true">IF(A34="","",IF(K34="Closed","",TODAY()-U34))</f>
        <v/>
      </c>
    </row>
    <row r="35" customFormat="false" ht="15" hidden="false" customHeight="false" outlineLevel="0" collapsed="false">
      <c r="K35" s="0" t="str">
        <f aca="true">IF(A35="","",IF(T35="Yes","Void",IF(I35&lt;&gt;"","Closed",IF(AND(H35&lt;&gt;"",TODAY()&gt;H35),"Overdue","Open"))))</f>
        <v/>
      </c>
      <c r="L35" s="0" t="str">
        <f aca="true">IF(A35="","",IF(I35&lt;&gt;"",J35-B35,TODAY()-B35))</f>
        <v/>
      </c>
      <c r="U35" s="13" t="str">
        <f aca="false">IF(A35="","",MAX(B35+0,H35+0,J35+0))</f>
        <v/>
      </c>
      <c r="V35" s="0" t="str">
        <f aca="true">IF(A35="","",IF(K35="Closed","",TODAY()-U35))</f>
        <v/>
      </c>
    </row>
    <row r="36" customFormat="false" ht="15" hidden="false" customHeight="false" outlineLevel="0" collapsed="false">
      <c r="K36" s="0" t="str">
        <f aca="true">IF(A36="","",IF(T36="Yes","Void",IF(I36&lt;&gt;"","Closed",IF(AND(H36&lt;&gt;"",TODAY()&gt;H36),"Overdue","Open"))))</f>
        <v/>
      </c>
      <c r="L36" s="0" t="str">
        <f aca="true">IF(A36="","",IF(I36&lt;&gt;"",J36-B36,TODAY()-B36))</f>
        <v/>
      </c>
      <c r="U36" s="13" t="str">
        <f aca="false">IF(A36="","",MAX(B36+0,H36+0,J36+0))</f>
        <v/>
      </c>
      <c r="V36" s="0" t="str">
        <f aca="true">IF(A36="","",IF(K36="Closed","",TODAY()-U36))</f>
        <v/>
      </c>
    </row>
    <row r="37" customFormat="false" ht="15" hidden="false" customHeight="false" outlineLevel="0" collapsed="false">
      <c r="K37" s="0" t="str">
        <f aca="true">IF(A37="","",IF(T37="Yes","Void",IF(I37&lt;&gt;"","Closed",IF(AND(H37&lt;&gt;"",TODAY()&gt;H37),"Overdue","Open"))))</f>
        <v/>
      </c>
      <c r="L37" s="0" t="str">
        <f aca="true">IF(A37="","",IF(I37&lt;&gt;"",J37-B37,TODAY()-B37))</f>
        <v/>
      </c>
      <c r="U37" s="13" t="str">
        <f aca="false">IF(A37="","",MAX(B37+0,H37+0,J37+0))</f>
        <v/>
      </c>
      <c r="V37" s="0" t="str">
        <f aca="true">IF(A37="","",IF(K37="Closed","",TODAY()-U37))</f>
        <v/>
      </c>
    </row>
    <row r="38" customFormat="false" ht="15" hidden="false" customHeight="false" outlineLevel="0" collapsed="false">
      <c r="K38" s="0" t="str">
        <f aca="true">IF(A38="","",IF(T38="Yes","Void",IF(I38&lt;&gt;"","Closed",IF(AND(H38&lt;&gt;"",TODAY()&gt;H38),"Overdue","Open"))))</f>
        <v/>
      </c>
      <c r="L38" s="0" t="str">
        <f aca="true">IF(A38="","",IF(I38&lt;&gt;"",J38-B38,TODAY()-B38))</f>
        <v/>
      </c>
      <c r="U38" s="13" t="str">
        <f aca="false">IF(A38="","",MAX(B38+0,H38+0,J38+0))</f>
        <v/>
      </c>
      <c r="V38" s="0" t="str">
        <f aca="true">IF(A38="","",IF(K38="Closed","",TODAY()-U38))</f>
        <v/>
      </c>
    </row>
    <row r="39" customFormat="false" ht="15" hidden="false" customHeight="false" outlineLevel="0" collapsed="false">
      <c r="K39" s="0" t="str">
        <f aca="true">IF(A39="","",IF(T39="Yes","Void",IF(I39&lt;&gt;"","Closed",IF(AND(H39&lt;&gt;"",TODAY()&gt;H39),"Overdue","Open"))))</f>
        <v/>
      </c>
      <c r="L39" s="0" t="str">
        <f aca="true">IF(A39="","",IF(I39&lt;&gt;"",J39-B39,TODAY()-B39))</f>
        <v/>
      </c>
      <c r="U39" s="13" t="str">
        <f aca="false">IF(A39="","",MAX(B39+0,H39+0,J39+0))</f>
        <v/>
      </c>
      <c r="V39" s="0" t="str">
        <f aca="true">IF(A39="","",IF(K39="Closed","",TODAY()-U39))</f>
        <v/>
      </c>
    </row>
    <row r="40" customFormat="false" ht="15" hidden="false" customHeight="false" outlineLevel="0" collapsed="false">
      <c r="K40" s="0" t="str">
        <f aca="true">IF(A40="","",IF(T40="Yes","Void",IF(I40&lt;&gt;"","Closed",IF(AND(H40&lt;&gt;"",TODAY()&gt;H40),"Overdue","Open"))))</f>
        <v/>
      </c>
      <c r="L40" s="0" t="str">
        <f aca="true">IF(A40="","",IF(I40&lt;&gt;"",J40-B40,TODAY()-B40))</f>
        <v/>
      </c>
      <c r="U40" s="13" t="str">
        <f aca="false">IF(A40="","",MAX(B40+0,H40+0,J40+0))</f>
        <v/>
      </c>
      <c r="V40" s="0" t="str">
        <f aca="true">IF(A40="","",IF(K40="Closed","",TODAY()-U40))</f>
        <v/>
      </c>
    </row>
    <row r="41" customFormat="false" ht="15" hidden="false" customHeight="false" outlineLevel="0" collapsed="false">
      <c r="K41" s="0" t="str">
        <f aca="true">IF(A41="","",IF(T41="Yes","Void",IF(I41&lt;&gt;"","Closed",IF(AND(H41&lt;&gt;"",TODAY()&gt;H41),"Overdue","Open"))))</f>
        <v/>
      </c>
      <c r="L41" s="0" t="str">
        <f aca="true">IF(A41="","",IF(I41&lt;&gt;"",J41-B41,TODAY()-B41))</f>
        <v/>
      </c>
      <c r="U41" s="13" t="str">
        <f aca="false">IF(A41="","",MAX(B41+0,H41+0,J41+0))</f>
        <v/>
      </c>
      <c r="V41" s="0" t="str">
        <f aca="true">IF(A41="","",IF(K41="Closed","",TODAY()-U41))</f>
        <v/>
      </c>
    </row>
    <row r="42" customFormat="false" ht="15" hidden="false" customHeight="false" outlineLevel="0" collapsed="false">
      <c r="K42" s="0" t="str">
        <f aca="true">IF(A42="","",IF(T42="Yes","Void",IF(I42&lt;&gt;"","Closed",IF(AND(H42&lt;&gt;"",TODAY()&gt;H42),"Overdue","Open"))))</f>
        <v/>
      </c>
      <c r="L42" s="0" t="str">
        <f aca="true">IF(A42="","",IF(I42&lt;&gt;"",J42-B42,TODAY()-B42))</f>
        <v/>
      </c>
      <c r="U42" s="13" t="str">
        <f aca="false">IF(A42="","",MAX(B42+0,H42+0,J42+0))</f>
        <v/>
      </c>
      <c r="V42" s="0" t="str">
        <f aca="true">IF(A42="","",IF(K42="Closed","",TODAY()-U42))</f>
        <v/>
      </c>
    </row>
    <row r="43" customFormat="false" ht="15" hidden="false" customHeight="false" outlineLevel="0" collapsed="false">
      <c r="K43" s="0" t="str">
        <f aca="true">IF(A43="","",IF(T43="Yes","Void",IF(I43&lt;&gt;"","Closed",IF(AND(H43&lt;&gt;"",TODAY()&gt;H43),"Overdue","Open"))))</f>
        <v/>
      </c>
      <c r="L43" s="0" t="str">
        <f aca="true">IF(A43="","",IF(I43&lt;&gt;"",J43-B43,TODAY()-B43))</f>
        <v/>
      </c>
      <c r="U43" s="13" t="str">
        <f aca="false">IF(A43="","",MAX(B43+0,H43+0,J43+0))</f>
        <v/>
      </c>
      <c r="V43" s="0" t="str">
        <f aca="true">IF(A43="","",IF(K43="Closed","",TODAY()-U43))</f>
        <v/>
      </c>
    </row>
    <row r="44" customFormat="false" ht="15" hidden="false" customHeight="false" outlineLevel="0" collapsed="false">
      <c r="K44" s="0" t="str">
        <f aca="true">IF(A44="","",IF(T44="Yes","Void",IF(I44&lt;&gt;"","Closed",IF(AND(H44&lt;&gt;"",TODAY()&gt;H44),"Overdue","Open"))))</f>
        <v/>
      </c>
      <c r="L44" s="0" t="str">
        <f aca="true">IF(A44="","",IF(I44&lt;&gt;"",J44-B44,TODAY()-B44))</f>
        <v/>
      </c>
      <c r="U44" s="13" t="str">
        <f aca="false">IF(A44="","",MAX(B44+0,H44+0,J44+0))</f>
        <v/>
      </c>
      <c r="V44" s="0" t="str">
        <f aca="true">IF(A44="","",IF(K44="Closed","",TODAY()-U44))</f>
        <v/>
      </c>
    </row>
    <row r="45" customFormat="false" ht="15" hidden="false" customHeight="false" outlineLevel="0" collapsed="false">
      <c r="K45" s="0" t="str">
        <f aca="true">IF(A45="","",IF(T45="Yes","Void",IF(I45&lt;&gt;"","Closed",IF(AND(H45&lt;&gt;"",TODAY()&gt;H45),"Overdue","Open"))))</f>
        <v/>
      </c>
      <c r="L45" s="0" t="str">
        <f aca="true">IF(A45="","",IF(I45&lt;&gt;"",J45-B45,TODAY()-B45))</f>
        <v/>
      </c>
      <c r="U45" s="13" t="str">
        <f aca="false">IF(A45="","",MAX(B45+0,H45+0,J45+0))</f>
        <v/>
      </c>
      <c r="V45" s="0" t="str">
        <f aca="true">IF(A45="","",IF(K45="Closed","",TODAY()-U45))</f>
        <v/>
      </c>
    </row>
    <row r="46" customFormat="false" ht="15" hidden="false" customHeight="false" outlineLevel="0" collapsed="false">
      <c r="K46" s="0" t="str">
        <f aca="true">IF(A46="","",IF(T46="Yes","Void",IF(I46&lt;&gt;"","Closed",IF(AND(H46&lt;&gt;"",TODAY()&gt;H46),"Overdue","Open"))))</f>
        <v/>
      </c>
      <c r="L46" s="0" t="str">
        <f aca="true">IF(A46="","",IF(I46&lt;&gt;"",J46-B46,TODAY()-B46))</f>
        <v/>
      </c>
      <c r="U46" s="13" t="str">
        <f aca="false">IF(A46="","",MAX(B46+0,H46+0,J46+0))</f>
        <v/>
      </c>
      <c r="V46" s="0" t="str">
        <f aca="true">IF(A46="","",IF(K46="Closed","",TODAY()-U46))</f>
        <v/>
      </c>
    </row>
    <row r="47" customFormat="false" ht="15" hidden="false" customHeight="false" outlineLevel="0" collapsed="false">
      <c r="K47" s="0" t="str">
        <f aca="true">IF(A47="","",IF(T47="Yes","Void",IF(I47&lt;&gt;"","Closed",IF(AND(H47&lt;&gt;"",TODAY()&gt;H47),"Overdue","Open"))))</f>
        <v/>
      </c>
      <c r="L47" s="0" t="str">
        <f aca="true">IF(A47="","",IF(I47&lt;&gt;"",J47-B47,TODAY()-B47))</f>
        <v/>
      </c>
      <c r="U47" s="13" t="str">
        <f aca="false">IF(A47="","",MAX(B47+0,H47+0,J47+0))</f>
        <v/>
      </c>
      <c r="V47" s="0" t="str">
        <f aca="true">IF(A47="","",IF(K47="Closed","",TODAY()-U47))</f>
        <v/>
      </c>
    </row>
    <row r="48" customFormat="false" ht="15" hidden="false" customHeight="false" outlineLevel="0" collapsed="false">
      <c r="K48" s="0" t="str">
        <f aca="true">IF(A48="","",IF(T48="Yes","Void",IF(I48&lt;&gt;"","Closed",IF(AND(H48&lt;&gt;"",TODAY()&gt;H48),"Overdue","Open"))))</f>
        <v/>
      </c>
      <c r="L48" s="0" t="str">
        <f aca="true">IF(A48="","",IF(I48&lt;&gt;"",J48-B48,TODAY()-B48))</f>
        <v/>
      </c>
      <c r="U48" s="13" t="str">
        <f aca="false">IF(A48="","",MAX(B48+0,H48+0,J48+0))</f>
        <v/>
      </c>
      <c r="V48" s="0" t="str">
        <f aca="true">IF(A48="","",IF(K48="Closed","",TODAY()-U48))</f>
        <v/>
      </c>
    </row>
    <row r="49" customFormat="false" ht="15" hidden="false" customHeight="false" outlineLevel="0" collapsed="false">
      <c r="K49" s="0" t="str">
        <f aca="true">IF(A49="","",IF(T49="Yes","Void",IF(I49&lt;&gt;"","Closed",IF(AND(H49&lt;&gt;"",TODAY()&gt;H49),"Overdue","Open"))))</f>
        <v/>
      </c>
      <c r="L49" s="0" t="str">
        <f aca="true">IF(A49="","",IF(I49&lt;&gt;"",J49-B49,TODAY()-B49))</f>
        <v/>
      </c>
      <c r="U49" s="13" t="str">
        <f aca="false">IF(A49="","",MAX(B49+0,H49+0,J49+0))</f>
        <v/>
      </c>
      <c r="V49" s="0" t="str">
        <f aca="true">IF(A49="","",IF(K49="Closed","",TODAY()-U49))</f>
        <v/>
      </c>
    </row>
    <row r="50" customFormat="false" ht="15" hidden="false" customHeight="false" outlineLevel="0" collapsed="false">
      <c r="K50" s="0" t="str">
        <f aca="true">IF(A50="","",IF(T50="Yes","Void",IF(I50&lt;&gt;"","Closed",IF(AND(H50&lt;&gt;"",TODAY()&gt;H50),"Overdue","Open"))))</f>
        <v/>
      </c>
      <c r="L50" s="0" t="str">
        <f aca="true">IF(A50="","",IF(I50&lt;&gt;"",J50-B50,TODAY()-B50))</f>
        <v/>
      </c>
      <c r="U50" s="13" t="str">
        <f aca="false">IF(A50="","",MAX(B50+0,H50+0,J50+0))</f>
        <v/>
      </c>
      <c r="V50" s="0" t="str">
        <f aca="true">IF(A50="","",IF(K50="Closed","",TODAY()-U50))</f>
        <v/>
      </c>
    </row>
    <row r="51" customFormat="false" ht="15" hidden="false" customHeight="false" outlineLevel="0" collapsed="false">
      <c r="K51" s="0" t="str">
        <f aca="true">IF(A51="","",IF(T51="Yes","Void",IF(I51&lt;&gt;"","Closed",IF(AND(H51&lt;&gt;"",TODAY()&gt;H51),"Overdue","Open"))))</f>
        <v/>
      </c>
      <c r="L51" s="0" t="str">
        <f aca="true">IF(A51="","",IF(I51&lt;&gt;"",J51-B51,TODAY()-B51))</f>
        <v/>
      </c>
      <c r="U51" s="13" t="str">
        <f aca="false">IF(A51="","",MAX(B51+0,H51+0,J51+0))</f>
        <v/>
      </c>
      <c r="V51" s="0" t="str">
        <f aca="true">IF(A51="","",IF(K51="Closed","",TODAY()-U51))</f>
        <v/>
      </c>
    </row>
    <row r="52" customFormat="false" ht="15" hidden="false" customHeight="false" outlineLevel="0" collapsed="false">
      <c r="K52" s="0" t="str">
        <f aca="true">IF(A52="","",IF(T52="Yes","Void",IF(I52&lt;&gt;"","Closed",IF(AND(H52&lt;&gt;"",TODAY()&gt;H52),"Overdue","Open"))))</f>
        <v/>
      </c>
      <c r="L52" s="0" t="str">
        <f aca="true">IF(A52="","",IF(I52&lt;&gt;"",J52-B52,TODAY()-B52))</f>
        <v/>
      </c>
      <c r="U52" s="13" t="str">
        <f aca="false">IF(A52="","",MAX(B52+0,H52+0,J52+0))</f>
        <v/>
      </c>
      <c r="V52" s="0" t="str">
        <f aca="true">IF(A52="","",IF(K52="Closed","",TODAY()-U52))</f>
        <v/>
      </c>
    </row>
    <row r="53" customFormat="false" ht="15" hidden="false" customHeight="false" outlineLevel="0" collapsed="false">
      <c r="K53" s="0" t="str">
        <f aca="true">IF(A53="","",IF(T53="Yes","Void",IF(I53&lt;&gt;"","Closed",IF(AND(H53&lt;&gt;"",TODAY()&gt;H53),"Overdue","Open"))))</f>
        <v/>
      </c>
      <c r="L53" s="0" t="str">
        <f aca="true">IF(A53="","",IF(I53&lt;&gt;"",J53-B53,TODAY()-B53))</f>
        <v/>
      </c>
      <c r="U53" s="13" t="str">
        <f aca="false">IF(A53="","",MAX(B53+0,H53+0,J53+0))</f>
        <v/>
      </c>
      <c r="V53" s="0" t="str">
        <f aca="true">IF(A53="","",IF(K53="Closed","",TODAY()-U53))</f>
        <v/>
      </c>
    </row>
    <row r="54" customFormat="false" ht="15" hidden="false" customHeight="false" outlineLevel="0" collapsed="false">
      <c r="K54" s="0" t="str">
        <f aca="true">IF(A54="","",IF(T54="Yes","Void",IF(I54&lt;&gt;"","Closed",IF(AND(H54&lt;&gt;"",TODAY()&gt;H54),"Overdue","Open"))))</f>
        <v/>
      </c>
      <c r="L54" s="0" t="str">
        <f aca="true">IF(A54="","",IF(I54&lt;&gt;"",J54-B54,TODAY()-B54))</f>
        <v/>
      </c>
      <c r="U54" s="13" t="str">
        <f aca="false">IF(A54="","",MAX(B54+0,H54+0,J54+0))</f>
        <v/>
      </c>
      <c r="V54" s="0" t="str">
        <f aca="true">IF(A54="","",IF(K54="Closed","",TODAY()-U54))</f>
        <v/>
      </c>
    </row>
    <row r="55" customFormat="false" ht="15" hidden="false" customHeight="false" outlineLevel="0" collapsed="false">
      <c r="K55" s="0" t="str">
        <f aca="true">IF(A55="","",IF(T55="Yes","Void",IF(I55&lt;&gt;"","Closed",IF(AND(H55&lt;&gt;"",TODAY()&gt;H55),"Overdue","Open"))))</f>
        <v/>
      </c>
      <c r="L55" s="0" t="str">
        <f aca="true">IF(A55="","",IF(I55&lt;&gt;"",J55-B55,TODAY()-B55))</f>
        <v/>
      </c>
      <c r="U55" s="13" t="str">
        <f aca="false">IF(A55="","",MAX(B55+0,H55+0,J55+0))</f>
        <v/>
      </c>
      <c r="V55" s="0" t="str">
        <f aca="true">IF(A55="","",IF(K55="Closed","",TODAY()-U55))</f>
        <v/>
      </c>
    </row>
    <row r="56" customFormat="false" ht="15" hidden="false" customHeight="false" outlineLevel="0" collapsed="false">
      <c r="K56" s="0" t="str">
        <f aca="true">IF(A56="","",IF(T56="Yes","Void",IF(I56&lt;&gt;"","Closed",IF(AND(H56&lt;&gt;"",TODAY()&gt;H56),"Overdue","Open"))))</f>
        <v/>
      </c>
      <c r="L56" s="0" t="str">
        <f aca="true">IF(A56="","",IF(I56&lt;&gt;"",J56-B56,TODAY()-B56))</f>
        <v/>
      </c>
      <c r="U56" s="13" t="str">
        <f aca="false">IF(A56="","",MAX(B56+0,H56+0,J56+0))</f>
        <v/>
      </c>
      <c r="V56" s="0" t="str">
        <f aca="true">IF(A56="","",IF(K56="Closed","",TODAY()-U56))</f>
        <v/>
      </c>
    </row>
    <row r="57" customFormat="false" ht="15" hidden="false" customHeight="false" outlineLevel="0" collapsed="false">
      <c r="K57" s="0" t="str">
        <f aca="true">IF(A57="","",IF(T57="Yes","Void",IF(I57&lt;&gt;"","Closed",IF(AND(H57&lt;&gt;"",TODAY()&gt;H57),"Overdue","Open"))))</f>
        <v/>
      </c>
      <c r="L57" s="0" t="str">
        <f aca="true">IF(A57="","",IF(I57&lt;&gt;"",J57-B57,TODAY()-B57))</f>
        <v/>
      </c>
      <c r="U57" s="13" t="str">
        <f aca="false">IF(A57="","",MAX(B57+0,H57+0,J57+0))</f>
        <v/>
      </c>
      <c r="V57" s="0" t="str">
        <f aca="true">IF(A57="","",IF(K57="Closed","",TODAY()-U57))</f>
        <v/>
      </c>
    </row>
    <row r="58" customFormat="false" ht="15" hidden="false" customHeight="false" outlineLevel="0" collapsed="false">
      <c r="K58" s="0" t="str">
        <f aca="true">IF(A58="","",IF(T58="Yes","Void",IF(I58&lt;&gt;"","Closed",IF(AND(H58&lt;&gt;"",TODAY()&gt;H58),"Overdue","Open"))))</f>
        <v/>
      </c>
      <c r="L58" s="0" t="str">
        <f aca="true">IF(A58="","",IF(I58&lt;&gt;"",J58-B58,TODAY()-B58))</f>
        <v/>
      </c>
      <c r="U58" s="13" t="str">
        <f aca="false">IF(A58="","",MAX(B58+0,H58+0,J58+0))</f>
        <v/>
      </c>
      <c r="V58" s="0" t="str">
        <f aca="true">IF(A58="","",IF(K58="Closed","",TODAY()-U58))</f>
        <v/>
      </c>
    </row>
    <row r="59" customFormat="false" ht="15" hidden="false" customHeight="false" outlineLevel="0" collapsed="false">
      <c r="K59" s="0" t="str">
        <f aca="true">IF(A59="","",IF(T59="Yes","Void",IF(I59&lt;&gt;"","Closed",IF(AND(H59&lt;&gt;"",TODAY()&gt;H59),"Overdue","Open"))))</f>
        <v/>
      </c>
      <c r="L59" s="0" t="str">
        <f aca="true">IF(A59="","",IF(I59&lt;&gt;"",J59-B59,TODAY()-B59))</f>
        <v/>
      </c>
      <c r="U59" s="13" t="str">
        <f aca="false">IF(A59="","",MAX(B59+0,H59+0,J59+0))</f>
        <v/>
      </c>
      <c r="V59" s="0" t="str">
        <f aca="true">IF(A59="","",IF(K59="Closed","",TODAY()-U59))</f>
        <v/>
      </c>
    </row>
    <row r="60" customFormat="false" ht="15" hidden="false" customHeight="false" outlineLevel="0" collapsed="false">
      <c r="K60" s="0" t="str">
        <f aca="true">IF(A60="","",IF(T60="Yes","Void",IF(I60&lt;&gt;"","Closed",IF(AND(H60&lt;&gt;"",TODAY()&gt;H60),"Overdue","Open"))))</f>
        <v/>
      </c>
      <c r="L60" s="0" t="str">
        <f aca="true">IF(A60="","",IF(I60&lt;&gt;"",J60-B60,TODAY()-B60))</f>
        <v/>
      </c>
      <c r="U60" s="13" t="str">
        <f aca="false">IF(A60="","",MAX(B60+0,H60+0,J60+0))</f>
        <v/>
      </c>
      <c r="V60" s="0" t="str">
        <f aca="true">IF(A60="","",IF(K60="Closed","",TODAY()-U60))</f>
        <v/>
      </c>
    </row>
    <row r="61" customFormat="false" ht="15" hidden="false" customHeight="false" outlineLevel="0" collapsed="false">
      <c r="K61" s="0" t="str">
        <f aca="true">IF(A61="","",IF(T61="Yes","Void",IF(I61&lt;&gt;"","Closed",IF(AND(H61&lt;&gt;"",TODAY()&gt;H61),"Overdue","Open"))))</f>
        <v/>
      </c>
      <c r="L61" s="0" t="str">
        <f aca="true">IF(A61="","",IF(I61&lt;&gt;"",J61-B61,TODAY()-B61))</f>
        <v/>
      </c>
      <c r="U61" s="13" t="str">
        <f aca="false">IF(A61="","",MAX(B61+0,H61+0,J61+0))</f>
        <v/>
      </c>
      <c r="V61" s="0" t="str">
        <f aca="true">IF(A61="","",IF(K61="Closed","",TODAY()-U61))</f>
        <v/>
      </c>
    </row>
    <row r="62" customFormat="false" ht="15" hidden="false" customHeight="false" outlineLevel="0" collapsed="false">
      <c r="K62" s="0" t="str">
        <f aca="true">IF(A62="","",IF(T62="Yes","Void",IF(I62&lt;&gt;"","Closed",IF(AND(H62&lt;&gt;"",TODAY()&gt;H62),"Overdue","Open"))))</f>
        <v/>
      </c>
      <c r="L62" s="0" t="str">
        <f aca="true">IF(A62="","",IF(I62&lt;&gt;"",J62-B62,TODAY()-B62))</f>
        <v/>
      </c>
      <c r="U62" s="13" t="str">
        <f aca="false">IF(A62="","",MAX(B62+0,H62+0,J62+0))</f>
        <v/>
      </c>
      <c r="V62" s="0" t="str">
        <f aca="true">IF(A62="","",IF(K62="Closed","",TODAY()-U62))</f>
        <v/>
      </c>
    </row>
    <row r="63" customFormat="false" ht="15" hidden="false" customHeight="false" outlineLevel="0" collapsed="false">
      <c r="K63" s="0" t="str">
        <f aca="true">IF(A63="","",IF(T63="Yes","Void",IF(I63&lt;&gt;"","Closed",IF(AND(H63&lt;&gt;"",TODAY()&gt;H63),"Overdue","Open"))))</f>
        <v/>
      </c>
      <c r="L63" s="0" t="str">
        <f aca="true">IF(A63="","",IF(I63&lt;&gt;"",J63-B63,TODAY()-B63))</f>
        <v/>
      </c>
      <c r="U63" s="13" t="str">
        <f aca="false">IF(A63="","",MAX(B63+0,H63+0,J63+0))</f>
        <v/>
      </c>
      <c r="V63" s="0" t="str">
        <f aca="true">IF(A63="","",IF(K63="Closed","",TODAY()-U63))</f>
        <v/>
      </c>
    </row>
    <row r="64" customFormat="false" ht="15" hidden="false" customHeight="false" outlineLevel="0" collapsed="false">
      <c r="K64" s="0" t="str">
        <f aca="true">IF(A64="","",IF(T64="Yes","Void",IF(I64&lt;&gt;"","Closed",IF(AND(H64&lt;&gt;"",TODAY()&gt;H64),"Overdue","Open"))))</f>
        <v/>
      </c>
      <c r="L64" s="0" t="str">
        <f aca="true">IF(A64="","",IF(I64&lt;&gt;"",J64-B64,TODAY()-B64))</f>
        <v/>
      </c>
      <c r="U64" s="13" t="str">
        <f aca="false">IF(A64="","",MAX(B64+0,H64+0,J64+0))</f>
        <v/>
      </c>
      <c r="V64" s="0" t="str">
        <f aca="true">IF(A64="","",IF(K64="Closed","",TODAY()-U64))</f>
        <v/>
      </c>
    </row>
    <row r="65" customFormat="false" ht="15" hidden="false" customHeight="false" outlineLevel="0" collapsed="false">
      <c r="K65" s="0" t="str">
        <f aca="true">IF(A65="","",IF(T65="Yes","Void",IF(I65&lt;&gt;"","Closed",IF(AND(H65&lt;&gt;"",TODAY()&gt;H65),"Overdue","Open"))))</f>
        <v/>
      </c>
      <c r="L65" s="0" t="str">
        <f aca="true">IF(A65="","",IF(I65&lt;&gt;"",J65-B65,TODAY()-B65))</f>
        <v/>
      </c>
      <c r="U65" s="13" t="str">
        <f aca="false">IF(A65="","",MAX(B65+0,H65+0,J65+0))</f>
        <v/>
      </c>
      <c r="V65" s="0" t="str">
        <f aca="true">IF(A65="","",IF(K65="Closed","",TODAY()-U65))</f>
        <v/>
      </c>
    </row>
    <row r="66" customFormat="false" ht="15" hidden="false" customHeight="false" outlineLevel="0" collapsed="false">
      <c r="K66" s="0" t="str">
        <f aca="true">IF(A66="","",IF(T66="Yes","Void",IF(I66&lt;&gt;"","Closed",IF(AND(H66&lt;&gt;"",TODAY()&gt;H66),"Overdue","Open"))))</f>
        <v/>
      </c>
      <c r="L66" s="0" t="str">
        <f aca="true">IF(A66="","",IF(I66&lt;&gt;"",J66-B66,TODAY()-B66))</f>
        <v/>
      </c>
      <c r="U66" s="13" t="str">
        <f aca="false">IF(A66="","",MAX(B66+0,H66+0,J66+0))</f>
        <v/>
      </c>
      <c r="V66" s="0" t="str">
        <f aca="true">IF(A66="","",IF(K66="Closed","",TODAY()-U66))</f>
        <v/>
      </c>
    </row>
    <row r="67" customFormat="false" ht="15" hidden="false" customHeight="false" outlineLevel="0" collapsed="false">
      <c r="K67" s="0" t="str">
        <f aca="true">IF(A67="","",IF(T67="Yes","Void",IF(I67&lt;&gt;"","Closed",IF(AND(H67&lt;&gt;"",TODAY()&gt;H67),"Overdue","Open"))))</f>
        <v/>
      </c>
      <c r="L67" s="0" t="str">
        <f aca="true">IF(A67="","",IF(I67&lt;&gt;"",J67-B67,TODAY()-B67))</f>
        <v/>
      </c>
      <c r="U67" s="13" t="str">
        <f aca="false">IF(A67="","",MAX(B67+0,H67+0,J67+0))</f>
        <v/>
      </c>
      <c r="V67" s="0" t="str">
        <f aca="true">IF(A67="","",IF(K67="Closed","",TODAY()-U67))</f>
        <v/>
      </c>
    </row>
    <row r="68" customFormat="false" ht="15" hidden="false" customHeight="false" outlineLevel="0" collapsed="false">
      <c r="K68" s="0" t="str">
        <f aca="true">IF(A68="","",IF(T68="Yes","Void",IF(I68&lt;&gt;"","Closed",IF(AND(H68&lt;&gt;"",TODAY()&gt;H68),"Overdue","Open"))))</f>
        <v/>
      </c>
      <c r="L68" s="0" t="str">
        <f aca="true">IF(A68="","",IF(I68&lt;&gt;"",J68-B68,TODAY()-B68))</f>
        <v/>
      </c>
      <c r="U68" s="13" t="str">
        <f aca="false">IF(A68="","",MAX(B68+0,H68+0,J68+0))</f>
        <v/>
      </c>
      <c r="V68" s="0" t="str">
        <f aca="true">IF(A68="","",IF(K68="Closed","",TODAY()-U68))</f>
        <v/>
      </c>
    </row>
    <row r="69" customFormat="false" ht="15" hidden="false" customHeight="false" outlineLevel="0" collapsed="false">
      <c r="K69" s="0" t="str">
        <f aca="true">IF(A69="","",IF(T69="Yes","Void",IF(I69&lt;&gt;"","Closed",IF(AND(H69&lt;&gt;"",TODAY()&gt;H69),"Overdue","Open"))))</f>
        <v/>
      </c>
      <c r="L69" s="0" t="str">
        <f aca="true">IF(A69="","",IF(I69&lt;&gt;"",J69-B69,TODAY()-B69))</f>
        <v/>
      </c>
      <c r="U69" s="13" t="str">
        <f aca="false">IF(A69="","",MAX(B69+0,H69+0,J69+0))</f>
        <v/>
      </c>
      <c r="V69" s="0" t="str">
        <f aca="true">IF(A69="","",IF(K69="Closed","",TODAY()-U69))</f>
        <v/>
      </c>
    </row>
    <row r="70" customFormat="false" ht="15" hidden="false" customHeight="false" outlineLevel="0" collapsed="false">
      <c r="K70" s="0" t="str">
        <f aca="true">IF(A70="","",IF(T70="Yes","Void",IF(I70&lt;&gt;"","Closed",IF(AND(H70&lt;&gt;"",TODAY()&gt;H70),"Overdue","Open"))))</f>
        <v/>
      </c>
      <c r="L70" s="0" t="str">
        <f aca="true">IF(A70="","",IF(I70&lt;&gt;"",J70-B70,TODAY()-B70))</f>
        <v/>
      </c>
      <c r="U70" s="13" t="str">
        <f aca="false">IF(A70="","",MAX(B70+0,H70+0,J70+0))</f>
        <v/>
      </c>
      <c r="V70" s="0" t="str">
        <f aca="true">IF(A70="","",IF(K70="Closed","",TODAY()-U70))</f>
        <v/>
      </c>
    </row>
    <row r="71" customFormat="false" ht="15" hidden="false" customHeight="false" outlineLevel="0" collapsed="false">
      <c r="K71" s="0" t="str">
        <f aca="true">IF(A71="","",IF(T71="Yes","Void",IF(I71&lt;&gt;"","Closed",IF(AND(H71&lt;&gt;"",TODAY()&gt;H71),"Overdue","Open"))))</f>
        <v/>
      </c>
      <c r="L71" s="0" t="str">
        <f aca="true">IF(A71="","",IF(I71&lt;&gt;"",J71-B71,TODAY()-B71))</f>
        <v/>
      </c>
      <c r="U71" s="13" t="str">
        <f aca="false">IF(A71="","",MAX(B71+0,H71+0,J71+0))</f>
        <v/>
      </c>
      <c r="V71" s="0" t="str">
        <f aca="true">IF(A71="","",IF(K71="Closed","",TODAY()-U71))</f>
        <v/>
      </c>
    </row>
    <row r="72" customFormat="false" ht="15" hidden="false" customHeight="false" outlineLevel="0" collapsed="false">
      <c r="K72" s="0" t="str">
        <f aca="true">IF(A72="","",IF(T72="Yes","Void",IF(I72&lt;&gt;"","Closed",IF(AND(H72&lt;&gt;"",TODAY()&gt;H72),"Overdue","Open"))))</f>
        <v/>
      </c>
      <c r="L72" s="0" t="str">
        <f aca="true">IF(A72="","",IF(I72&lt;&gt;"",J72-B72,TODAY()-B72))</f>
        <v/>
      </c>
      <c r="U72" s="13" t="str">
        <f aca="false">IF(A72="","",MAX(B72+0,H72+0,J72+0))</f>
        <v/>
      </c>
      <c r="V72" s="0" t="str">
        <f aca="true">IF(A72="","",IF(K72="Closed","",TODAY()-U72))</f>
        <v/>
      </c>
    </row>
    <row r="73" customFormat="false" ht="15" hidden="false" customHeight="false" outlineLevel="0" collapsed="false">
      <c r="K73" s="0" t="str">
        <f aca="true">IF(A73="","",IF(T73="Yes","Void",IF(I73&lt;&gt;"","Closed",IF(AND(H73&lt;&gt;"",TODAY()&gt;H73),"Overdue","Open"))))</f>
        <v/>
      </c>
      <c r="L73" s="0" t="str">
        <f aca="true">IF(A73="","",IF(I73&lt;&gt;"",J73-B73,TODAY()-B73))</f>
        <v/>
      </c>
      <c r="U73" s="13" t="str">
        <f aca="false">IF(A73="","",MAX(B73+0,H73+0,J73+0))</f>
        <v/>
      </c>
      <c r="V73" s="0" t="str">
        <f aca="true">IF(A73="","",IF(K73="Closed","",TODAY()-U73))</f>
        <v/>
      </c>
    </row>
    <row r="74" customFormat="false" ht="15" hidden="false" customHeight="false" outlineLevel="0" collapsed="false">
      <c r="K74" s="0" t="str">
        <f aca="true">IF(A74="","",IF(T74="Yes","Void",IF(I74&lt;&gt;"","Closed",IF(AND(H74&lt;&gt;"",TODAY()&gt;H74),"Overdue","Open"))))</f>
        <v/>
      </c>
      <c r="L74" s="0" t="str">
        <f aca="true">IF(A74="","",IF(I74&lt;&gt;"",J74-B74,TODAY()-B74))</f>
        <v/>
      </c>
      <c r="U74" s="13" t="str">
        <f aca="false">IF(A74="","",MAX(B74+0,H74+0,J74+0))</f>
        <v/>
      </c>
      <c r="V74" s="0" t="str">
        <f aca="true">IF(A74="","",IF(K74="Closed","",TODAY()-U74))</f>
        <v/>
      </c>
    </row>
    <row r="75" customFormat="false" ht="15" hidden="false" customHeight="false" outlineLevel="0" collapsed="false">
      <c r="K75" s="0" t="str">
        <f aca="true">IF(A75="","",IF(T75="Yes","Void",IF(I75&lt;&gt;"","Closed",IF(AND(H75&lt;&gt;"",TODAY()&gt;H75),"Overdue","Open"))))</f>
        <v/>
      </c>
      <c r="L75" s="0" t="str">
        <f aca="true">IF(A75="","",IF(I75&lt;&gt;"",J75-B75,TODAY()-B75))</f>
        <v/>
      </c>
      <c r="U75" s="13" t="str">
        <f aca="false">IF(A75="","",MAX(B75+0,H75+0,J75+0))</f>
        <v/>
      </c>
      <c r="V75" s="0" t="str">
        <f aca="true">IF(A75="","",IF(K75="Closed","",TODAY()-U75))</f>
        <v/>
      </c>
    </row>
    <row r="76" customFormat="false" ht="15" hidden="false" customHeight="false" outlineLevel="0" collapsed="false">
      <c r="K76" s="0" t="str">
        <f aca="true">IF(A76="","",IF(T76="Yes","Void",IF(I76&lt;&gt;"","Closed",IF(AND(H76&lt;&gt;"",TODAY()&gt;H76),"Overdue","Open"))))</f>
        <v/>
      </c>
      <c r="L76" s="0" t="str">
        <f aca="true">IF(A76="","",IF(I76&lt;&gt;"",J76-B76,TODAY()-B76))</f>
        <v/>
      </c>
      <c r="U76" s="13" t="str">
        <f aca="false">IF(A76="","",MAX(B76+0,H76+0,J76+0))</f>
        <v/>
      </c>
      <c r="V76" s="0" t="str">
        <f aca="true">IF(A76="","",IF(K76="Closed","",TODAY()-U76))</f>
        <v/>
      </c>
    </row>
    <row r="77" customFormat="false" ht="15" hidden="false" customHeight="false" outlineLevel="0" collapsed="false">
      <c r="K77" s="0" t="str">
        <f aca="true">IF(A77="","",IF(T77="Yes","Void",IF(I77&lt;&gt;"","Closed",IF(AND(H77&lt;&gt;"",TODAY()&gt;H77),"Overdue","Open"))))</f>
        <v/>
      </c>
      <c r="L77" s="0" t="str">
        <f aca="true">IF(A77="","",IF(I77&lt;&gt;"",J77-B77,TODAY()-B77))</f>
        <v/>
      </c>
      <c r="U77" s="13" t="str">
        <f aca="false">IF(A77="","",MAX(B77+0,H77+0,J77+0))</f>
        <v/>
      </c>
      <c r="V77" s="0" t="str">
        <f aca="true">IF(A77="","",IF(K77="Closed","",TODAY()-U77))</f>
        <v/>
      </c>
    </row>
    <row r="78" customFormat="false" ht="15" hidden="false" customHeight="false" outlineLevel="0" collapsed="false">
      <c r="K78" s="0" t="str">
        <f aca="true">IF(A78="","",IF(T78="Yes","Void",IF(I78&lt;&gt;"","Closed",IF(AND(H78&lt;&gt;"",TODAY()&gt;H78),"Overdue","Open"))))</f>
        <v/>
      </c>
      <c r="L78" s="0" t="str">
        <f aca="true">IF(A78="","",IF(I78&lt;&gt;"",J78-B78,TODAY()-B78))</f>
        <v/>
      </c>
      <c r="U78" s="13" t="str">
        <f aca="false">IF(A78="","",MAX(B78+0,H78+0,J78+0))</f>
        <v/>
      </c>
      <c r="V78" s="0" t="str">
        <f aca="true">IF(A78="","",IF(K78="Closed","",TODAY()-U78))</f>
        <v/>
      </c>
    </row>
    <row r="79" customFormat="false" ht="15" hidden="false" customHeight="false" outlineLevel="0" collapsed="false">
      <c r="K79" s="0" t="str">
        <f aca="true">IF(A79="","",IF(T79="Yes","Void",IF(I79&lt;&gt;"","Closed",IF(AND(H79&lt;&gt;"",TODAY()&gt;H79),"Overdue","Open"))))</f>
        <v/>
      </c>
      <c r="L79" s="0" t="str">
        <f aca="true">IF(A79="","",IF(I79&lt;&gt;"",J79-B79,TODAY()-B79))</f>
        <v/>
      </c>
      <c r="U79" s="13" t="str">
        <f aca="false">IF(A79="","",MAX(B79+0,H79+0,J79+0))</f>
        <v/>
      </c>
      <c r="V79" s="0" t="str">
        <f aca="true">IF(A79="","",IF(K79="Closed","",TODAY()-U79))</f>
        <v/>
      </c>
    </row>
    <row r="80" customFormat="false" ht="15" hidden="false" customHeight="false" outlineLevel="0" collapsed="false">
      <c r="K80" s="0" t="str">
        <f aca="true">IF(A80="","",IF(T80="Yes","Void",IF(I80&lt;&gt;"","Closed",IF(AND(H80&lt;&gt;"",TODAY()&gt;H80),"Overdue","Open"))))</f>
        <v/>
      </c>
      <c r="L80" s="0" t="str">
        <f aca="true">IF(A80="","",IF(I80&lt;&gt;"",J80-B80,TODAY()-B80))</f>
        <v/>
      </c>
      <c r="U80" s="13" t="str">
        <f aca="false">IF(A80="","",MAX(B80+0,H80+0,J80+0))</f>
        <v/>
      </c>
      <c r="V80" s="0" t="str">
        <f aca="true">IF(A80="","",IF(K80="Closed","",TODAY()-U80))</f>
        <v/>
      </c>
    </row>
    <row r="81" customFormat="false" ht="15" hidden="false" customHeight="false" outlineLevel="0" collapsed="false">
      <c r="K81" s="0" t="str">
        <f aca="true">IF(A81="","",IF(T81="Yes","Void",IF(I81&lt;&gt;"","Closed",IF(AND(H81&lt;&gt;"",TODAY()&gt;H81),"Overdue","Open"))))</f>
        <v/>
      </c>
      <c r="L81" s="0" t="str">
        <f aca="true">IF(A81="","",IF(I81&lt;&gt;"",J81-B81,TODAY()-B81))</f>
        <v/>
      </c>
      <c r="U81" s="13" t="str">
        <f aca="false">IF(A81="","",MAX(B81+0,H81+0,J81+0))</f>
        <v/>
      </c>
      <c r="V81" s="0" t="str">
        <f aca="true">IF(A81="","",IF(K81="Closed","",TODAY()-U81))</f>
        <v/>
      </c>
    </row>
    <row r="82" customFormat="false" ht="15" hidden="false" customHeight="false" outlineLevel="0" collapsed="false">
      <c r="K82" s="0" t="str">
        <f aca="true">IF(A82="","",IF(T82="Yes","Void",IF(I82&lt;&gt;"","Closed",IF(AND(H82&lt;&gt;"",TODAY()&gt;H82),"Overdue","Open"))))</f>
        <v/>
      </c>
      <c r="L82" s="0" t="str">
        <f aca="true">IF(A82="","",IF(I82&lt;&gt;"",J82-B82,TODAY()-B82))</f>
        <v/>
      </c>
      <c r="U82" s="13" t="str">
        <f aca="false">IF(A82="","",MAX(B82+0,H82+0,J82+0))</f>
        <v/>
      </c>
      <c r="V82" s="0" t="str">
        <f aca="true">IF(A82="","",IF(K82="Closed","",TODAY()-U82))</f>
        <v/>
      </c>
    </row>
    <row r="83" customFormat="false" ht="15" hidden="false" customHeight="false" outlineLevel="0" collapsed="false">
      <c r="K83" s="0" t="str">
        <f aca="true">IF(A83="","",IF(T83="Yes","Void",IF(I83&lt;&gt;"","Closed",IF(AND(H83&lt;&gt;"",TODAY()&gt;H83),"Overdue","Open"))))</f>
        <v/>
      </c>
      <c r="L83" s="0" t="str">
        <f aca="true">IF(A83="","",IF(I83&lt;&gt;"",J83-B83,TODAY()-B83))</f>
        <v/>
      </c>
      <c r="U83" s="13" t="str">
        <f aca="false">IF(A83="","",MAX(B83+0,H83+0,J83+0))</f>
        <v/>
      </c>
      <c r="V83" s="0" t="str">
        <f aca="true">IF(A83="","",IF(K83="Closed","",TODAY()-U83))</f>
        <v/>
      </c>
    </row>
    <row r="84" customFormat="false" ht="15" hidden="false" customHeight="false" outlineLevel="0" collapsed="false">
      <c r="K84" s="0" t="str">
        <f aca="true">IF(A84="","",IF(T84="Yes","Void",IF(I84&lt;&gt;"","Closed",IF(AND(H84&lt;&gt;"",TODAY()&gt;H84),"Overdue","Open"))))</f>
        <v/>
      </c>
      <c r="L84" s="0" t="str">
        <f aca="true">IF(A84="","",IF(I84&lt;&gt;"",J84-B84,TODAY()-B84))</f>
        <v/>
      </c>
      <c r="U84" s="13" t="str">
        <f aca="false">IF(A84="","",MAX(B84+0,H84+0,J84+0))</f>
        <v/>
      </c>
      <c r="V84" s="0" t="str">
        <f aca="true">IF(A84="","",IF(K84="Closed","",TODAY()-U84))</f>
        <v/>
      </c>
    </row>
    <row r="85" customFormat="false" ht="15" hidden="false" customHeight="false" outlineLevel="0" collapsed="false">
      <c r="K85" s="0" t="str">
        <f aca="true">IF(A85="","",IF(T85="Yes","Void",IF(I85&lt;&gt;"","Closed",IF(AND(H85&lt;&gt;"",TODAY()&gt;H85),"Overdue","Open"))))</f>
        <v/>
      </c>
      <c r="L85" s="0" t="str">
        <f aca="true">IF(A85="","",IF(I85&lt;&gt;"",J85-B85,TODAY()-B85))</f>
        <v/>
      </c>
      <c r="U85" s="13" t="str">
        <f aca="false">IF(A85="","",MAX(B85+0,H85+0,J85+0))</f>
        <v/>
      </c>
      <c r="V85" s="0" t="str">
        <f aca="true">IF(A85="","",IF(K85="Closed","",TODAY()-U85))</f>
        <v/>
      </c>
    </row>
    <row r="86" customFormat="false" ht="15" hidden="false" customHeight="false" outlineLevel="0" collapsed="false">
      <c r="K86" s="0" t="str">
        <f aca="true">IF(A86="","",IF(T86="Yes","Void",IF(I86&lt;&gt;"","Closed",IF(AND(H86&lt;&gt;"",TODAY()&gt;H86),"Overdue","Open"))))</f>
        <v/>
      </c>
      <c r="L86" s="0" t="str">
        <f aca="true">IF(A86="","",IF(I86&lt;&gt;"",J86-B86,TODAY()-B86))</f>
        <v/>
      </c>
      <c r="U86" s="13" t="str">
        <f aca="false">IF(A86="","",MAX(B86+0,H86+0,J86+0))</f>
        <v/>
      </c>
      <c r="V86" s="0" t="str">
        <f aca="true">IF(A86="","",IF(K86="Closed","",TODAY()-U86))</f>
        <v/>
      </c>
    </row>
    <row r="87" customFormat="false" ht="15" hidden="false" customHeight="false" outlineLevel="0" collapsed="false">
      <c r="K87" s="0" t="str">
        <f aca="true">IF(A87="","",IF(T87="Yes","Void",IF(I87&lt;&gt;"","Closed",IF(AND(H87&lt;&gt;"",TODAY()&gt;H87),"Overdue","Open"))))</f>
        <v/>
      </c>
      <c r="L87" s="0" t="str">
        <f aca="true">IF(A87="","",IF(I87&lt;&gt;"",J87-B87,TODAY()-B87))</f>
        <v/>
      </c>
      <c r="U87" s="13" t="str">
        <f aca="false">IF(A87="","",MAX(B87+0,H87+0,J87+0))</f>
        <v/>
      </c>
      <c r="V87" s="0" t="str">
        <f aca="true">IF(A87="","",IF(K87="Closed","",TODAY()-U87))</f>
        <v/>
      </c>
    </row>
    <row r="88" customFormat="false" ht="15" hidden="false" customHeight="false" outlineLevel="0" collapsed="false">
      <c r="K88" s="0" t="str">
        <f aca="true">IF(A88="","",IF(T88="Yes","Void",IF(I88&lt;&gt;"","Closed",IF(AND(H88&lt;&gt;"",TODAY()&gt;H88),"Overdue","Open"))))</f>
        <v/>
      </c>
      <c r="L88" s="0" t="str">
        <f aca="true">IF(A88="","",IF(I88&lt;&gt;"",J88-B88,TODAY()-B88))</f>
        <v/>
      </c>
      <c r="U88" s="13" t="str">
        <f aca="false">IF(A88="","",MAX(B88+0,H88+0,J88+0))</f>
        <v/>
      </c>
      <c r="V88" s="0" t="str">
        <f aca="true">IF(A88="","",IF(K88="Closed","",TODAY()-U88))</f>
        <v/>
      </c>
    </row>
    <row r="89" customFormat="false" ht="15" hidden="false" customHeight="false" outlineLevel="0" collapsed="false">
      <c r="K89" s="0" t="str">
        <f aca="true">IF(A89="","",IF(T89="Yes","Void",IF(I89&lt;&gt;"","Closed",IF(AND(H89&lt;&gt;"",TODAY()&gt;H89),"Overdue","Open"))))</f>
        <v/>
      </c>
      <c r="L89" s="0" t="str">
        <f aca="true">IF(A89="","",IF(I89&lt;&gt;"",J89-B89,TODAY()-B89))</f>
        <v/>
      </c>
      <c r="U89" s="13" t="str">
        <f aca="false">IF(A89="","",MAX(B89+0,H89+0,J89+0))</f>
        <v/>
      </c>
      <c r="V89" s="0" t="str">
        <f aca="true">IF(A89="","",IF(K89="Closed","",TODAY()-U89))</f>
        <v/>
      </c>
    </row>
    <row r="90" customFormat="false" ht="15" hidden="false" customHeight="false" outlineLevel="0" collapsed="false">
      <c r="K90" s="0" t="str">
        <f aca="true">IF(A90="","",IF(T90="Yes","Void",IF(I90&lt;&gt;"","Closed",IF(AND(H90&lt;&gt;"",TODAY()&gt;H90),"Overdue","Open"))))</f>
        <v/>
      </c>
      <c r="L90" s="0" t="str">
        <f aca="true">IF(A90="","",IF(I90&lt;&gt;"",J90-B90,TODAY()-B90))</f>
        <v/>
      </c>
      <c r="U90" s="13" t="str">
        <f aca="false">IF(A90="","",MAX(B90+0,H90+0,J90+0))</f>
        <v/>
      </c>
      <c r="V90" s="0" t="str">
        <f aca="true">IF(A90="","",IF(K90="Closed","",TODAY()-U90))</f>
        <v/>
      </c>
    </row>
    <row r="91" customFormat="false" ht="15" hidden="false" customHeight="false" outlineLevel="0" collapsed="false">
      <c r="K91" s="0" t="str">
        <f aca="true">IF(A91="","",IF(T91="Yes","Void",IF(I91&lt;&gt;"","Closed",IF(AND(H91&lt;&gt;"",TODAY()&gt;H91),"Overdue","Open"))))</f>
        <v/>
      </c>
      <c r="L91" s="0" t="str">
        <f aca="true">IF(A91="","",IF(I91&lt;&gt;"",J91-B91,TODAY()-B91))</f>
        <v/>
      </c>
      <c r="U91" s="13" t="str">
        <f aca="false">IF(A91="","",MAX(B91+0,H91+0,J91+0))</f>
        <v/>
      </c>
      <c r="V91" s="0" t="str">
        <f aca="true">IF(A91="","",IF(K91="Closed","",TODAY()-U91))</f>
        <v/>
      </c>
    </row>
    <row r="92" customFormat="false" ht="15" hidden="false" customHeight="false" outlineLevel="0" collapsed="false">
      <c r="K92" s="0" t="str">
        <f aca="true">IF(A92="","",IF(T92="Yes","Void",IF(I92&lt;&gt;"","Closed",IF(AND(H92&lt;&gt;"",TODAY()&gt;H92),"Overdue","Open"))))</f>
        <v/>
      </c>
      <c r="L92" s="0" t="str">
        <f aca="true">IF(A92="","",IF(I92&lt;&gt;"",J92-B92,TODAY()-B92))</f>
        <v/>
      </c>
      <c r="U92" s="13" t="str">
        <f aca="false">IF(A92="","",MAX(B92+0,H92+0,J92+0))</f>
        <v/>
      </c>
      <c r="V92" s="0" t="str">
        <f aca="true">IF(A92="","",IF(K92="Closed","",TODAY()-U92))</f>
        <v/>
      </c>
    </row>
    <row r="93" customFormat="false" ht="15" hidden="false" customHeight="false" outlineLevel="0" collapsed="false">
      <c r="K93" s="0" t="str">
        <f aca="true">IF(A93="","",IF(T93="Yes","Void",IF(I93&lt;&gt;"","Closed",IF(AND(H93&lt;&gt;"",TODAY()&gt;H93),"Overdue","Open"))))</f>
        <v/>
      </c>
      <c r="L93" s="0" t="str">
        <f aca="true">IF(A93="","",IF(I93&lt;&gt;"",J93-B93,TODAY()-B93))</f>
        <v/>
      </c>
      <c r="U93" s="13" t="str">
        <f aca="false">IF(A93="","",MAX(B93+0,H93+0,J93+0))</f>
        <v/>
      </c>
      <c r="V93" s="0" t="str">
        <f aca="true">IF(A93="","",IF(K93="Closed","",TODAY()-U93))</f>
        <v/>
      </c>
    </row>
    <row r="94" customFormat="false" ht="15" hidden="false" customHeight="false" outlineLevel="0" collapsed="false">
      <c r="K94" s="0" t="str">
        <f aca="true">IF(A94="","",IF(T94="Yes","Void",IF(I94&lt;&gt;"","Closed",IF(AND(H94&lt;&gt;"",TODAY()&gt;H94),"Overdue","Open"))))</f>
        <v/>
      </c>
      <c r="L94" s="0" t="str">
        <f aca="true">IF(A94="","",IF(I94&lt;&gt;"",J94-B94,TODAY()-B94))</f>
        <v/>
      </c>
      <c r="U94" s="13" t="str">
        <f aca="false">IF(A94="","",MAX(B94+0,H94+0,J94+0))</f>
        <v/>
      </c>
      <c r="V94" s="0" t="str">
        <f aca="true">IF(A94="","",IF(K94="Closed","",TODAY()-U94))</f>
        <v/>
      </c>
    </row>
    <row r="95" customFormat="false" ht="15" hidden="false" customHeight="false" outlineLevel="0" collapsed="false">
      <c r="K95" s="0" t="str">
        <f aca="true">IF(A95="","",IF(T95="Yes","Void",IF(I95&lt;&gt;"","Closed",IF(AND(H95&lt;&gt;"",TODAY()&gt;H95),"Overdue","Open"))))</f>
        <v/>
      </c>
      <c r="L95" s="0" t="str">
        <f aca="true">IF(A95="","",IF(I95&lt;&gt;"",J95-B95,TODAY()-B95))</f>
        <v/>
      </c>
      <c r="U95" s="13" t="str">
        <f aca="false">IF(A95="","",MAX(B95+0,H95+0,J95+0))</f>
        <v/>
      </c>
      <c r="V95" s="0" t="str">
        <f aca="true">IF(A95="","",IF(K95="Closed","",TODAY()-U95))</f>
        <v/>
      </c>
    </row>
    <row r="96" customFormat="false" ht="15" hidden="false" customHeight="false" outlineLevel="0" collapsed="false">
      <c r="K96" s="0" t="str">
        <f aca="true">IF(A96="","",IF(T96="Yes","Void",IF(I96&lt;&gt;"","Closed",IF(AND(H96&lt;&gt;"",TODAY()&gt;H96),"Overdue","Open"))))</f>
        <v/>
      </c>
      <c r="L96" s="0" t="str">
        <f aca="true">IF(A96="","",IF(I96&lt;&gt;"",J96-B96,TODAY()-B96))</f>
        <v/>
      </c>
      <c r="U96" s="13" t="str">
        <f aca="false">IF(A96="","",MAX(B96+0,H96+0,J96+0))</f>
        <v/>
      </c>
      <c r="V96" s="0" t="str">
        <f aca="true">IF(A96="","",IF(K96="Closed","",TODAY()-U96))</f>
        <v/>
      </c>
    </row>
    <row r="97" customFormat="false" ht="15" hidden="false" customHeight="false" outlineLevel="0" collapsed="false">
      <c r="K97" s="0" t="str">
        <f aca="true">IF(A97="","",IF(T97="Yes","Void",IF(I97&lt;&gt;"","Closed",IF(AND(H97&lt;&gt;"",TODAY()&gt;H97),"Overdue","Open"))))</f>
        <v/>
      </c>
      <c r="L97" s="0" t="str">
        <f aca="true">IF(A97="","",IF(I97&lt;&gt;"",J97-B97,TODAY()-B97))</f>
        <v/>
      </c>
      <c r="U97" s="13" t="str">
        <f aca="false">IF(A97="","",MAX(B97+0,H97+0,J97+0))</f>
        <v/>
      </c>
      <c r="V97" s="0" t="str">
        <f aca="true">IF(A97="","",IF(K97="Closed","",TODAY()-U97))</f>
        <v/>
      </c>
    </row>
    <row r="98" customFormat="false" ht="15" hidden="false" customHeight="false" outlineLevel="0" collapsed="false">
      <c r="K98" s="0" t="str">
        <f aca="true">IF(A98="","",IF(T98="Yes","Void",IF(I98&lt;&gt;"","Closed",IF(AND(H98&lt;&gt;"",TODAY()&gt;H98),"Overdue","Open"))))</f>
        <v/>
      </c>
      <c r="L98" s="0" t="str">
        <f aca="true">IF(A98="","",IF(I98&lt;&gt;"",J98-B98,TODAY()-B98))</f>
        <v/>
      </c>
      <c r="U98" s="13" t="str">
        <f aca="false">IF(A98="","",MAX(B98+0,H98+0,J98+0))</f>
        <v/>
      </c>
      <c r="V98" s="0" t="str">
        <f aca="true">IF(A98="","",IF(K98="Closed","",TODAY()-U98))</f>
        <v/>
      </c>
    </row>
    <row r="99" customFormat="false" ht="15" hidden="false" customHeight="false" outlineLevel="0" collapsed="false">
      <c r="K99" s="0" t="str">
        <f aca="true">IF(A99="","",IF(T99="Yes","Void",IF(I99&lt;&gt;"","Closed",IF(AND(H99&lt;&gt;"",TODAY()&gt;H99),"Overdue","Open"))))</f>
        <v/>
      </c>
      <c r="L99" s="0" t="str">
        <f aca="true">IF(A99="","",IF(I99&lt;&gt;"",J99-B99,TODAY()-B99))</f>
        <v/>
      </c>
      <c r="U99" s="13" t="str">
        <f aca="false">IF(A99="","",MAX(B99+0,H99+0,J99+0))</f>
        <v/>
      </c>
      <c r="V99" s="0" t="str">
        <f aca="true">IF(A99="","",IF(K99="Closed","",TODAY()-U99))</f>
        <v/>
      </c>
    </row>
    <row r="100" customFormat="false" ht="15" hidden="false" customHeight="false" outlineLevel="0" collapsed="false">
      <c r="K100" s="0" t="str">
        <f aca="true">IF(A100="","",IF(T100="Yes","Void",IF(I100&lt;&gt;"","Closed",IF(AND(H100&lt;&gt;"",TODAY()&gt;H100),"Overdue","Open"))))</f>
        <v/>
      </c>
      <c r="L100" s="0" t="str">
        <f aca="true">IF(A100="","",IF(I100&lt;&gt;"",J100-B100,TODAY()-B100))</f>
        <v/>
      </c>
      <c r="U100" s="13" t="str">
        <f aca="false">IF(A100="","",MAX(B100+0,H100+0,J100+0))</f>
        <v/>
      </c>
      <c r="V100" s="0" t="str">
        <f aca="true">IF(A100="","",IF(K100="Closed","",TODAY()-U100))</f>
        <v/>
      </c>
    </row>
    <row r="101" customFormat="false" ht="15" hidden="false" customHeight="false" outlineLevel="0" collapsed="false">
      <c r="K101" s="0" t="str">
        <f aca="true">IF(A101="","",IF(T101="Yes","Void",IF(I101&lt;&gt;"","Closed",IF(AND(H101&lt;&gt;"",TODAY()&gt;H101),"Overdue","Open"))))</f>
        <v/>
      </c>
      <c r="L101" s="0" t="str">
        <f aca="true">IF(A101="","",IF(I101&lt;&gt;"",J101-B101,TODAY()-B101))</f>
        <v/>
      </c>
      <c r="U101" s="13" t="str">
        <f aca="false">IF(A101="","",MAX(B101+0,H101+0,J101+0))</f>
        <v/>
      </c>
      <c r="V101" s="0" t="str">
        <f aca="true">IF(A101="","",IF(K101="Closed","",TODAY()-U101))</f>
        <v/>
      </c>
    </row>
    <row r="102" customFormat="false" ht="15" hidden="false" customHeight="false" outlineLevel="0" collapsed="false">
      <c r="K102" s="0" t="str">
        <f aca="true">IF(A102="","",IF(T102="Yes","Void",IF(I102&lt;&gt;"","Closed",IF(AND(H102&lt;&gt;"",TODAY()&gt;H102),"Overdue","Open"))))</f>
        <v/>
      </c>
      <c r="L102" s="0" t="str">
        <f aca="true">IF(A102="","",IF(I102&lt;&gt;"",J102-B102,TODAY()-B102))</f>
        <v/>
      </c>
      <c r="U102" s="13" t="str">
        <f aca="false">IF(A102="","",MAX(B102+0,H102+0,J102+0))</f>
        <v/>
      </c>
      <c r="V102" s="0" t="str">
        <f aca="true">IF(A102="","",IF(K102="Closed","",TODAY()-U102))</f>
        <v/>
      </c>
    </row>
    <row r="103" customFormat="false" ht="15" hidden="false" customHeight="false" outlineLevel="0" collapsed="false">
      <c r="K103" s="0" t="str">
        <f aca="true">IF(A103="","",IF(T103="Yes","Void",IF(I103&lt;&gt;"","Closed",IF(AND(H103&lt;&gt;"",TODAY()&gt;H103),"Overdue","Open"))))</f>
        <v/>
      </c>
      <c r="L103" s="0" t="str">
        <f aca="true">IF(A103="","",IF(I103&lt;&gt;"",J103-B103,TODAY()-B103))</f>
        <v/>
      </c>
      <c r="U103" s="13" t="str">
        <f aca="false">IF(A103="","",MAX(B103+0,H103+0,J103+0))</f>
        <v/>
      </c>
      <c r="V103" s="0" t="str">
        <f aca="true">IF(A103="","",IF(K103="Closed","",TODAY()-U103))</f>
        <v/>
      </c>
    </row>
    <row r="104" customFormat="false" ht="15" hidden="false" customHeight="false" outlineLevel="0" collapsed="false">
      <c r="K104" s="0" t="str">
        <f aca="true">IF(A104="","",IF(T104="Yes","Void",IF(I104&lt;&gt;"","Closed",IF(AND(H104&lt;&gt;"",TODAY()&gt;H104),"Overdue","Open"))))</f>
        <v/>
      </c>
      <c r="L104" s="0" t="str">
        <f aca="true">IF(A104="","",IF(I104&lt;&gt;"",J104-B104,TODAY()-B104))</f>
        <v/>
      </c>
      <c r="U104" s="13" t="str">
        <f aca="false">IF(A104="","",MAX(B104+0,H104+0,J104+0))</f>
        <v/>
      </c>
      <c r="V104" s="0" t="str">
        <f aca="true">IF(A104="","",IF(K104="Closed","",TODAY()-U104))</f>
        <v/>
      </c>
    </row>
    <row r="105" customFormat="false" ht="15" hidden="false" customHeight="false" outlineLevel="0" collapsed="false">
      <c r="K105" s="0" t="str">
        <f aca="true">IF(A105="","",IF(T105="Yes","Void",IF(I105&lt;&gt;"","Closed",IF(AND(H105&lt;&gt;"",TODAY()&gt;H105),"Overdue","Open"))))</f>
        <v/>
      </c>
      <c r="L105" s="0" t="str">
        <f aca="true">IF(A105="","",IF(I105&lt;&gt;"",J105-B105,TODAY()-B105))</f>
        <v/>
      </c>
      <c r="U105" s="13" t="str">
        <f aca="false">IF(A105="","",MAX(B105+0,H105+0,J105+0))</f>
        <v/>
      </c>
      <c r="V105" s="0" t="str">
        <f aca="true">IF(A105="","",IF(K105="Closed","",TODAY()-U105))</f>
        <v/>
      </c>
    </row>
    <row r="106" customFormat="false" ht="15" hidden="false" customHeight="false" outlineLevel="0" collapsed="false">
      <c r="K106" s="0" t="str">
        <f aca="true">IF(A106="","",IF(T106="Yes","Void",IF(I106&lt;&gt;"","Closed",IF(AND(H106&lt;&gt;"",TODAY()&gt;H106),"Overdue","Open"))))</f>
        <v/>
      </c>
      <c r="L106" s="0" t="str">
        <f aca="true">IF(A106="","",IF(I106&lt;&gt;"",J106-B106,TODAY()-B106))</f>
        <v/>
      </c>
      <c r="U106" s="13" t="str">
        <f aca="false">IF(A106="","",MAX(B106+0,H106+0,J106+0))</f>
        <v/>
      </c>
      <c r="V106" s="0" t="str">
        <f aca="true">IF(A106="","",IF(K106="Closed","",TODAY()-U106))</f>
        <v/>
      </c>
    </row>
    <row r="107" customFormat="false" ht="15" hidden="false" customHeight="false" outlineLevel="0" collapsed="false">
      <c r="K107" s="0" t="str">
        <f aca="true">IF(A107="","",IF(T107="Yes","Void",IF(I107&lt;&gt;"","Closed",IF(AND(H107&lt;&gt;"",TODAY()&gt;H107),"Overdue","Open"))))</f>
        <v/>
      </c>
      <c r="L107" s="0" t="str">
        <f aca="true">IF(A107="","",IF(I107&lt;&gt;"",J107-B107,TODAY()-B107))</f>
        <v/>
      </c>
      <c r="U107" s="13" t="str">
        <f aca="false">IF(A107="","",MAX(B107+0,H107+0,J107+0))</f>
        <v/>
      </c>
      <c r="V107" s="0" t="str">
        <f aca="true">IF(A107="","",IF(K107="Closed","",TODAY()-U107))</f>
        <v/>
      </c>
    </row>
    <row r="108" customFormat="false" ht="15" hidden="false" customHeight="false" outlineLevel="0" collapsed="false">
      <c r="K108" s="0" t="str">
        <f aca="true">IF(A108="","",IF(T108="Yes","Void",IF(I108&lt;&gt;"","Closed",IF(AND(H108&lt;&gt;"",TODAY()&gt;H108),"Overdue","Open"))))</f>
        <v/>
      </c>
      <c r="L108" s="0" t="str">
        <f aca="true">IF(A108="","",IF(I108&lt;&gt;"",J108-B108,TODAY()-B108))</f>
        <v/>
      </c>
      <c r="U108" s="13" t="str">
        <f aca="false">IF(A108="","",MAX(B108+0,H108+0,J108+0))</f>
        <v/>
      </c>
      <c r="V108" s="0" t="str">
        <f aca="true">IF(A108="","",IF(K108="Closed","",TODAY()-U108))</f>
        <v/>
      </c>
    </row>
    <row r="109" customFormat="false" ht="15" hidden="false" customHeight="false" outlineLevel="0" collapsed="false">
      <c r="K109" s="0" t="str">
        <f aca="true">IF(A109="","",IF(T109="Yes","Void",IF(I109&lt;&gt;"","Closed",IF(AND(H109&lt;&gt;"",TODAY()&gt;H109),"Overdue","Open"))))</f>
        <v/>
      </c>
      <c r="L109" s="0" t="str">
        <f aca="true">IF(A109="","",IF(I109&lt;&gt;"",J109-B109,TODAY()-B109))</f>
        <v/>
      </c>
      <c r="U109" s="13" t="str">
        <f aca="false">IF(A109="","",MAX(B109+0,H109+0,J109+0))</f>
        <v/>
      </c>
      <c r="V109" s="0" t="str">
        <f aca="true">IF(A109="","",IF(K109="Closed","",TODAY()-U109))</f>
        <v/>
      </c>
    </row>
    <row r="110" customFormat="false" ht="15" hidden="false" customHeight="false" outlineLevel="0" collapsed="false">
      <c r="K110" s="0" t="str">
        <f aca="true">IF(A110="","",IF(T110="Yes","Void",IF(I110&lt;&gt;"","Closed",IF(AND(H110&lt;&gt;"",TODAY()&gt;H110),"Overdue","Open"))))</f>
        <v/>
      </c>
      <c r="L110" s="0" t="str">
        <f aca="true">IF(A110="","",IF(I110&lt;&gt;"",J110-B110,TODAY()-B110))</f>
        <v/>
      </c>
      <c r="U110" s="13" t="str">
        <f aca="false">IF(A110="","",MAX(B110+0,H110+0,J110+0))</f>
        <v/>
      </c>
      <c r="V110" s="0" t="str">
        <f aca="true">IF(A110="","",IF(K110="Closed","",TODAY()-U110))</f>
        <v/>
      </c>
    </row>
    <row r="111" customFormat="false" ht="15" hidden="false" customHeight="false" outlineLevel="0" collapsed="false">
      <c r="K111" s="0" t="str">
        <f aca="true">IF(A111="","",IF(T111="Yes","Void",IF(I111&lt;&gt;"","Closed",IF(AND(H111&lt;&gt;"",TODAY()&gt;H111),"Overdue","Open"))))</f>
        <v/>
      </c>
      <c r="L111" s="0" t="str">
        <f aca="true">IF(A111="","",IF(I111&lt;&gt;"",J111-B111,TODAY()-B111))</f>
        <v/>
      </c>
      <c r="U111" s="13" t="str">
        <f aca="false">IF(A111="","",MAX(B111+0,H111+0,J111+0))</f>
        <v/>
      </c>
      <c r="V111" s="0" t="str">
        <f aca="true">IF(A111="","",IF(K111="Closed","",TODAY()-U111))</f>
        <v/>
      </c>
    </row>
    <row r="112" customFormat="false" ht="15" hidden="false" customHeight="false" outlineLevel="0" collapsed="false">
      <c r="K112" s="0" t="str">
        <f aca="true">IF(A112="","",IF(T112="Yes","Void",IF(I112&lt;&gt;"","Closed",IF(AND(H112&lt;&gt;"",TODAY()&gt;H112),"Overdue","Open"))))</f>
        <v/>
      </c>
      <c r="L112" s="0" t="str">
        <f aca="true">IF(A112="","",IF(I112&lt;&gt;"",J112-B112,TODAY()-B112))</f>
        <v/>
      </c>
      <c r="U112" s="13" t="str">
        <f aca="false">IF(A112="","",MAX(B112+0,H112+0,J112+0))</f>
        <v/>
      </c>
      <c r="V112" s="0" t="str">
        <f aca="true">IF(A112="","",IF(K112="Closed","",TODAY()-U112))</f>
        <v/>
      </c>
    </row>
    <row r="113" customFormat="false" ht="15" hidden="false" customHeight="false" outlineLevel="0" collapsed="false">
      <c r="K113" s="0" t="str">
        <f aca="true">IF(A113="","",IF(T113="Yes","Void",IF(I113&lt;&gt;"","Closed",IF(AND(H113&lt;&gt;"",TODAY()&gt;H113),"Overdue","Open"))))</f>
        <v/>
      </c>
      <c r="L113" s="0" t="str">
        <f aca="true">IF(A113="","",IF(I113&lt;&gt;"",J113-B113,TODAY()-B113))</f>
        <v/>
      </c>
      <c r="U113" s="13" t="str">
        <f aca="false">IF(A113="","",MAX(B113+0,H113+0,J113+0))</f>
        <v/>
      </c>
      <c r="V113" s="0" t="str">
        <f aca="true">IF(A113="","",IF(K113="Closed","",TODAY()-U113))</f>
        <v/>
      </c>
    </row>
    <row r="114" customFormat="false" ht="15" hidden="false" customHeight="false" outlineLevel="0" collapsed="false">
      <c r="K114" s="0" t="str">
        <f aca="true">IF(A114="","",IF(T114="Yes","Void",IF(I114&lt;&gt;"","Closed",IF(AND(H114&lt;&gt;"",TODAY()&gt;H114),"Overdue","Open"))))</f>
        <v/>
      </c>
      <c r="L114" s="0" t="str">
        <f aca="true">IF(A114="","",IF(I114&lt;&gt;"",J114-B114,TODAY()-B114))</f>
        <v/>
      </c>
      <c r="U114" s="13" t="str">
        <f aca="false">IF(A114="","",MAX(B114+0,H114+0,J114+0))</f>
        <v/>
      </c>
      <c r="V114" s="0" t="str">
        <f aca="true">IF(A114="","",IF(K114="Closed","",TODAY()-U114))</f>
        <v/>
      </c>
    </row>
    <row r="115" customFormat="false" ht="15" hidden="false" customHeight="false" outlineLevel="0" collapsed="false">
      <c r="K115" s="0" t="str">
        <f aca="true">IF(A115="","",IF(T115="Yes","Void",IF(I115&lt;&gt;"","Closed",IF(AND(H115&lt;&gt;"",TODAY()&gt;H115),"Overdue","Open"))))</f>
        <v/>
      </c>
      <c r="L115" s="0" t="str">
        <f aca="true">IF(A115="","",IF(I115&lt;&gt;"",J115-B115,TODAY()-B115))</f>
        <v/>
      </c>
      <c r="U115" s="13" t="str">
        <f aca="false">IF(A115="","",MAX(B115+0,H115+0,J115+0))</f>
        <v/>
      </c>
      <c r="V115" s="0" t="str">
        <f aca="true">IF(A115="","",IF(K115="Closed","",TODAY()-U115))</f>
        <v/>
      </c>
    </row>
    <row r="116" customFormat="false" ht="15" hidden="false" customHeight="false" outlineLevel="0" collapsed="false">
      <c r="K116" s="0" t="str">
        <f aca="true">IF(A116="","",IF(T116="Yes","Void",IF(I116&lt;&gt;"","Closed",IF(AND(H116&lt;&gt;"",TODAY()&gt;H116),"Overdue","Open"))))</f>
        <v/>
      </c>
      <c r="L116" s="0" t="str">
        <f aca="true">IF(A116="","",IF(I116&lt;&gt;"",J116-B116,TODAY()-B116))</f>
        <v/>
      </c>
      <c r="U116" s="13" t="str">
        <f aca="false">IF(A116="","",MAX(B116+0,H116+0,J116+0))</f>
        <v/>
      </c>
      <c r="V116" s="0" t="str">
        <f aca="true">IF(A116="","",IF(K116="Closed","",TODAY()-U116))</f>
        <v/>
      </c>
    </row>
    <row r="117" customFormat="false" ht="15" hidden="false" customHeight="false" outlineLevel="0" collapsed="false">
      <c r="K117" s="0" t="str">
        <f aca="true">IF(A117="","",IF(T117="Yes","Void",IF(I117&lt;&gt;"","Closed",IF(AND(H117&lt;&gt;"",TODAY()&gt;H117),"Overdue","Open"))))</f>
        <v/>
      </c>
      <c r="L117" s="0" t="str">
        <f aca="true">IF(A117="","",IF(I117&lt;&gt;"",J117-B117,TODAY()-B117))</f>
        <v/>
      </c>
      <c r="U117" s="13" t="str">
        <f aca="false">IF(A117="","",MAX(B117+0,H117+0,J117+0))</f>
        <v/>
      </c>
      <c r="V117" s="0" t="str">
        <f aca="true">IF(A117="","",IF(K117="Closed","",TODAY()-U117))</f>
        <v/>
      </c>
    </row>
    <row r="118" customFormat="false" ht="15" hidden="false" customHeight="false" outlineLevel="0" collapsed="false">
      <c r="K118" s="0" t="str">
        <f aca="true">IF(A118="","",IF(T118="Yes","Void",IF(I118&lt;&gt;"","Closed",IF(AND(H118&lt;&gt;"",TODAY()&gt;H118),"Overdue","Open"))))</f>
        <v/>
      </c>
      <c r="L118" s="0" t="str">
        <f aca="true">IF(A118="","",IF(I118&lt;&gt;"",J118-B118,TODAY()-B118))</f>
        <v/>
      </c>
      <c r="U118" s="13" t="str">
        <f aca="false">IF(A118="","",MAX(B118+0,H118+0,J118+0))</f>
        <v/>
      </c>
      <c r="V118" s="0" t="str">
        <f aca="true">IF(A118="","",IF(K118="Closed","",TODAY()-U118))</f>
        <v/>
      </c>
    </row>
    <row r="119" customFormat="false" ht="15" hidden="false" customHeight="false" outlineLevel="0" collapsed="false">
      <c r="K119" s="0" t="str">
        <f aca="true">IF(A119="","",IF(T119="Yes","Void",IF(I119&lt;&gt;"","Closed",IF(AND(H119&lt;&gt;"",TODAY()&gt;H119),"Overdue","Open"))))</f>
        <v/>
      </c>
      <c r="L119" s="0" t="str">
        <f aca="true">IF(A119="","",IF(I119&lt;&gt;"",J119-B119,TODAY()-B119))</f>
        <v/>
      </c>
      <c r="U119" s="13" t="str">
        <f aca="false">IF(A119="","",MAX(B119+0,H119+0,J119+0))</f>
        <v/>
      </c>
      <c r="V119" s="0" t="str">
        <f aca="true">IF(A119="","",IF(K119="Closed","",TODAY()-U119))</f>
        <v/>
      </c>
    </row>
    <row r="120" customFormat="false" ht="15" hidden="false" customHeight="false" outlineLevel="0" collapsed="false">
      <c r="K120" s="0" t="str">
        <f aca="true">IF(A120="","",IF(T120="Yes","Void",IF(I120&lt;&gt;"","Closed",IF(AND(H120&lt;&gt;"",TODAY()&gt;H120),"Overdue","Open"))))</f>
        <v/>
      </c>
      <c r="L120" s="0" t="str">
        <f aca="true">IF(A120="","",IF(I120&lt;&gt;"",J120-B120,TODAY()-B120))</f>
        <v/>
      </c>
      <c r="U120" s="13" t="str">
        <f aca="false">IF(A120="","",MAX(B120+0,H120+0,J120+0))</f>
        <v/>
      </c>
      <c r="V120" s="0" t="str">
        <f aca="true">IF(A120="","",IF(K120="Closed","",TODAY()-U120))</f>
        <v/>
      </c>
    </row>
    <row r="121" customFormat="false" ht="15" hidden="false" customHeight="false" outlineLevel="0" collapsed="false">
      <c r="K121" s="0" t="str">
        <f aca="true">IF(A121="","",IF(T121="Yes","Void",IF(I121&lt;&gt;"","Closed",IF(AND(H121&lt;&gt;"",TODAY()&gt;H121),"Overdue","Open"))))</f>
        <v/>
      </c>
      <c r="L121" s="0" t="str">
        <f aca="true">IF(A121="","",IF(I121&lt;&gt;"",J121-B121,TODAY()-B121))</f>
        <v/>
      </c>
      <c r="U121" s="13" t="str">
        <f aca="false">IF(A121="","",MAX(B121+0,H121+0,J121+0))</f>
        <v/>
      </c>
      <c r="V121" s="0" t="str">
        <f aca="true">IF(A121="","",IF(K121="Closed","",TODAY()-U121))</f>
        <v/>
      </c>
    </row>
    <row r="122" customFormat="false" ht="15" hidden="false" customHeight="false" outlineLevel="0" collapsed="false">
      <c r="K122" s="0" t="str">
        <f aca="true">IF(A122="","",IF(T122="Yes","Void",IF(I122&lt;&gt;"","Closed",IF(AND(H122&lt;&gt;"",TODAY()&gt;H122),"Overdue","Open"))))</f>
        <v/>
      </c>
      <c r="L122" s="0" t="str">
        <f aca="true">IF(A122="","",IF(I122&lt;&gt;"",J122-B122,TODAY()-B122))</f>
        <v/>
      </c>
      <c r="U122" s="13" t="str">
        <f aca="false">IF(A122="","",MAX(B122+0,H122+0,J122+0))</f>
        <v/>
      </c>
      <c r="V122" s="0" t="str">
        <f aca="true">IF(A122="","",IF(K122="Closed","",TODAY()-U122))</f>
        <v/>
      </c>
    </row>
    <row r="123" customFormat="false" ht="15" hidden="false" customHeight="false" outlineLevel="0" collapsed="false">
      <c r="K123" s="0" t="str">
        <f aca="true">IF(A123="","",IF(T123="Yes","Void",IF(I123&lt;&gt;"","Closed",IF(AND(H123&lt;&gt;"",TODAY()&gt;H123),"Overdue","Open"))))</f>
        <v/>
      </c>
      <c r="L123" s="0" t="str">
        <f aca="true">IF(A123="","",IF(I123&lt;&gt;"",J123-B123,TODAY()-B123))</f>
        <v/>
      </c>
      <c r="U123" s="13" t="str">
        <f aca="false">IF(A123="","",MAX(B123+0,H123+0,J123+0))</f>
        <v/>
      </c>
      <c r="V123" s="0" t="str">
        <f aca="true">IF(A123="","",IF(K123="Closed","",TODAY()-U123))</f>
        <v/>
      </c>
    </row>
    <row r="124" customFormat="false" ht="15" hidden="false" customHeight="false" outlineLevel="0" collapsed="false">
      <c r="K124" s="0" t="str">
        <f aca="true">IF(A124="","",IF(T124="Yes","Void",IF(I124&lt;&gt;"","Closed",IF(AND(H124&lt;&gt;"",TODAY()&gt;H124),"Overdue","Open"))))</f>
        <v/>
      </c>
      <c r="L124" s="0" t="str">
        <f aca="true">IF(A124="","",IF(I124&lt;&gt;"",J124-B124,TODAY()-B124))</f>
        <v/>
      </c>
      <c r="U124" s="13" t="str">
        <f aca="false">IF(A124="","",MAX(B124+0,H124+0,J124+0))</f>
        <v/>
      </c>
      <c r="V124" s="0" t="str">
        <f aca="true">IF(A124="","",IF(K124="Closed","",TODAY()-U124))</f>
        <v/>
      </c>
    </row>
    <row r="125" customFormat="false" ht="15" hidden="false" customHeight="false" outlineLevel="0" collapsed="false">
      <c r="K125" s="0" t="str">
        <f aca="true">IF(A125="","",IF(T125="Yes","Void",IF(I125&lt;&gt;"","Closed",IF(AND(H125&lt;&gt;"",TODAY()&gt;H125),"Overdue","Open"))))</f>
        <v/>
      </c>
      <c r="L125" s="0" t="str">
        <f aca="true">IF(A125="","",IF(I125&lt;&gt;"",J125-B125,TODAY()-B125))</f>
        <v/>
      </c>
      <c r="U125" s="13" t="str">
        <f aca="false">IF(A125="","",MAX(B125+0,H125+0,J125+0))</f>
        <v/>
      </c>
      <c r="V125" s="0" t="str">
        <f aca="true">IF(A125="","",IF(K125="Closed","",TODAY()-U125))</f>
        <v/>
      </c>
    </row>
    <row r="126" customFormat="false" ht="15" hidden="false" customHeight="false" outlineLevel="0" collapsed="false">
      <c r="K126" s="0" t="str">
        <f aca="true">IF(A126="","",IF(T126="Yes","Void",IF(I126&lt;&gt;"","Closed",IF(AND(H126&lt;&gt;"",TODAY()&gt;H126),"Overdue","Open"))))</f>
        <v/>
      </c>
      <c r="L126" s="0" t="str">
        <f aca="true">IF(A126="","",IF(I126&lt;&gt;"",J126-B126,TODAY()-B126))</f>
        <v/>
      </c>
      <c r="U126" s="13" t="str">
        <f aca="false">IF(A126="","",MAX(B126+0,H126+0,J126+0))</f>
        <v/>
      </c>
      <c r="V126" s="0" t="str">
        <f aca="true">IF(A126="","",IF(K126="Closed","",TODAY()-U126))</f>
        <v/>
      </c>
    </row>
    <row r="127" customFormat="false" ht="15" hidden="false" customHeight="false" outlineLevel="0" collapsed="false">
      <c r="K127" s="0" t="str">
        <f aca="true">IF(A127="","",IF(T127="Yes","Void",IF(I127&lt;&gt;"","Closed",IF(AND(H127&lt;&gt;"",TODAY()&gt;H127),"Overdue","Open"))))</f>
        <v/>
      </c>
      <c r="L127" s="0" t="str">
        <f aca="true">IF(A127="","",IF(I127&lt;&gt;"",J127-B127,TODAY()-B127))</f>
        <v/>
      </c>
      <c r="U127" s="13" t="str">
        <f aca="false">IF(A127="","",MAX(B127+0,H127+0,J127+0))</f>
        <v/>
      </c>
      <c r="V127" s="0" t="str">
        <f aca="true">IF(A127="","",IF(K127="Closed","",TODAY()-U127))</f>
        <v/>
      </c>
    </row>
    <row r="128" customFormat="false" ht="15" hidden="false" customHeight="false" outlineLevel="0" collapsed="false">
      <c r="K128" s="0" t="str">
        <f aca="true">IF(A128="","",IF(T128="Yes","Void",IF(I128&lt;&gt;"","Closed",IF(AND(H128&lt;&gt;"",TODAY()&gt;H128),"Overdue","Open"))))</f>
        <v/>
      </c>
      <c r="L128" s="0" t="str">
        <f aca="true">IF(A128="","",IF(I128&lt;&gt;"",J128-B128,TODAY()-B128))</f>
        <v/>
      </c>
      <c r="U128" s="13" t="str">
        <f aca="false">IF(A128="","",MAX(B128+0,H128+0,J128+0))</f>
        <v/>
      </c>
      <c r="V128" s="0" t="str">
        <f aca="true">IF(A128="","",IF(K128="Closed","",TODAY()-U128))</f>
        <v/>
      </c>
    </row>
    <row r="129" customFormat="false" ht="15" hidden="false" customHeight="false" outlineLevel="0" collapsed="false">
      <c r="K129" s="0" t="str">
        <f aca="true">IF(A129="","",IF(T129="Yes","Void",IF(I129&lt;&gt;"","Closed",IF(AND(H129&lt;&gt;"",TODAY()&gt;H129),"Overdue","Open"))))</f>
        <v/>
      </c>
      <c r="L129" s="0" t="str">
        <f aca="true">IF(A129="","",IF(I129&lt;&gt;"",J129-B129,TODAY()-B129))</f>
        <v/>
      </c>
      <c r="U129" s="13" t="str">
        <f aca="false">IF(A129="","",MAX(B129+0,H129+0,J129+0))</f>
        <v/>
      </c>
      <c r="V129" s="0" t="str">
        <f aca="true">IF(A129="","",IF(K129="Closed","",TODAY()-U129))</f>
        <v/>
      </c>
    </row>
    <row r="130" customFormat="false" ht="15" hidden="false" customHeight="false" outlineLevel="0" collapsed="false">
      <c r="K130" s="0" t="str">
        <f aca="true">IF(A130="","",IF(T130="Yes","Void",IF(I130&lt;&gt;"","Closed",IF(AND(H130&lt;&gt;"",TODAY()&gt;H130),"Overdue","Open"))))</f>
        <v/>
      </c>
      <c r="L130" s="0" t="str">
        <f aca="true">IF(A130="","",IF(I130&lt;&gt;"",J130-B130,TODAY()-B130))</f>
        <v/>
      </c>
      <c r="U130" s="13" t="str">
        <f aca="false">IF(A130="","",MAX(B130+0,H130+0,J130+0))</f>
        <v/>
      </c>
      <c r="V130" s="0" t="str">
        <f aca="true">IF(A130="","",IF(K130="Closed","",TODAY()-U130))</f>
        <v/>
      </c>
    </row>
    <row r="131" customFormat="false" ht="15" hidden="false" customHeight="false" outlineLevel="0" collapsed="false">
      <c r="K131" s="0" t="str">
        <f aca="true">IF(A131="","",IF(T131="Yes","Void",IF(I131&lt;&gt;"","Closed",IF(AND(H131&lt;&gt;"",TODAY()&gt;H131),"Overdue","Open"))))</f>
        <v/>
      </c>
      <c r="L131" s="0" t="str">
        <f aca="true">IF(A131="","",IF(I131&lt;&gt;"",J131-B131,TODAY()-B131))</f>
        <v/>
      </c>
      <c r="U131" s="13" t="str">
        <f aca="false">IF(A131="","",MAX(B131+0,H131+0,J131+0))</f>
        <v/>
      </c>
      <c r="V131" s="0" t="str">
        <f aca="true">IF(A131="","",IF(K131="Closed","",TODAY()-U131))</f>
        <v/>
      </c>
    </row>
    <row r="132" customFormat="false" ht="15" hidden="false" customHeight="false" outlineLevel="0" collapsed="false">
      <c r="K132" s="0" t="str">
        <f aca="true">IF(A132="","",IF(T132="Yes","Void",IF(I132&lt;&gt;"","Closed",IF(AND(H132&lt;&gt;"",TODAY()&gt;H132),"Overdue","Open"))))</f>
        <v/>
      </c>
      <c r="L132" s="0" t="str">
        <f aca="true">IF(A132="","",IF(I132&lt;&gt;"",J132-B132,TODAY()-B132))</f>
        <v/>
      </c>
      <c r="U132" s="13" t="str">
        <f aca="false">IF(A132="","",MAX(B132+0,H132+0,J132+0))</f>
        <v/>
      </c>
      <c r="V132" s="0" t="str">
        <f aca="true">IF(A132="","",IF(K132="Closed","",TODAY()-U132))</f>
        <v/>
      </c>
    </row>
    <row r="133" customFormat="false" ht="15" hidden="false" customHeight="false" outlineLevel="0" collapsed="false">
      <c r="K133" s="0" t="str">
        <f aca="true">IF(A133="","",IF(T133="Yes","Void",IF(I133&lt;&gt;"","Closed",IF(AND(H133&lt;&gt;"",TODAY()&gt;H133),"Overdue","Open"))))</f>
        <v/>
      </c>
      <c r="L133" s="0" t="str">
        <f aca="true">IF(A133="","",IF(I133&lt;&gt;"",J133-B133,TODAY()-B133))</f>
        <v/>
      </c>
      <c r="U133" s="13" t="str">
        <f aca="false">IF(A133="","",MAX(B133+0,H133+0,J133+0))</f>
        <v/>
      </c>
      <c r="V133" s="0" t="str">
        <f aca="true">IF(A133="","",IF(K133="Closed","",TODAY()-U133))</f>
        <v/>
      </c>
    </row>
    <row r="134" customFormat="false" ht="15" hidden="false" customHeight="false" outlineLevel="0" collapsed="false">
      <c r="K134" s="0" t="str">
        <f aca="true">IF(A134="","",IF(T134="Yes","Void",IF(I134&lt;&gt;"","Closed",IF(AND(H134&lt;&gt;"",TODAY()&gt;H134),"Overdue","Open"))))</f>
        <v/>
      </c>
      <c r="L134" s="0" t="str">
        <f aca="true">IF(A134="","",IF(I134&lt;&gt;"",J134-B134,TODAY()-B134))</f>
        <v/>
      </c>
      <c r="U134" s="13" t="str">
        <f aca="false">IF(A134="","",MAX(B134+0,H134+0,J134+0))</f>
        <v/>
      </c>
      <c r="V134" s="0" t="str">
        <f aca="true">IF(A134="","",IF(K134="Closed","",TODAY()-U134))</f>
        <v/>
      </c>
    </row>
    <row r="135" customFormat="false" ht="15" hidden="false" customHeight="false" outlineLevel="0" collapsed="false">
      <c r="K135" s="0" t="str">
        <f aca="true">IF(A135="","",IF(T135="Yes","Void",IF(I135&lt;&gt;"","Closed",IF(AND(H135&lt;&gt;"",TODAY()&gt;H135),"Overdue","Open"))))</f>
        <v/>
      </c>
      <c r="L135" s="0" t="str">
        <f aca="true">IF(A135="","",IF(I135&lt;&gt;"",J135-B135,TODAY()-B135))</f>
        <v/>
      </c>
      <c r="U135" s="13" t="str">
        <f aca="false">IF(A135="","",MAX(B135+0,H135+0,J135+0))</f>
        <v/>
      </c>
      <c r="V135" s="0" t="str">
        <f aca="true">IF(A135="","",IF(K135="Closed","",TODAY()-U135))</f>
        <v/>
      </c>
    </row>
    <row r="136" customFormat="false" ht="15" hidden="false" customHeight="false" outlineLevel="0" collapsed="false">
      <c r="K136" s="0" t="str">
        <f aca="true">IF(A136="","",IF(T136="Yes","Void",IF(I136&lt;&gt;"","Closed",IF(AND(H136&lt;&gt;"",TODAY()&gt;H136),"Overdue","Open"))))</f>
        <v/>
      </c>
      <c r="L136" s="0" t="str">
        <f aca="true">IF(A136="","",IF(I136&lt;&gt;"",J136-B136,TODAY()-B136))</f>
        <v/>
      </c>
      <c r="U136" s="13" t="str">
        <f aca="false">IF(A136="","",MAX(B136+0,H136+0,J136+0))</f>
        <v/>
      </c>
      <c r="V136" s="0" t="str">
        <f aca="true">IF(A136="","",IF(K136="Closed","",TODAY()-U136))</f>
        <v/>
      </c>
    </row>
    <row r="137" customFormat="false" ht="15" hidden="false" customHeight="false" outlineLevel="0" collapsed="false">
      <c r="K137" s="0" t="str">
        <f aca="true">IF(A137="","",IF(T137="Yes","Void",IF(I137&lt;&gt;"","Closed",IF(AND(H137&lt;&gt;"",TODAY()&gt;H137),"Overdue","Open"))))</f>
        <v/>
      </c>
      <c r="L137" s="0" t="str">
        <f aca="true">IF(A137="","",IF(I137&lt;&gt;"",J137-B137,TODAY()-B137))</f>
        <v/>
      </c>
      <c r="U137" s="13" t="str">
        <f aca="false">IF(A137="","",MAX(B137+0,H137+0,J137+0))</f>
        <v/>
      </c>
      <c r="V137" s="0" t="str">
        <f aca="true">IF(A137="","",IF(K137="Closed","",TODAY()-U137))</f>
        <v/>
      </c>
    </row>
    <row r="138" customFormat="false" ht="15" hidden="false" customHeight="false" outlineLevel="0" collapsed="false">
      <c r="K138" s="0" t="str">
        <f aca="true">IF(A138="","",IF(T138="Yes","Void",IF(I138&lt;&gt;"","Closed",IF(AND(H138&lt;&gt;"",TODAY()&gt;H138),"Overdue","Open"))))</f>
        <v/>
      </c>
      <c r="L138" s="0" t="str">
        <f aca="true">IF(A138="","",IF(I138&lt;&gt;"",J138-B138,TODAY()-B138))</f>
        <v/>
      </c>
      <c r="U138" s="13" t="str">
        <f aca="false">IF(A138="","",MAX(B138+0,H138+0,J138+0))</f>
        <v/>
      </c>
      <c r="V138" s="0" t="str">
        <f aca="true">IF(A138="","",IF(K138="Closed","",TODAY()-U138))</f>
        <v/>
      </c>
    </row>
    <row r="139" customFormat="false" ht="15" hidden="false" customHeight="false" outlineLevel="0" collapsed="false">
      <c r="K139" s="0" t="str">
        <f aca="true">IF(A139="","",IF(T139="Yes","Void",IF(I139&lt;&gt;"","Closed",IF(AND(H139&lt;&gt;"",TODAY()&gt;H139),"Overdue","Open"))))</f>
        <v/>
      </c>
      <c r="L139" s="0" t="str">
        <f aca="true">IF(A139="","",IF(I139&lt;&gt;"",J139-B139,TODAY()-B139))</f>
        <v/>
      </c>
      <c r="U139" s="13" t="str">
        <f aca="false">IF(A139="","",MAX(B139+0,H139+0,J139+0))</f>
        <v/>
      </c>
      <c r="V139" s="0" t="str">
        <f aca="true">IF(A139="","",IF(K139="Closed","",TODAY()-U139))</f>
        <v/>
      </c>
    </row>
    <row r="140" customFormat="false" ht="15" hidden="false" customHeight="false" outlineLevel="0" collapsed="false">
      <c r="K140" s="0" t="str">
        <f aca="true">IF(A140="","",IF(T140="Yes","Void",IF(I140&lt;&gt;"","Closed",IF(AND(H140&lt;&gt;"",TODAY()&gt;H140),"Overdue","Open"))))</f>
        <v/>
      </c>
      <c r="L140" s="0" t="str">
        <f aca="true">IF(A140="","",IF(I140&lt;&gt;"",J140-B140,TODAY()-B140))</f>
        <v/>
      </c>
      <c r="U140" s="13" t="str">
        <f aca="false">IF(A140="","",MAX(B140+0,H140+0,J140+0))</f>
        <v/>
      </c>
      <c r="V140" s="0" t="str">
        <f aca="true">IF(A140="","",IF(K140="Closed","",TODAY()-U140))</f>
        <v/>
      </c>
    </row>
    <row r="141" customFormat="false" ht="15" hidden="false" customHeight="false" outlineLevel="0" collapsed="false">
      <c r="K141" s="0" t="str">
        <f aca="true">IF(A141="","",IF(T141="Yes","Void",IF(I141&lt;&gt;"","Closed",IF(AND(H141&lt;&gt;"",TODAY()&gt;H141),"Overdue","Open"))))</f>
        <v/>
      </c>
      <c r="L141" s="0" t="str">
        <f aca="true">IF(A141="","",IF(I141&lt;&gt;"",J141-B141,TODAY()-B141))</f>
        <v/>
      </c>
      <c r="U141" s="13" t="str">
        <f aca="false">IF(A141="","",MAX(B141+0,H141+0,J141+0))</f>
        <v/>
      </c>
      <c r="V141" s="0" t="str">
        <f aca="true">IF(A141="","",IF(K141="Closed","",TODAY()-U141))</f>
        <v/>
      </c>
    </row>
    <row r="142" customFormat="false" ht="15" hidden="false" customHeight="false" outlineLevel="0" collapsed="false">
      <c r="K142" s="0" t="str">
        <f aca="true">IF(A142="","",IF(T142="Yes","Void",IF(I142&lt;&gt;"","Closed",IF(AND(H142&lt;&gt;"",TODAY()&gt;H142),"Overdue","Open"))))</f>
        <v/>
      </c>
      <c r="L142" s="0" t="str">
        <f aca="true">IF(A142="","",IF(I142&lt;&gt;"",J142-B142,TODAY()-B142))</f>
        <v/>
      </c>
      <c r="U142" s="13" t="str">
        <f aca="false">IF(A142="","",MAX(B142+0,H142+0,J142+0))</f>
        <v/>
      </c>
      <c r="V142" s="0" t="str">
        <f aca="true">IF(A142="","",IF(K142="Closed","",TODAY()-U142))</f>
        <v/>
      </c>
    </row>
    <row r="143" customFormat="false" ht="15" hidden="false" customHeight="false" outlineLevel="0" collapsed="false">
      <c r="K143" s="0" t="str">
        <f aca="true">IF(A143="","",IF(T143="Yes","Void",IF(I143&lt;&gt;"","Closed",IF(AND(H143&lt;&gt;"",TODAY()&gt;H143),"Overdue","Open"))))</f>
        <v/>
      </c>
      <c r="L143" s="0" t="str">
        <f aca="true">IF(A143="","",IF(I143&lt;&gt;"",J143-B143,TODAY()-B143))</f>
        <v/>
      </c>
      <c r="U143" s="13" t="str">
        <f aca="false">IF(A143="","",MAX(B143+0,H143+0,J143+0))</f>
        <v/>
      </c>
      <c r="V143" s="0" t="str">
        <f aca="true">IF(A143="","",IF(K143="Closed","",TODAY()-U143))</f>
        <v/>
      </c>
    </row>
    <row r="144" customFormat="false" ht="15" hidden="false" customHeight="false" outlineLevel="0" collapsed="false">
      <c r="K144" s="0" t="str">
        <f aca="true">IF(A144="","",IF(T144="Yes","Void",IF(I144&lt;&gt;"","Closed",IF(AND(H144&lt;&gt;"",TODAY()&gt;H144),"Overdue","Open"))))</f>
        <v/>
      </c>
      <c r="L144" s="0" t="str">
        <f aca="true">IF(A144="","",IF(I144&lt;&gt;"",J144-B144,TODAY()-B144))</f>
        <v/>
      </c>
      <c r="U144" s="13" t="str">
        <f aca="false">IF(A144="","",MAX(B144+0,H144+0,J144+0))</f>
        <v/>
      </c>
      <c r="V144" s="0" t="str">
        <f aca="true">IF(A144="","",IF(K144="Closed","",TODAY()-U144))</f>
        <v/>
      </c>
    </row>
    <row r="145" customFormat="false" ht="15" hidden="false" customHeight="false" outlineLevel="0" collapsed="false">
      <c r="K145" s="0" t="str">
        <f aca="true">IF(A145="","",IF(T145="Yes","Void",IF(I145&lt;&gt;"","Closed",IF(AND(H145&lt;&gt;"",TODAY()&gt;H145),"Overdue","Open"))))</f>
        <v/>
      </c>
      <c r="L145" s="0" t="str">
        <f aca="true">IF(A145="","",IF(I145&lt;&gt;"",J145-B145,TODAY()-B145))</f>
        <v/>
      </c>
      <c r="U145" s="13" t="str">
        <f aca="false">IF(A145="","",MAX(B145+0,H145+0,J145+0))</f>
        <v/>
      </c>
      <c r="V145" s="0" t="str">
        <f aca="true">IF(A145="","",IF(K145="Closed","",TODAY()-U145))</f>
        <v/>
      </c>
    </row>
    <row r="146" customFormat="false" ht="15" hidden="false" customHeight="false" outlineLevel="0" collapsed="false">
      <c r="K146" s="0" t="str">
        <f aca="true">IF(A146="","",IF(T146="Yes","Void",IF(I146&lt;&gt;"","Closed",IF(AND(H146&lt;&gt;"",TODAY()&gt;H146),"Overdue","Open"))))</f>
        <v/>
      </c>
      <c r="L146" s="0" t="str">
        <f aca="true">IF(A146="","",IF(I146&lt;&gt;"",J146-B146,TODAY()-B146))</f>
        <v/>
      </c>
      <c r="U146" s="13" t="str">
        <f aca="false">IF(A146="","",MAX(B146+0,H146+0,J146+0))</f>
        <v/>
      </c>
      <c r="V146" s="0" t="str">
        <f aca="true">IF(A146="","",IF(K146="Closed","",TODAY()-U146))</f>
        <v/>
      </c>
    </row>
    <row r="147" customFormat="false" ht="15" hidden="false" customHeight="false" outlineLevel="0" collapsed="false">
      <c r="K147" s="0" t="str">
        <f aca="true">IF(A147="","",IF(T147="Yes","Void",IF(I147&lt;&gt;"","Closed",IF(AND(H147&lt;&gt;"",TODAY()&gt;H147),"Overdue","Open"))))</f>
        <v/>
      </c>
      <c r="L147" s="0" t="str">
        <f aca="true">IF(A147="","",IF(I147&lt;&gt;"",J147-B147,TODAY()-B147))</f>
        <v/>
      </c>
      <c r="U147" s="13" t="str">
        <f aca="false">IF(A147="","",MAX(B147+0,H147+0,J147+0))</f>
        <v/>
      </c>
      <c r="V147" s="0" t="str">
        <f aca="true">IF(A147="","",IF(K147="Closed","",TODAY()-U147))</f>
        <v/>
      </c>
    </row>
    <row r="148" customFormat="false" ht="15" hidden="false" customHeight="false" outlineLevel="0" collapsed="false">
      <c r="K148" s="0" t="str">
        <f aca="true">IF(A148="","",IF(T148="Yes","Void",IF(I148&lt;&gt;"","Closed",IF(AND(H148&lt;&gt;"",TODAY()&gt;H148),"Overdue","Open"))))</f>
        <v/>
      </c>
      <c r="L148" s="0" t="str">
        <f aca="true">IF(A148="","",IF(I148&lt;&gt;"",J148-B148,TODAY()-B148))</f>
        <v/>
      </c>
      <c r="U148" s="13" t="str">
        <f aca="false">IF(A148="","",MAX(B148+0,H148+0,J148+0))</f>
        <v/>
      </c>
      <c r="V148" s="0" t="str">
        <f aca="true">IF(A148="","",IF(K148="Closed","",TODAY()-U148))</f>
        <v/>
      </c>
    </row>
    <row r="149" customFormat="false" ht="15" hidden="false" customHeight="false" outlineLevel="0" collapsed="false">
      <c r="K149" s="0" t="str">
        <f aca="true">IF(A149="","",IF(T149="Yes","Void",IF(I149&lt;&gt;"","Closed",IF(AND(H149&lt;&gt;"",TODAY()&gt;H149),"Overdue","Open"))))</f>
        <v/>
      </c>
      <c r="L149" s="0" t="str">
        <f aca="true">IF(A149="","",IF(I149&lt;&gt;"",J149-B149,TODAY()-B149))</f>
        <v/>
      </c>
      <c r="U149" s="13" t="str">
        <f aca="false">IF(A149="","",MAX(B149+0,H149+0,J149+0))</f>
        <v/>
      </c>
      <c r="V149" s="0" t="str">
        <f aca="true">IF(A149="","",IF(K149="Closed","",TODAY()-U149))</f>
        <v/>
      </c>
    </row>
    <row r="150" customFormat="false" ht="15" hidden="false" customHeight="false" outlineLevel="0" collapsed="false">
      <c r="K150" s="0" t="str">
        <f aca="true">IF(A150="","",IF(T150="Yes","Void",IF(I150&lt;&gt;"","Closed",IF(AND(H150&lt;&gt;"",TODAY()&gt;H150),"Overdue","Open"))))</f>
        <v/>
      </c>
      <c r="L150" s="0" t="str">
        <f aca="true">IF(A150="","",IF(I150&lt;&gt;"",J150-B150,TODAY()-B150))</f>
        <v/>
      </c>
      <c r="U150" s="13" t="str">
        <f aca="false">IF(A150="","",MAX(B150+0,H150+0,J150+0))</f>
        <v/>
      </c>
      <c r="V150" s="0" t="str">
        <f aca="true">IF(A150="","",IF(K150="Closed","",TODAY()-U150))</f>
        <v/>
      </c>
    </row>
    <row r="151" customFormat="false" ht="15" hidden="false" customHeight="false" outlineLevel="0" collapsed="false">
      <c r="K151" s="0" t="str">
        <f aca="true">IF(A151="","",IF(T151="Yes","Void",IF(I151&lt;&gt;"","Closed",IF(AND(H151&lt;&gt;"",TODAY()&gt;H151),"Overdue","Open"))))</f>
        <v/>
      </c>
      <c r="L151" s="0" t="str">
        <f aca="true">IF(A151="","",IF(I151&lt;&gt;"",J151-B151,TODAY()-B151))</f>
        <v/>
      </c>
      <c r="U151" s="13" t="str">
        <f aca="false">IF(A151="","",MAX(B151+0,H151+0,J151+0))</f>
        <v/>
      </c>
      <c r="V151" s="0" t="str">
        <f aca="true">IF(A151="","",IF(K151="Closed","",TODAY()-U151))</f>
        <v/>
      </c>
    </row>
    <row r="152" customFormat="false" ht="15" hidden="false" customHeight="false" outlineLevel="0" collapsed="false">
      <c r="K152" s="0" t="str">
        <f aca="true">IF(A152="","",IF(T152="Yes","Void",IF(I152&lt;&gt;"","Closed",IF(AND(H152&lt;&gt;"",TODAY()&gt;H152),"Overdue","Open"))))</f>
        <v/>
      </c>
      <c r="L152" s="0" t="str">
        <f aca="true">IF(A152="","",IF(I152&lt;&gt;"",J152-B152,TODAY()-B152))</f>
        <v/>
      </c>
      <c r="U152" s="13" t="str">
        <f aca="false">IF(A152="","",MAX(B152+0,H152+0,J152+0))</f>
        <v/>
      </c>
      <c r="V152" s="0" t="str">
        <f aca="true">IF(A152="","",IF(K152="Closed","",TODAY()-U152))</f>
        <v/>
      </c>
    </row>
    <row r="153" customFormat="false" ht="15" hidden="false" customHeight="false" outlineLevel="0" collapsed="false">
      <c r="K153" s="0" t="str">
        <f aca="true">IF(A153="","",IF(T153="Yes","Void",IF(I153&lt;&gt;"","Closed",IF(AND(H153&lt;&gt;"",TODAY()&gt;H153),"Overdue","Open"))))</f>
        <v/>
      </c>
      <c r="L153" s="0" t="str">
        <f aca="true">IF(A153="","",IF(I153&lt;&gt;"",J153-B153,TODAY()-B153))</f>
        <v/>
      </c>
      <c r="U153" s="13" t="str">
        <f aca="false">IF(A153="","",MAX(B153+0,H153+0,J153+0))</f>
        <v/>
      </c>
      <c r="V153" s="0" t="str">
        <f aca="true">IF(A153="","",IF(K153="Closed","",TODAY()-U153))</f>
        <v/>
      </c>
    </row>
    <row r="154" customFormat="false" ht="15" hidden="false" customHeight="false" outlineLevel="0" collapsed="false">
      <c r="K154" s="0" t="str">
        <f aca="true">IF(A154="","",IF(T154="Yes","Void",IF(I154&lt;&gt;"","Closed",IF(AND(H154&lt;&gt;"",TODAY()&gt;H154),"Overdue","Open"))))</f>
        <v/>
      </c>
      <c r="L154" s="0" t="str">
        <f aca="true">IF(A154="","",IF(I154&lt;&gt;"",J154-B154,TODAY()-B154))</f>
        <v/>
      </c>
      <c r="U154" s="13" t="str">
        <f aca="false">IF(A154="","",MAX(B154+0,H154+0,J154+0))</f>
        <v/>
      </c>
      <c r="V154" s="0" t="str">
        <f aca="true">IF(A154="","",IF(K154="Closed","",TODAY()-U154))</f>
        <v/>
      </c>
    </row>
    <row r="155" customFormat="false" ht="15" hidden="false" customHeight="false" outlineLevel="0" collapsed="false">
      <c r="K155" s="0" t="str">
        <f aca="true">IF(A155="","",IF(T155="Yes","Void",IF(I155&lt;&gt;"","Closed",IF(AND(H155&lt;&gt;"",TODAY()&gt;H155),"Overdue","Open"))))</f>
        <v/>
      </c>
      <c r="L155" s="0" t="str">
        <f aca="true">IF(A155="","",IF(I155&lt;&gt;"",J155-B155,TODAY()-B155))</f>
        <v/>
      </c>
      <c r="U155" s="13" t="str">
        <f aca="false">IF(A155="","",MAX(B155+0,H155+0,J155+0))</f>
        <v/>
      </c>
      <c r="V155" s="0" t="str">
        <f aca="true">IF(A155="","",IF(K155="Closed","",TODAY()-U155))</f>
        <v/>
      </c>
    </row>
    <row r="156" customFormat="false" ht="15" hidden="false" customHeight="false" outlineLevel="0" collapsed="false">
      <c r="K156" s="0" t="str">
        <f aca="true">IF(A156="","",IF(T156="Yes","Void",IF(I156&lt;&gt;"","Closed",IF(AND(H156&lt;&gt;"",TODAY()&gt;H156),"Overdue","Open"))))</f>
        <v/>
      </c>
      <c r="L156" s="0" t="str">
        <f aca="true">IF(A156="","",IF(I156&lt;&gt;"",J156-B156,TODAY()-B156))</f>
        <v/>
      </c>
      <c r="U156" s="13" t="str">
        <f aca="false">IF(A156="","",MAX(B156+0,H156+0,J156+0))</f>
        <v/>
      </c>
      <c r="V156" s="0" t="str">
        <f aca="true">IF(A156="","",IF(K156="Closed","",TODAY()-U156))</f>
        <v/>
      </c>
    </row>
    <row r="157" customFormat="false" ht="15" hidden="false" customHeight="false" outlineLevel="0" collapsed="false">
      <c r="K157" s="0" t="str">
        <f aca="true">IF(A157="","",IF(T157="Yes","Void",IF(I157&lt;&gt;"","Closed",IF(AND(H157&lt;&gt;"",TODAY()&gt;H157),"Overdue","Open"))))</f>
        <v/>
      </c>
      <c r="L157" s="0" t="str">
        <f aca="true">IF(A157="","",IF(I157&lt;&gt;"",J157-B157,TODAY()-B157))</f>
        <v/>
      </c>
      <c r="U157" s="13" t="str">
        <f aca="false">IF(A157="","",MAX(B157+0,H157+0,J157+0))</f>
        <v/>
      </c>
      <c r="V157" s="0" t="str">
        <f aca="true">IF(A157="","",IF(K157="Closed","",TODAY()-U157))</f>
        <v/>
      </c>
    </row>
    <row r="158" customFormat="false" ht="15" hidden="false" customHeight="false" outlineLevel="0" collapsed="false">
      <c r="K158" s="0" t="str">
        <f aca="true">IF(A158="","",IF(T158="Yes","Void",IF(I158&lt;&gt;"","Closed",IF(AND(H158&lt;&gt;"",TODAY()&gt;H158),"Overdue","Open"))))</f>
        <v/>
      </c>
      <c r="L158" s="0" t="str">
        <f aca="true">IF(A158="","",IF(I158&lt;&gt;"",J158-B158,TODAY()-B158))</f>
        <v/>
      </c>
      <c r="U158" s="13" t="str">
        <f aca="false">IF(A158="","",MAX(B158+0,H158+0,J158+0))</f>
        <v/>
      </c>
      <c r="V158" s="0" t="str">
        <f aca="true">IF(A158="","",IF(K158="Closed","",TODAY()-U158))</f>
        <v/>
      </c>
    </row>
    <row r="159" customFormat="false" ht="15" hidden="false" customHeight="false" outlineLevel="0" collapsed="false">
      <c r="K159" s="0" t="str">
        <f aca="true">IF(A159="","",IF(T159="Yes","Void",IF(I159&lt;&gt;"","Closed",IF(AND(H159&lt;&gt;"",TODAY()&gt;H159),"Overdue","Open"))))</f>
        <v/>
      </c>
      <c r="L159" s="0" t="str">
        <f aca="true">IF(A159="","",IF(I159&lt;&gt;"",J159-B159,TODAY()-B159))</f>
        <v/>
      </c>
      <c r="U159" s="13" t="str">
        <f aca="false">IF(A159="","",MAX(B159+0,H159+0,J159+0))</f>
        <v/>
      </c>
      <c r="V159" s="0" t="str">
        <f aca="true">IF(A159="","",IF(K159="Closed","",TODAY()-U159))</f>
        <v/>
      </c>
    </row>
    <row r="160" customFormat="false" ht="15" hidden="false" customHeight="false" outlineLevel="0" collapsed="false">
      <c r="K160" s="0" t="str">
        <f aca="true">IF(A160="","",IF(T160="Yes","Void",IF(I160&lt;&gt;"","Closed",IF(AND(H160&lt;&gt;"",TODAY()&gt;H160),"Overdue","Open"))))</f>
        <v/>
      </c>
      <c r="L160" s="0" t="str">
        <f aca="true">IF(A160="","",IF(I160&lt;&gt;"",J160-B160,TODAY()-B160))</f>
        <v/>
      </c>
      <c r="U160" s="13" t="str">
        <f aca="false">IF(A160="","",MAX(B160+0,H160+0,J160+0))</f>
        <v/>
      </c>
      <c r="V160" s="0" t="str">
        <f aca="true">IF(A160="","",IF(K160="Closed","",TODAY()-U160))</f>
        <v/>
      </c>
    </row>
    <row r="161" customFormat="false" ht="15" hidden="false" customHeight="false" outlineLevel="0" collapsed="false">
      <c r="K161" s="0" t="str">
        <f aca="true">IF(A161="","",IF(T161="Yes","Void",IF(I161&lt;&gt;"","Closed",IF(AND(H161&lt;&gt;"",TODAY()&gt;H161),"Overdue","Open"))))</f>
        <v/>
      </c>
      <c r="L161" s="0" t="str">
        <f aca="true">IF(A161="","",IF(I161&lt;&gt;"",J161-B161,TODAY()-B161))</f>
        <v/>
      </c>
      <c r="U161" s="13" t="str">
        <f aca="false">IF(A161="","",MAX(B161+0,H161+0,J161+0))</f>
        <v/>
      </c>
      <c r="V161" s="0" t="str">
        <f aca="true">IF(A161="","",IF(K161="Closed","",TODAY()-U161))</f>
        <v/>
      </c>
    </row>
    <row r="162" customFormat="false" ht="15" hidden="false" customHeight="false" outlineLevel="0" collapsed="false">
      <c r="K162" s="0" t="str">
        <f aca="true">IF(A162="","",IF(T162="Yes","Void",IF(I162&lt;&gt;"","Closed",IF(AND(H162&lt;&gt;"",TODAY()&gt;H162),"Overdue","Open"))))</f>
        <v/>
      </c>
      <c r="L162" s="0" t="str">
        <f aca="true">IF(A162="","",IF(I162&lt;&gt;"",J162-B162,TODAY()-B162))</f>
        <v/>
      </c>
      <c r="U162" s="13" t="str">
        <f aca="false">IF(A162="","",MAX(B162+0,H162+0,J162+0))</f>
        <v/>
      </c>
      <c r="V162" s="0" t="str">
        <f aca="true">IF(A162="","",IF(K162="Closed","",TODAY()-U162))</f>
        <v/>
      </c>
    </row>
    <row r="163" customFormat="false" ht="15" hidden="false" customHeight="false" outlineLevel="0" collapsed="false">
      <c r="K163" s="0" t="str">
        <f aca="true">IF(A163="","",IF(T163="Yes","Void",IF(I163&lt;&gt;"","Closed",IF(AND(H163&lt;&gt;"",TODAY()&gt;H163),"Overdue","Open"))))</f>
        <v/>
      </c>
      <c r="L163" s="0" t="str">
        <f aca="true">IF(A163="","",IF(I163&lt;&gt;"",J163-B163,TODAY()-B163))</f>
        <v/>
      </c>
      <c r="U163" s="13" t="str">
        <f aca="false">IF(A163="","",MAX(B163+0,H163+0,J163+0))</f>
        <v/>
      </c>
      <c r="V163" s="0" t="str">
        <f aca="true">IF(A163="","",IF(K163="Closed","",TODAY()-U163))</f>
        <v/>
      </c>
    </row>
    <row r="164" customFormat="false" ht="15" hidden="false" customHeight="false" outlineLevel="0" collapsed="false">
      <c r="K164" s="0" t="str">
        <f aca="true">IF(A164="","",IF(T164="Yes","Void",IF(I164&lt;&gt;"","Closed",IF(AND(H164&lt;&gt;"",TODAY()&gt;H164),"Overdue","Open"))))</f>
        <v/>
      </c>
      <c r="L164" s="0" t="str">
        <f aca="true">IF(A164="","",IF(I164&lt;&gt;"",J164-B164,TODAY()-B164))</f>
        <v/>
      </c>
      <c r="U164" s="13" t="str">
        <f aca="false">IF(A164="","",MAX(B164+0,H164+0,J164+0))</f>
        <v/>
      </c>
      <c r="V164" s="0" t="str">
        <f aca="true">IF(A164="","",IF(K164="Closed","",TODAY()-U164))</f>
        <v/>
      </c>
    </row>
    <row r="165" customFormat="false" ht="15" hidden="false" customHeight="false" outlineLevel="0" collapsed="false">
      <c r="K165" s="0" t="str">
        <f aca="true">IF(A165="","",IF(T165="Yes","Void",IF(I165&lt;&gt;"","Closed",IF(AND(H165&lt;&gt;"",TODAY()&gt;H165),"Overdue","Open"))))</f>
        <v/>
      </c>
      <c r="L165" s="0" t="str">
        <f aca="true">IF(A165="","",IF(I165&lt;&gt;"",J165-B165,TODAY()-B165))</f>
        <v/>
      </c>
      <c r="U165" s="13" t="str">
        <f aca="false">IF(A165="","",MAX(B165+0,H165+0,J165+0))</f>
        <v/>
      </c>
      <c r="V165" s="0" t="str">
        <f aca="true">IF(A165="","",IF(K165="Closed","",TODAY()-U165))</f>
        <v/>
      </c>
    </row>
    <row r="166" customFormat="false" ht="15" hidden="false" customHeight="false" outlineLevel="0" collapsed="false">
      <c r="K166" s="0" t="str">
        <f aca="true">IF(A166="","",IF(T166="Yes","Void",IF(I166&lt;&gt;"","Closed",IF(AND(H166&lt;&gt;"",TODAY()&gt;H166),"Overdue","Open"))))</f>
        <v/>
      </c>
      <c r="L166" s="0" t="str">
        <f aca="true">IF(A166="","",IF(I166&lt;&gt;"",J166-B166,TODAY()-B166))</f>
        <v/>
      </c>
      <c r="U166" s="13" t="str">
        <f aca="false">IF(A166="","",MAX(B166+0,H166+0,J166+0))</f>
        <v/>
      </c>
      <c r="V166" s="0" t="str">
        <f aca="true">IF(A166="","",IF(K166="Closed","",TODAY()-U166))</f>
        <v/>
      </c>
    </row>
    <row r="167" customFormat="false" ht="15" hidden="false" customHeight="false" outlineLevel="0" collapsed="false">
      <c r="K167" s="0" t="str">
        <f aca="true">IF(A167="","",IF(T167="Yes","Void",IF(I167&lt;&gt;"","Closed",IF(AND(H167&lt;&gt;"",TODAY()&gt;H167),"Overdue","Open"))))</f>
        <v/>
      </c>
      <c r="L167" s="0" t="str">
        <f aca="true">IF(A167="","",IF(I167&lt;&gt;"",J167-B167,TODAY()-B167))</f>
        <v/>
      </c>
      <c r="U167" s="13" t="str">
        <f aca="false">IF(A167="","",MAX(B167+0,H167+0,J167+0))</f>
        <v/>
      </c>
      <c r="V167" s="0" t="str">
        <f aca="true">IF(A167="","",IF(K167="Closed","",TODAY()-U167))</f>
        <v/>
      </c>
    </row>
    <row r="168" customFormat="false" ht="15" hidden="false" customHeight="false" outlineLevel="0" collapsed="false">
      <c r="K168" s="0" t="str">
        <f aca="true">IF(A168="","",IF(T168="Yes","Void",IF(I168&lt;&gt;"","Closed",IF(AND(H168&lt;&gt;"",TODAY()&gt;H168),"Overdue","Open"))))</f>
        <v/>
      </c>
      <c r="L168" s="0" t="str">
        <f aca="true">IF(A168="","",IF(I168&lt;&gt;"",J168-B168,TODAY()-B168))</f>
        <v/>
      </c>
      <c r="U168" s="13" t="str">
        <f aca="false">IF(A168="","",MAX(B168+0,H168+0,J168+0))</f>
        <v/>
      </c>
      <c r="V168" s="0" t="str">
        <f aca="true">IF(A168="","",IF(K168="Closed","",TODAY()-U168))</f>
        <v/>
      </c>
    </row>
    <row r="169" customFormat="false" ht="15" hidden="false" customHeight="false" outlineLevel="0" collapsed="false">
      <c r="K169" s="0" t="str">
        <f aca="true">IF(A169="","",IF(T169="Yes","Void",IF(I169&lt;&gt;"","Closed",IF(AND(H169&lt;&gt;"",TODAY()&gt;H169),"Overdue","Open"))))</f>
        <v/>
      </c>
      <c r="L169" s="0" t="str">
        <f aca="true">IF(A169="","",IF(I169&lt;&gt;"",J169-B169,TODAY()-B169))</f>
        <v/>
      </c>
      <c r="U169" s="13" t="str">
        <f aca="false">IF(A169="","",MAX(B169+0,H169+0,J169+0))</f>
        <v/>
      </c>
      <c r="V169" s="0" t="str">
        <f aca="true">IF(A169="","",IF(K169="Closed","",TODAY()-U169))</f>
        <v/>
      </c>
    </row>
    <row r="170" customFormat="false" ht="15" hidden="false" customHeight="false" outlineLevel="0" collapsed="false">
      <c r="K170" s="0" t="str">
        <f aca="true">IF(A170="","",IF(T170="Yes","Void",IF(I170&lt;&gt;"","Closed",IF(AND(H170&lt;&gt;"",TODAY()&gt;H170),"Overdue","Open"))))</f>
        <v/>
      </c>
      <c r="L170" s="0" t="str">
        <f aca="true">IF(A170="","",IF(I170&lt;&gt;"",J170-B170,TODAY()-B170))</f>
        <v/>
      </c>
      <c r="U170" s="13" t="str">
        <f aca="false">IF(A170="","",MAX(B170+0,H170+0,J170+0))</f>
        <v/>
      </c>
      <c r="V170" s="0" t="str">
        <f aca="true">IF(A170="","",IF(K170="Closed","",TODAY()-U170))</f>
        <v/>
      </c>
    </row>
    <row r="171" customFormat="false" ht="15" hidden="false" customHeight="false" outlineLevel="0" collapsed="false">
      <c r="K171" s="0" t="str">
        <f aca="true">IF(A171="","",IF(T171="Yes","Void",IF(I171&lt;&gt;"","Closed",IF(AND(H171&lt;&gt;"",TODAY()&gt;H171),"Overdue","Open"))))</f>
        <v/>
      </c>
      <c r="L171" s="0" t="str">
        <f aca="true">IF(A171="","",IF(I171&lt;&gt;"",J171-B171,TODAY()-B171))</f>
        <v/>
      </c>
      <c r="U171" s="13" t="str">
        <f aca="false">IF(A171="","",MAX(B171+0,H171+0,J171+0))</f>
        <v/>
      </c>
      <c r="V171" s="0" t="str">
        <f aca="true">IF(A171="","",IF(K171="Closed","",TODAY()-U171))</f>
        <v/>
      </c>
    </row>
    <row r="172" customFormat="false" ht="15" hidden="false" customHeight="false" outlineLevel="0" collapsed="false">
      <c r="K172" s="0" t="str">
        <f aca="true">IF(A172="","",IF(T172="Yes","Void",IF(I172&lt;&gt;"","Closed",IF(AND(H172&lt;&gt;"",TODAY()&gt;H172),"Overdue","Open"))))</f>
        <v/>
      </c>
      <c r="L172" s="0" t="str">
        <f aca="true">IF(A172="","",IF(I172&lt;&gt;"",J172-B172,TODAY()-B172))</f>
        <v/>
      </c>
      <c r="U172" s="13" t="str">
        <f aca="false">IF(A172="","",MAX(B172+0,H172+0,J172+0))</f>
        <v/>
      </c>
      <c r="V172" s="0" t="str">
        <f aca="true">IF(A172="","",IF(K172="Closed","",TODAY()-U172))</f>
        <v/>
      </c>
    </row>
    <row r="173" customFormat="false" ht="15" hidden="false" customHeight="false" outlineLevel="0" collapsed="false">
      <c r="K173" s="0" t="str">
        <f aca="true">IF(A173="","",IF(T173="Yes","Void",IF(I173&lt;&gt;"","Closed",IF(AND(H173&lt;&gt;"",TODAY()&gt;H173),"Overdue","Open"))))</f>
        <v/>
      </c>
      <c r="L173" s="0" t="str">
        <f aca="true">IF(A173="","",IF(I173&lt;&gt;"",J173-B173,TODAY()-B173))</f>
        <v/>
      </c>
      <c r="U173" s="13" t="str">
        <f aca="false">IF(A173="","",MAX(B173+0,H173+0,J173+0))</f>
        <v/>
      </c>
      <c r="V173" s="0" t="str">
        <f aca="true">IF(A173="","",IF(K173="Closed","",TODAY()-U173))</f>
        <v/>
      </c>
    </row>
    <row r="174" customFormat="false" ht="15" hidden="false" customHeight="false" outlineLevel="0" collapsed="false">
      <c r="K174" s="0" t="str">
        <f aca="true">IF(A174="","",IF(T174="Yes","Void",IF(I174&lt;&gt;"","Closed",IF(AND(H174&lt;&gt;"",TODAY()&gt;H174),"Overdue","Open"))))</f>
        <v/>
      </c>
      <c r="L174" s="0" t="str">
        <f aca="true">IF(A174="","",IF(I174&lt;&gt;"",J174-B174,TODAY()-B174))</f>
        <v/>
      </c>
      <c r="U174" s="13" t="str">
        <f aca="false">IF(A174="","",MAX(B174+0,H174+0,J174+0))</f>
        <v/>
      </c>
      <c r="V174" s="0" t="str">
        <f aca="true">IF(A174="","",IF(K174="Closed","",TODAY()-U174))</f>
        <v/>
      </c>
    </row>
    <row r="175" customFormat="false" ht="15" hidden="false" customHeight="false" outlineLevel="0" collapsed="false">
      <c r="K175" s="0" t="str">
        <f aca="true">IF(A175="","",IF(T175="Yes","Void",IF(I175&lt;&gt;"","Closed",IF(AND(H175&lt;&gt;"",TODAY()&gt;H175),"Overdue","Open"))))</f>
        <v/>
      </c>
      <c r="L175" s="0" t="str">
        <f aca="true">IF(A175="","",IF(I175&lt;&gt;"",J175-B175,TODAY()-B175))</f>
        <v/>
      </c>
      <c r="U175" s="13" t="str">
        <f aca="false">IF(A175="","",MAX(B175+0,H175+0,J175+0))</f>
        <v/>
      </c>
      <c r="V175" s="0" t="str">
        <f aca="true">IF(A175="","",IF(K175="Closed","",TODAY()-U175))</f>
        <v/>
      </c>
    </row>
    <row r="176" customFormat="false" ht="15" hidden="false" customHeight="false" outlineLevel="0" collapsed="false">
      <c r="K176" s="0" t="str">
        <f aca="true">IF(A176="","",IF(T176="Yes","Void",IF(I176&lt;&gt;"","Closed",IF(AND(H176&lt;&gt;"",TODAY()&gt;H176),"Overdue","Open"))))</f>
        <v/>
      </c>
      <c r="L176" s="0" t="str">
        <f aca="true">IF(A176="","",IF(I176&lt;&gt;"",J176-B176,TODAY()-B176))</f>
        <v/>
      </c>
      <c r="U176" s="13" t="str">
        <f aca="false">IF(A176="","",MAX(B176+0,H176+0,J176+0))</f>
        <v/>
      </c>
      <c r="V176" s="0" t="str">
        <f aca="true">IF(A176="","",IF(K176="Closed","",TODAY()-U176))</f>
        <v/>
      </c>
    </row>
    <row r="177" customFormat="false" ht="15" hidden="false" customHeight="false" outlineLevel="0" collapsed="false">
      <c r="K177" s="0" t="str">
        <f aca="true">IF(A177="","",IF(T177="Yes","Void",IF(I177&lt;&gt;"","Closed",IF(AND(H177&lt;&gt;"",TODAY()&gt;H177),"Overdue","Open"))))</f>
        <v/>
      </c>
      <c r="L177" s="0" t="str">
        <f aca="true">IF(A177="","",IF(I177&lt;&gt;"",J177-B177,TODAY()-B177))</f>
        <v/>
      </c>
      <c r="U177" s="13" t="str">
        <f aca="false">IF(A177="","",MAX(B177+0,H177+0,J177+0))</f>
        <v/>
      </c>
      <c r="V177" s="0" t="str">
        <f aca="true">IF(A177="","",IF(K177="Closed","",TODAY()-U177))</f>
        <v/>
      </c>
    </row>
    <row r="178" customFormat="false" ht="15" hidden="false" customHeight="false" outlineLevel="0" collapsed="false">
      <c r="K178" s="0" t="str">
        <f aca="true">IF(A178="","",IF(T178="Yes","Void",IF(I178&lt;&gt;"","Closed",IF(AND(H178&lt;&gt;"",TODAY()&gt;H178),"Overdue","Open"))))</f>
        <v/>
      </c>
      <c r="L178" s="0" t="str">
        <f aca="true">IF(A178="","",IF(I178&lt;&gt;"",J178-B178,TODAY()-B178))</f>
        <v/>
      </c>
      <c r="U178" s="13" t="str">
        <f aca="false">IF(A178="","",MAX(B178+0,H178+0,J178+0))</f>
        <v/>
      </c>
      <c r="V178" s="0" t="str">
        <f aca="true">IF(A178="","",IF(K178="Closed","",TODAY()-U178))</f>
        <v/>
      </c>
    </row>
    <row r="179" customFormat="false" ht="15" hidden="false" customHeight="false" outlineLevel="0" collapsed="false">
      <c r="K179" s="0" t="str">
        <f aca="true">IF(A179="","",IF(T179="Yes","Void",IF(I179&lt;&gt;"","Closed",IF(AND(H179&lt;&gt;"",TODAY()&gt;H179),"Overdue","Open"))))</f>
        <v/>
      </c>
      <c r="L179" s="0" t="str">
        <f aca="true">IF(A179="","",IF(I179&lt;&gt;"",J179-B179,TODAY()-B179))</f>
        <v/>
      </c>
      <c r="U179" s="13" t="str">
        <f aca="false">IF(A179="","",MAX(B179+0,H179+0,J179+0))</f>
        <v/>
      </c>
      <c r="V179" s="0" t="str">
        <f aca="true">IF(A179="","",IF(K179="Closed","",TODAY()-U179))</f>
        <v/>
      </c>
    </row>
    <row r="180" customFormat="false" ht="15" hidden="false" customHeight="false" outlineLevel="0" collapsed="false">
      <c r="K180" s="0" t="str">
        <f aca="true">IF(A180="","",IF(T180="Yes","Void",IF(I180&lt;&gt;"","Closed",IF(AND(H180&lt;&gt;"",TODAY()&gt;H180),"Overdue","Open"))))</f>
        <v/>
      </c>
      <c r="L180" s="0" t="str">
        <f aca="true">IF(A180="","",IF(I180&lt;&gt;"",J180-B180,TODAY()-B180))</f>
        <v/>
      </c>
      <c r="U180" s="13" t="str">
        <f aca="false">IF(A180="","",MAX(B180+0,H180+0,J180+0))</f>
        <v/>
      </c>
      <c r="V180" s="0" t="str">
        <f aca="true">IF(A180="","",IF(K180="Closed","",TODAY()-U180))</f>
        <v/>
      </c>
    </row>
    <row r="181" customFormat="false" ht="15" hidden="false" customHeight="false" outlineLevel="0" collapsed="false">
      <c r="K181" s="0" t="str">
        <f aca="true">IF(A181="","",IF(T181="Yes","Void",IF(I181&lt;&gt;"","Closed",IF(AND(H181&lt;&gt;"",TODAY()&gt;H181),"Overdue","Open"))))</f>
        <v/>
      </c>
      <c r="L181" s="0" t="str">
        <f aca="true">IF(A181="","",IF(I181&lt;&gt;"",J181-B181,TODAY()-B181))</f>
        <v/>
      </c>
      <c r="U181" s="13" t="str">
        <f aca="false">IF(A181="","",MAX(B181+0,H181+0,J181+0))</f>
        <v/>
      </c>
      <c r="V181" s="0" t="str">
        <f aca="true">IF(A181="","",IF(K181="Closed","",TODAY()-U181))</f>
        <v/>
      </c>
    </row>
    <row r="182" customFormat="false" ht="15" hidden="false" customHeight="false" outlineLevel="0" collapsed="false">
      <c r="K182" s="0" t="str">
        <f aca="true">IF(A182="","",IF(T182="Yes","Void",IF(I182&lt;&gt;"","Closed",IF(AND(H182&lt;&gt;"",TODAY()&gt;H182),"Overdue","Open"))))</f>
        <v/>
      </c>
      <c r="L182" s="0" t="str">
        <f aca="true">IF(A182="","",IF(I182&lt;&gt;"",J182-B182,TODAY()-B182))</f>
        <v/>
      </c>
      <c r="U182" s="13" t="str">
        <f aca="false">IF(A182="","",MAX(B182+0,H182+0,J182+0))</f>
        <v/>
      </c>
      <c r="V182" s="0" t="str">
        <f aca="true">IF(A182="","",IF(K182="Closed","",TODAY()-U182))</f>
        <v/>
      </c>
    </row>
    <row r="183" customFormat="false" ht="15" hidden="false" customHeight="false" outlineLevel="0" collapsed="false">
      <c r="K183" s="0" t="str">
        <f aca="true">IF(A183="","",IF(T183="Yes","Void",IF(I183&lt;&gt;"","Closed",IF(AND(H183&lt;&gt;"",TODAY()&gt;H183),"Overdue","Open"))))</f>
        <v/>
      </c>
      <c r="L183" s="0" t="str">
        <f aca="true">IF(A183="","",IF(I183&lt;&gt;"",J183-B183,TODAY()-B183))</f>
        <v/>
      </c>
      <c r="U183" s="13" t="str">
        <f aca="false">IF(A183="","",MAX(B183+0,H183+0,J183+0))</f>
        <v/>
      </c>
      <c r="V183" s="0" t="str">
        <f aca="true">IF(A183="","",IF(K183="Closed","",TODAY()-U183))</f>
        <v/>
      </c>
    </row>
    <row r="184" customFormat="false" ht="15" hidden="false" customHeight="false" outlineLevel="0" collapsed="false">
      <c r="K184" s="0" t="str">
        <f aca="true">IF(A184="","",IF(T184="Yes","Void",IF(I184&lt;&gt;"","Closed",IF(AND(H184&lt;&gt;"",TODAY()&gt;H184),"Overdue","Open"))))</f>
        <v/>
      </c>
      <c r="L184" s="0" t="str">
        <f aca="true">IF(A184="","",IF(I184&lt;&gt;"",J184-B184,TODAY()-B184))</f>
        <v/>
      </c>
      <c r="U184" s="13" t="str">
        <f aca="false">IF(A184="","",MAX(B184+0,H184+0,J184+0))</f>
        <v/>
      </c>
      <c r="V184" s="0" t="str">
        <f aca="true">IF(A184="","",IF(K184="Closed","",TODAY()-U184))</f>
        <v/>
      </c>
    </row>
    <row r="185" customFormat="false" ht="15" hidden="false" customHeight="false" outlineLevel="0" collapsed="false">
      <c r="K185" s="0" t="str">
        <f aca="true">IF(A185="","",IF(T185="Yes","Void",IF(I185&lt;&gt;"","Closed",IF(AND(H185&lt;&gt;"",TODAY()&gt;H185),"Overdue","Open"))))</f>
        <v/>
      </c>
      <c r="L185" s="0" t="str">
        <f aca="true">IF(A185="","",IF(I185&lt;&gt;"",J185-B185,TODAY()-B185))</f>
        <v/>
      </c>
      <c r="U185" s="13" t="str">
        <f aca="false">IF(A185="","",MAX(B185+0,H185+0,J185+0))</f>
        <v/>
      </c>
      <c r="V185" s="0" t="str">
        <f aca="true">IF(A185="","",IF(K185="Closed","",TODAY()-U185))</f>
        <v/>
      </c>
    </row>
    <row r="186" customFormat="false" ht="15" hidden="false" customHeight="false" outlineLevel="0" collapsed="false">
      <c r="K186" s="0" t="str">
        <f aca="true">IF(A186="","",IF(T186="Yes","Void",IF(I186&lt;&gt;"","Closed",IF(AND(H186&lt;&gt;"",TODAY()&gt;H186),"Overdue","Open"))))</f>
        <v/>
      </c>
      <c r="L186" s="0" t="str">
        <f aca="true">IF(A186="","",IF(I186&lt;&gt;"",J186-B186,TODAY()-B186))</f>
        <v/>
      </c>
      <c r="U186" s="13" t="str">
        <f aca="false">IF(A186="","",MAX(B186+0,H186+0,J186+0))</f>
        <v/>
      </c>
      <c r="V186" s="0" t="str">
        <f aca="true">IF(A186="","",IF(K186="Closed","",TODAY()-U186))</f>
        <v/>
      </c>
    </row>
    <row r="187" customFormat="false" ht="15" hidden="false" customHeight="false" outlineLevel="0" collapsed="false">
      <c r="K187" s="0" t="str">
        <f aca="true">IF(A187="","",IF(T187="Yes","Void",IF(I187&lt;&gt;"","Closed",IF(AND(H187&lt;&gt;"",TODAY()&gt;H187),"Overdue","Open"))))</f>
        <v/>
      </c>
      <c r="L187" s="0" t="str">
        <f aca="true">IF(A187="","",IF(I187&lt;&gt;"",J187-B187,TODAY()-B187))</f>
        <v/>
      </c>
      <c r="U187" s="13" t="str">
        <f aca="false">IF(A187="","",MAX(B187+0,H187+0,J187+0))</f>
        <v/>
      </c>
      <c r="V187" s="0" t="str">
        <f aca="true">IF(A187="","",IF(K187="Closed","",TODAY()-U187))</f>
        <v/>
      </c>
    </row>
    <row r="188" customFormat="false" ht="15" hidden="false" customHeight="false" outlineLevel="0" collapsed="false">
      <c r="K188" s="0" t="str">
        <f aca="true">IF(A188="","",IF(T188="Yes","Void",IF(I188&lt;&gt;"","Closed",IF(AND(H188&lt;&gt;"",TODAY()&gt;H188),"Overdue","Open"))))</f>
        <v/>
      </c>
      <c r="L188" s="0" t="str">
        <f aca="true">IF(A188="","",IF(I188&lt;&gt;"",J188-B188,TODAY()-B188))</f>
        <v/>
      </c>
      <c r="U188" s="13" t="str">
        <f aca="false">IF(A188="","",MAX(B188+0,H188+0,J188+0))</f>
        <v/>
      </c>
      <c r="V188" s="0" t="str">
        <f aca="true">IF(A188="","",IF(K188="Closed","",TODAY()-U188))</f>
        <v/>
      </c>
    </row>
    <row r="189" customFormat="false" ht="15" hidden="false" customHeight="false" outlineLevel="0" collapsed="false">
      <c r="K189" s="0" t="str">
        <f aca="true">IF(A189="","",IF(T189="Yes","Void",IF(I189&lt;&gt;"","Closed",IF(AND(H189&lt;&gt;"",TODAY()&gt;H189),"Overdue","Open"))))</f>
        <v/>
      </c>
      <c r="L189" s="0" t="str">
        <f aca="true">IF(A189="","",IF(I189&lt;&gt;"",J189-B189,TODAY()-B189))</f>
        <v/>
      </c>
      <c r="U189" s="13" t="str">
        <f aca="false">IF(A189="","",MAX(B189+0,H189+0,J189+0))</f>
        <v/>
      </c>
      <c r="V189" s="0" t="str">
        <f aca="true">IF(A189="","",IF(K189="Closed","",TODAY()-U189))</f>
        <v/>
      </c>
    </row>
    <row r="190" customFormat="false" ht="15" hidden="false" customHeight="false" outlineLevel="0" collapsed="false">
      <c r="K190" s="0" t="str">
        <f aca="true">IF(A190="","",IF(T190="Yes","Void",IF(I190&lt;&gt;"","Closed",IF(AND(H190&lt;&gt;"",TODAY()&gt;H190),"Overdue","Open"))))</f>
        <v/>
      </c>
      <c r="L190" s="0" t="str">
        <f aca="true">IF(A190="","",IF(I190&lt;&gt;"",J190-B190,TODAY()-B190))</f>
        <v/>
      </c>
      <c r="U190" s="13" t="str">
        <f aca="false">IF(A190="","",MAX(B190+0,H190+0,J190+0))</f>
        <v/>
      </c>
      <c r="V190" s="0" t="str">
        <f aca="true">IF(A190="","",IF(K190="Closed","",TODAY()-U190))</f>
        <v/>
      </c>
    </row>
    <row r="191" customFormat="false" ht="15" hidden="false" customHeight="false" outlineLevel="0" collapsed="false">
      <c r="K191" s="0" t="str">
        <f aca="true">IF(A191="","",IF(T191="Yes","Void",IF(I191&lt;&gt;"","Closed",IF(AND(H191&lt;&gt;"",TODAY()&gt;H191),"Overdue","Open"))))</f>
        <v/>
      </c>
      <c r="L191" s="0" t="str">
        <f aca="true">IF(A191="","",IF(I191&lt;&gt;"",J191-B191,TODAY()-B191))</f>
        <v/>
      </c>
      <c r="U191" s="13" t="str">
        <f aca="false">IF(A191="","",MAX(B191+0,H191+0,J191+0))</f>
        <v/>
      </c>
      <c r="V191" s="0" t="str">
        <f aca="true">IF(A191="","",IF(K191="Closed","",TODAY()-U191))</f>
        <v/>
      </c>
    </row>
    <row r="192" customFormat="false" ht="15" hidden="false" customHeight="false" outlineLevel="0" collapsed="false">
      <c r="K192" s="0" t="str">
        <f aca="true">IF(A192="","",IF(T192="Yes","Void",IF(I192&lt;&gt;"","Closed",IF(AND(H192&lt;&gt;"",TODAY()&gt;H192),"Overdue","Open"))))</f>
        <v/>
      </c>
      <c r="L192" s="0" t="str">
        <f aca="true">IF(A192="","",IF(I192&lt;&gt;"",J192-B192,TODAY()-B192))</f>
        <v/>
      </c>
      <c r="U192" s="13" t="str">
        <f aca="false">IF(A192="","",MAX(B192+0,H192+0,J192+0))</f>
        <v/>
      </c>
      <c r="V192" s="0" t="str">
        <f aca="true">IF(A192="","",IF(K192="Closed","",TODAY()-U192))</f>
        <v/>
      </c>
    </row>
    <row r="193" customFormat="false" ht="15" hidden="false" customHeight="false" outlineLevel="0" collapsed="false">
      <c r="K193" s="0" t="str">
        <f aca="true">IF(A193="","",IF(T193="Yes","Void",IF(I193&lt;&gt;"","Closed",IF(AND(H193&lt;&gt;"",TODAY()&gt;H193),"Overdue","Open"))))</f>
        <v/>
      </c>
      <c r="L193" s="0" t="str">
        <f aca="true">IF(A193="","",IF(I193&lt;&gt;"",J193-B193,TODAY()-B193))</f>
        <v/>
      </c>
      <c r="U193" s="13" t="str">
        <f aca="false">IF(A193="","",MAX(B193+0,H193+0,J193+0))</f>
        <v/>
      </c>
      <c r="V193" s="0" t="str">
        <f aca="true">IF(A193="","",IF(K193="Closed","",TODAY()-U193))</f>
        <v/>
      </c>
    </row>
    <row r="194" customFormat="false" ht="15" hidden="false" customHeight="false" outlineLevel="0" collapsed="false">
      <c r="K194" s="0" t="str">
        <f aca="true">IF(A194="","",IF(T194="Yes","Void",IF(I194&lt;&gt;"","Closed",IF(AND(H194&lt;&gt;"",TODAY()&gt;H194),"Overdue","Open"))))</f>
        <v/>
      </c>
      <c r="L194" s="0" t="str">
        <f aca="true">IF(A194="","",IF(I194&lt;&gt;"",J194-B194,TODAY()-B194))</f>
        <v/>
      </c>
      <c r="U194" s="13" t="str">
        <f aca="false">IF(A194="","",MAX(B194+0,H194+0,J194+0))</f>
        <v/>
      </c>
      <c r="V194" s="0" t="str">
        <f aca="true">IF(A194="","",IF(K194="Closed","",TODAY()-U194))</f>
        <v/>
      </c>
    </row>
    <row r="195" customFormat="false" ht="15" hidden="false" customHeight="false" outlineLevel="0" collapsed="false">
      <c r="K195" s="0" t="str">
        <f aca="true">IF(A195="","",IF(T195="Yes","Void",IF(I195&lt;&gt;"","Closed",IF(AND(H195&lt;&gt;"",TODAY()&gt;H195),"Overdue","Open"))))</f>
        <v/>
      </c>
      <c r="L195" s="0" t="str">
        <f aca="true">IF(A195="","",IF(I195&lt;&gt;"",J195-B195,TODAY()-B195))</f>
        <v/>
      </c>
      <c r="U195" s="13" t="str">
        <f aca="false">IF(A195="","",MAX(B195+0,H195+0,J195+0))</f>
        <v/>
      </c>
      <c r="V195" s="0" t="str">
        <f aca="true">IF(A195="","",IF(K195="Closed","",TODAY()-U195))</f>
        <v/>
      </c>
    </row>
    <row r="196" customFormat="false" ht="15" hidden="false" customHeight="false" outlineLevel="0" collapsed="false">
      <c r="K196" s="0" t="str">
        <f aca="true">IF(A196="","",IF(T196="Yes","Void",IF(I196&lt;&gt;"","Closed",IF(AND(H196&lt;&gt;"",TODAY()&gt;H196),"Overdue","Open"))))</f>
        <v/>
      </c>
      <c r="L196" s="0" t="str">
        <f aca="true">IF(A196="","",IF(I196&lt;&gt;"",J196-B196,TODAY()-B196))</f>
        <v/>
      </c>
      <c r="U196" s="13" t="str">
        <f aca="false">IF(A196="","",MAX(B196+0,H196+0,J196+0))</f>
        <v/>
      </c>
      <c r="V196" s="0" t="str">
        <f aca="true">IF(A196="","",IF(K196="Closed","",TODAY()-U196))</f>
        <v/>
      </c>
    </row>
    <row r="197" customFormat="false" ht="15" hidden="false" customHeight="false" outlineLevel="0" collapsed="false">
      <c r="K197" s="0" t="str">
        <f aca="true">IF(A197="","",IF(T197="Yes","Void",IF(I197&lt;&gt;"","Closed",IF(AND(H197&lt;&gt;"",TODAY()&gt;H197),"Overdue","Open"))))</f>
        <v/>
      </c>
      <c r="L197" s="0" t="str">
        <f aca="true">IF(A197="","",IF(I197&lt;&gt;"",J197-B197,TODAY()-B197))</f>
        <v/>
      </c>
      <c r="U197" s="13" t="str">
        <f aca="false">IF(A197="","",MAX(B197+0,H197+0,J197+0))</f>
        <v/>
      </c>
      <c r="V197" s="0" t="str">
        <f aca="true">IF(A197="","",IF(K197="Closed","",TODAY()-U197))</f>
        <v/>
      </c>
    </row>
    <row r="198" customFormat="false" ht="15" hidden="false" customHeight="false" outlineLevel="0" collapsed="false">
      <c r="K198" s="0" t="str">
        <f aca="true">IF(A198="","",IF(T198="Yes","Void",IF(I198&lt;&gt;"","Closed",IF(AND(H198&lt;&gt;"",TODAY()&gt;H198),"Overdue","Open"))))</f>
        <v/>
      </c>
      <c r="L198" s="0" t="str">
        <f aca="true">IF(A198="","",IF(I198&lt;&gt;"",J198-B198,TODAY()-B198))</f>
        <v/>
      </c>
      <c r="U198" s="13" t="str">
        <f aca="false">IF(A198="","",MAX(B198+0,H198+0,J198+0))</f>
        <v/>
      </c>
      <c r="V198" s="0" t="str">
        <f aca="true">IF(A198="","",IF(K198="Closed","",TODAY()-U198))</f>
        <v/>
      </c>
    </row>
    <row r="199" customFormat="false" ht="15" hidden="false" customHeight="false" outlineLevel="0" collapsed="false">
      <c r="K199" s="0" t="str">
        <f aca="true">IF(A199="","",IF(T199="Yes","Void",IF(I199&lt;&gt;"","Closed",IF(AND(H199&lt;&gt;"",TODAY()&gt;H199),"Overdue","Open"))))</f>
        <v/>
      </c>
      <c r="L199" s="0" t="str">
        <f aca="true">IF(A199="","",IF(I199&lt;&gt;"",J199-B199,TODAY()-B199))</f>
        <v/>
      </c>
      <c r="U199" s="13" t="str">
        <f aca="false">IF(A199="","",MAX(B199+0,H199+0,J199+0))</f>
        <v/>
      </c>
      <c r="V199" s="0" t="str">
        <f aca="true">IF(A199="","",IF(K199="Closed","",TODAY()-U199))</f>
        <v/>
      </c>
    </row>
    <row r="200" customFormat="false" ht="15" hidden="false" customHeight="false" outlineLevel="0" collapsed="false">
      <c r="K200" s="0" t="str">
        <f aca="true">IF(A200="","",IF(T200="Yes","Void",IF(I200&lt;&gt;"","Closed",IF(AND(H200&lt;&gt;"",TODAY()&gt;H200),"Overdue","Open"))))</f>
        <v/>
      </c>
      <c r="L200" s="0" t="str">
        <f aca="true">IF(A200="","",IF(I200&lt;&gt;"",J200-B200,TODAY()-B200))</f>
        <v/>
      </c>
      <c r="U200" s="13" t="str">
        <f aca="false">IF(A200="","",MAX(B200+0,H200+0,J200+0))</f>
        <v/>
      </c>
      <c r="V200" s="0" t="str">
        <f aca="true">IF(A200="","",IF(K200="Closed","",TODAY()-U200))</f>
        <v/>
      </c>
    </row>
    <row r="201" customFormat="false" ht="15" hidden="false" customHeight="false" outlineLevel="0" collapsed="false">
      <c r="K201" s="0" t="str">
        <f aca="true">IF(A201="","",IF(T201="Yes","Void",IF(I201&lt;&gt;"","Closed",IF(AND(H201&lt;&gt;"",TODAY()&gt;H201),"Overdue","Open"))))</f>
        <v/>
      </c>
      <c r="L201" s="0" t="str">
        <f aca="true">IF(A201="","",IF(I201&lt;&gt;"",J201-B201,TODAY()-B201))</f>
        <v/>
      </c>
      <c r="U201" s="13" t="str">
        <f aca="false">IF(A201="","",MAX(B201+0,H201+0,J201+0))</f>
        <v/>
      </c>
      <c r="V201" s="0" t="str">
        <f aca="true">IF(A201="","",IF(K201="Closed","",TODAY()-U201))</f>
        <v/>
      </c>
    </row>
    <row r="202" customFormat="false" ht="15" hidden="false" customHeight="false" outlineLevel="0" collapsed="false">
      <c r="K202" s="0" t="str">
        <f aca="true">IF(A202="","",IF(T202="Yes","Void",IF(I202&lt;&gt;"","Closed",IF(AND(H202&lt;&gt;"",TODAY()&gt;H202),"Overdue","Open"))))</f>
        <v/>
      </c>
      <c r="L202" s="0" t="str">
        <f aca="true">IF(A202="","",IF(I202&lt;&gt;"",J202-B202,TODAY()-B202))</f>
        <v/>
      </c>
      <c r="U202" s="13" t="str">
        <f aca="false">IF(A202="","",MAX(B202+0,H202+0,J202+0))</f>
        <v/>
      </c>
      <c r="V202" s="0" t="str">
        <f aca="true">IF(A202="","",IF(K202="Closed","",TODAY()-U202))</f>
        <v/>
      </c>
    </row>
    <row r="203" customFormat="false" ht="15" hidden="false" customHeight="false" outlineLevel="0" collapsed="false">
      <c r="K203" s="0" t="str">
        <f aca="true">IF(A203="","",IF(T203="Yes","Void",IF(I203&lt;&gt;"","Closed",IF(AND(H203&lt;&gt;"",TODAY()&gt;H203),"Overdue","Open"))))</f>
        <v/>
      </c>
      <c r="L203" s="0" t="str">
        <f aca="true">IF(A203="","",IF(I203&lt;&gt;"",J203-B203,TODAY()-B203))</f>
        <v/>
      </c>
      <c r="U203" s="13" t="str">
        <f aca="false">IF(A203="","",MAX(B203+0,H203+0,J203+0))</f>
        <v/>
      </c>
      <c r="V203" s="0" t="str">
        <f aca="true">IF(A203="","",IF(K203="Closed","",TODAY()-U203))</f>
        <v/>
      </c>
    </row>
    <row r="204" customFormat="false" ht="15" hidden="false" customHeight="false" outlineLevel="0" collapsed="false">
      <c r="K204" s="0" t="str">
        <f aca="true">IF(A204="","",IF(T204="Yes","Void",IF(I204&lt;&gt;"","Closed",IF(AND(H204&lt;&gt;"",TODAY()&gt;H204),"Overdue","Open"))))</f>
        <v/>
      </c>
      <c r="L204" s="0" t="str">
        <f aca="true">IF(A204="","",IF(I204&lt;&gt;"",J204-B204,TODAY()-B204))</f>
        <v/>
      </c>
      <c r="U204" s="13" t="str">
        <f aca="false">IF(A204="","",MAX(B204+0,H204+0,J204+0))</f>
        <v/>
      </c>
      <c r="V204" s="0" t="str">
        <f aca="true">IF(A204="","",IF(K204="Closed","",TODAY()-U204))</f>
        <v/>
      </c>
    </row>
    <row r="205" customFormat="false" ht="15" hidden="false" customHeight="false" outlineLevel="0" collapsed="false">
      <c r="K205" s="0" t="str">
        <f aca="true">IF(A205="","",IF(T205="Yes","Void",IF(I205&lt;&gt;"","Closed",IF(AND(H205&lt;&gt;"",TODAY()&gt;H205),"Overdue","Open"))))</f>
        <v/>
      </c>
      <c r="L205" s="0" t="str">
        <f aca="true">IF(A205="","",IF(I205&lt;&gt;"",J205-B205,TODAY()-B205))</f>
        <v/>
      </c>
      <c r="U205" s="13" t="str">
        <f aca="false">IF(A205="","",MAX(B205+0,H205+0,J205+0))</f>
        <v/>
      </c>
      <c r="V205" s="0" t="str">
        <f aca="true">IF(A205="","",IF(K205="Closed","",TODAY()-U205))</f>
        <v/>
      </c>
    </row>
    <row r="206" customFormat="false" ht="15" hidden="false" customHeight="false" outlineLevel="0" collapsed="false">
      <c r="K206" s="0" t="str">
        <f aca="true">IF(A206="","",IF(T206="Yes","Void",IF(I206&lt;&gt;"","Closed",IF(AND(H206&lt;&gt;"",TODAY()&gt;H206),"Overdue","Open"))))</f>
        <v/>
      </c>
      <c r="L206" s="0" t="str">
        <f aca="true">IF(A206="","",IF(I206&lt;&gt;"",J206-B206,TODAY()-B206))</f>
        <v/>
      </c>
      <c r="U206" s="13" t="str">
        <f aca="false">IF(A206="","",MAX(B206+0,H206+0,J206+0))</f>
        <v/>
      </c>
      <c r="V206" s="0" t="str">
        <f aca="true">IF(A206="","",IF(K206="Closed","",TODAY()-U206))</f>
        <v/>
      </c>
    </row>
    <row r="207" customFormat="false" ht="15" hidden="false" customHeight="false" outlineLevel="0" collapsed="false">
      <c r="K207" s="0" t="str">
        <f aca="true">IF(A207="","",IF(T207="Yes","Void",IF(I207&lt;&gt;"","Closed",IF(AND(H207&lt;&gt;"",TODAY()&gt;H207),"Overdue","Open"))))</f>
        <v/>
      </c>
      <c r="L207" s="0" t="str">
        <f aca="true">IF(A207="","",IF(I207&lt;&gt;"",J207-B207,TODAY()-B207))</f>
        <v/>
      </c>
      <c r="U207" s="13" t="str">
        <f aca="false">IF(A207="","",MAX(B207+0,H207+0,J207+0))</f>
        <v/>
      </c>
      <c r="V207" s="0" t="str">
        <f aca="true">IF(A207="","",IF(K207="Closed","",TODAY()-U207))</f>
        <v/>
      </c>
    </row>
    <row r="208" customFormat="false" ht="15" hidden="false" customHeight="false" outlineLevel="0" collapsed="false">
      <c r="K208" s="0" t="str">
        <f aca="true">IF(A208="","",IF(T208="Yes","Void",IF(I208&lt;&gt;"","Closed",IF(AND(H208&lt;&gt;"",TODAY()&gt;H208),"Overdue","Open"))))</f>
        <v/>
      </c>
      <c r="L208" s="0" t="str">
        <f aca="true">IF(A208="","",IF(I208&lt;&gt;"",J208-B208,TODAY()-B208))</f>
        <v/>
      </c>
      <c r="U208" s="13" t="str">
        <f aca="false">IF(A208="","",MAX(B208+0,H208+0,J208+0))</f>
        <v/>
      </c>
      <c r="V208" s="0" t="str">
        <f aca="true">IF(A208="","",IF(K208="Closed","",TODAY()-U208))</f>
        <v/>
      </c>
    </row>
    <row r="209" customFormat="false" ht="15" hidden="false" customHeight="false" outlineLevel="0" collapsed="false">
      <c r="K209" s="0" t="str">
        <f aca="true">IF(A209="","",IF(T209="Yes","Void",IF(I209&lt;&gt;"","Closed",IF(AND(H209&lt;&gt;"",TODAY()&gt;H209),"Overdue","Open"))))</f>
        <v/>
      </c>
      <c r="L209" s="0" t="str">
        <f aca="true">IF(A209="","",IF(I209&lt;&gt;"",J209-B209,TODAY()-B209))</f>
        <v/>
      </c>
      <c r="U209" s="13" t="str">
        <f aca="false">IF(A209="","",MAX(B209+0,H209+0,J209+0))</f>
        <v/>
      </c>
      <c r="V209" s="0" t="str">
        <f aca="true">IF(A209="","",IF(K209="Closed","",TODAY()-U209))</f>
        <v/>
      </c>
    </row>
    <row r="210" customFormat="false" ht="15" hidden="false" customHeight="false" outlineLevel="0" collapsed="false">
      <c r="K210" s="0" t="str">
        <f aca="true">IF(A210="","",IF(T210="Yes","Void",IF(I210&lt;&gt;"","Closed",IF(AND(H210&lt;&gt;"",TODAY()&gt;H210),"Overdue","Open"))))</f>
        <v/>
      </c>
      <c r="L210" s="0" t="str">
        <f aca="true">IF(A210="","",IF(I210&lt;&gt;"",J210-B210,TODAY()-B210))</f>
        <v/>
      </c>
      <c r="U210" s="13" t="str">
        <f aca="false">IF(A210="","",MAX(B210+0,H210+0,J210+0))</f>
        <v/>
      </c>
      <c r="V210" s="0" t="str">
        <f aca="true">IF(A210="","",IF(K210="Closed","",TODAY()-U210))</f>
        <v/>
      </c>
    </row>
    <row r="211" customFormat="false" ht="15" hidden="false" customHeight="false" outlineLevel="0" collapsed="false">
      <c r="K211" s="0" t="str">
        <f aca="true">IF(A211="","",IF(T211="Yes","Void",IF(I211&lt;&gt;"","Closed",IF(AND(H211&lt;&gt;"",TODAY()&gt;H211),"Overdue","Open"))))</f>
        <v/>
      </c>
      <c r="L211" s="0" t="str">
        <f aca="true">IF(A211="","",IF(I211&lt;&gt;"",J211-B211,TODAY()-B211))</f>
        <v/>
      </c>
      <c r="U211" s="13" t="str">
        <f aca="false">IF(A211="","",MAX(B211+0,H211+0,J211+0))</f>
        <v/>
      </c>
      <c r="V211" s="0" t="str">
        <f aca="true">IF(A211="","",IF(K211="Closed","",TODAY()-U211))</f>
        <v/>
      </c>
    </row>
    <row r="212" customFormat="false" ht="15" hidden="false" customHeight="false" outlineLevel="0" collapsed="false">
      <c r="K212" s="0" t="str">
        <f aca="true">IF(A212="","",IF(T212="Yes","Void",IF(I212&lt;&gt;"","Closed",IF(AND(H212&lt;&gt;"",TODAY()&gt;H212),"Overdue","Open"))))</f>
        <v/>
      </c>
      <c r="L212" s="0" t="str">
        <f aca="true">IF(A212="","",IF(I212&lt;&gt;"",J212-B212,TODAY()-B212))</f>
        <v/>
      </c>
      <c r="U212" s="13" t="str">
        <f aca="false">IF(A212="","",MAX(B212+0,H212+0,J212+0))</f>
        <v/>
      </c>
      <c r="V212" s="0" t="str">
        <f aca="true">IF(A212="","",IF(K212="Closed","",TODAY()-U212))</f>
        <v/>
      </c>
    </row>
    <row r="213" customFormat="false" ht="15" hidden="false" customHeight="false" outlineLevel="0" collapsed="false">
      <c r="K213" s="0" t="str">
        <f aca="true">IF(A213="","",IF(T213="Yes","Void",IF(I213&lt;&gt;"","Closed",IF(AND(H213&lt;&gt;"",TODAY()&gt;H213),"Overdue","Open"))))</f>
        <v/>
      </c>
      <c r="L213" s="0" t="str">
        <f aca="true">IF(A213="","",IF(I213&lt;&gt;"",J213-B213,TODAY()-B213))</f>
        <v/>
      </c>
      <c r="U213" s="13" t="str">
        <f aca="false">IF(A213="","",MAX(B213+0,H213+0,J213+0))</f>
        <v/>
      </c>
      <c r="V213" s="0" t="str">
        <f aca="true">IF(A213="","",IF(K213="Closed","",TODAY()-U213))</f>
        <v/>
      </c>
    </row>
    <row r="214" customFormat="false" ht="15" hidden="false" customHeight="false" outlineLevel="0" collapsed="false">
      <c r="K214" s="0" t="str">
        <f aca="true">IF(A214="","",IF(T214="Yes","Void",IF(I214&lt;&gt;"","Closed",IF(AND(H214&lt;&gt;"",TODAY()&gt;H214),"Overdue","Open"))))</f>
        <v/>
      </c>
      <c r="L214" s="0" t="str">
        <f aca="true">IF(A214="","",IF(I214&lt;&gt;"",J214-B214,TODAY()-B214))</f>
        <v/>
      </c>
      <c r="U214" s="13" t="str">
        <f aca="false">IF(A214="","",MAX(B214+0,H214+0,J214+0))</f>
        <v/>
      </c>
      <c r="V214" s="0" t="str">
        <f aca="true">IF(A214="","",IF(K214="Closed","",TODAY()-U214))</f>
        <v/>
      </c>
    </row>
    <row r="215" customFormat="false" ht="15" hidden="false" customHeight="false" outlineLevel="0" collapsed="false">
      <c r="K215" s="0" t="str">
        <f aca="true">IF(A215="","",IF(T215="Yes","Void",IF(I215&lt;&gt;"","Closed",IF(AND(H215&lt;&gt;"",TODAY()&gt;H215),"Overdue","Open"))))</f>
        <v/>
      </c>
      <c r="L215" s="0" t="str">
        <f aca="true">IF(A215="","",IF(I215&lt;&gt;"",J215-B215,TODAY()-B215))</f>
        <v/>
      </c>
      <c r="U215" s="13" t="str">
        <f aca="false">IF(A215="","",MAX(B215+0,H215+0,J215+0))</f>
        <v/>
      </c>
      <c r="V215" s="0" t="str">
        <f aca="true">IF(A215="","",IF(K215="Closed","",TODAY()-U215))</f>
        <v/>
      </c>
    </row>
    <row r="216" customFormat="false" ht="15" hidden="false" customHeight="false" outlineLevel="0" collapsed="false">
      <c r="K216" s="0" t="str">
        <f aca="true">IF(A216="","",IF(T216="Yes","Void",IF(I216&lt;&gt;"","Closed",IF(AND(H216&lt;&gt;"",TODAY()&gt;H216),"Overdue","Open"))))</f>
        <v/>
      </c>
      <c r="L216" s="0" t="str">
        <f aca="true">IF(A216="","",IF(I216&lt;&gt;"",J216-B216,TODAY()-B216))</f>
        <v/>
      </c>
      <c r="U216" s="13" t="str">
        <f aca="false">IF(A216="","",MAX(B216+0,H216+0,J216+0))</f>
        <v/>
      </c>
      <c r="V216" s="0" t="str">
        <f aca="true">IF(A216="","",IF(K216="Closed","",TODAY()-U216))</f>
        <v/>
      </c>
    </row>
    <row r="217" customFormat="false" ht="15" hidden="false" customHeight="false" outlineLevel="0" collapsed="false">
      <c r="K217" s="0" t="str">
        <f aca="true">IF(A217="","",IF(T217="Yes","Void",IF(I217&lt;&gt;"","Closed",IF(AND(H217&lt;&gt;"",TODAY()&gt;H217),"Overdue","Open"))))</f>
        <v/>
      </c>
      <c r="L217" s="0" t="str">
        <f aca="true">IF(A217="","",IF(I217&lt;&gt;"",J217-B217,TODAY()-B217))</f>
        <v/>
      </c>
      <c r="U217" s="13" t="str">
        <f aca="false">IF(A217="","",MAX(B217+0,H217+0,J217+0))</f>
        <v/>
      </c>
      <c r="V217" s="0" t="str">
        <f aca="true">IF(A217="","",IF(K217="Closed","",TODAY()-U217))</f>
        <v/>
      </c>
    </row>
    <row r="218" customFormat="false" ht="15" hidden="false" customHeight="false" outlineLevel="0" collapsed="false">
      <c r="K218" s="0" t="str">
        <f aca="true">IF(A218="","",IF(T218="Yes","Void",IF(I218&lt;&gt;"","Closed",IF(AND(H218&lt;&gt;"",TODAY()&gt;H218),"Overdue","Open"))))</f>
        <v/>
      </c>
      <c r="L218" s="0" t="str">
        <f aca="true">IF(A218="","",IF(I218&lt;&gt;"",J218-B218,TODAY()-B218))</f>
        <v/>
      </c>
      <c r="U218" s="13" t="str">
        <f aca="false">IF(A218="","",MAX(B218+0,H218+0,J218+0))</f>
        <v/>
      </c>
      <c r="V218" s="0" t="str">
        <f aca="true">IF(A218="","",IF(K218="Closed","",TODAY()-U218))</f>
        <v/>
      </c>
    </row>
    <row r="219" customFormat="false" ht="15" hidden="false" customHeight="false" outlineLevel="0" collapsed="false">
      <c r="K219" s="0" t="str">
        <f aca="true">IF(A219="","",IF(T219="Yes","Void",IF(I219&lt;&gt;"","Closed",IF(AND(H219&lt;&gt;"",TODAY()&gt;H219),"Overdue","Open"))))</f>
        <v/>
      </c>
      <c r="L219" s="0" t="str">
        <f aca="true">IF(A219="","",IF(I219&lt;&gt;"",J219-B219,TODAY()-B219))</f>
        <v/>
      </c>
      <c r="U219" s="13" t="str">
        <f aca="false">IF(A219="","",MAX(B219+0,H219+0,J219+0))</f>
        <v/>
      </c>
      <c r="V219" s="0" t="str">
        <f aca="true">IF(A219="","",IF(K219="Closed","",TODAY()-U219))</f>
        <v/>
      </c>
    </row>
    <row r="220" customFormat="false" ht="15" hidden="false" customHeight="false" outlineLevel="0" collapsed="false">
      <c r="K220" s="0" t="str">
        <f aca="true">IF(A220="","",IF(T220="Yes","Void",IF(I220&lt;&gt;"","Closed",IF(AND(H220&lt;&gt;"",TODAY()&gt;H220),"Overdue","Open"))))</f>
        <v/>
      </c>
      <c r="L220" s="0" t="str">
        <f aca="true">IF(A220="","",IF(I220&lt;&gt;"",J220-B220,TODAY()-B220))</f>
        <v/>
      </c>
      <c r="U220" s="13" t="str">
        <f aca="false">IF(A220="","",MAX(B220+0,H220+0,J220+0))</f>
        <v/>
      </c>
      <c r="V220" s="0" t="str">
        <f aca="true">IF(A220="","",IF(K220="Closed","",TODAY()-U220))</f>
        <v/>
      </c>
    </row>
    <row r="221" customFormat="false" ht="15" hidden="false" customHeight="false" outlineLevel="0" collapsed="false">
      <c r="K221" s="0" t="str">
        <f aca="true">IF(A221="","",IF(T221="Yes","Void",IF(I221&lt;&gt;"","Closed",IF(AND(H221&lt;&gt;"",TODAY()&gt;H221),"Overdue","Open"))))</f>
        <v/>
      </c>
      <c r="L221" s="0" t="str">
        <f aca="true">IF(A221="","",IF(I221&lt;&gt;"",J221-B221,TODAY()-B221))</f>
        <v/>
      </c>
      <c r="U221" s="13" t="str">
        <f aca="false">IF(A221="","",MAX(B221+0,H221+0,J221+0))</f>
        <v/>
      </c>
      <c r="V221" s="0" t="str">
        <f aca="true">IF(A221="","",IF(K221="Closed","",TODAY()-U221))</f>
        <v/>
      </c>
    </row>
    <row r="222" customFormat="false" ht="15" hidden="false" customHeight="false" outlineLevel="0" collapsed="false">
      <c r="K222" s="0" t="str">
        <f aca="true">IF(A222="","",IF(T222="Yes","Void",IF(I222&lt;&gt;"","Closed",IF(AND(H222&lt;&gt;"",TODAY()&gt;H222),"Overdue","Open"))))</f>
        <v/>
      </c>
      <c r="L222" s="0" t="str">
        <f aca="true">IF(A222="","",IF(I222&lt;&gt;"",J222-B222,TODAY()-B222))</f>
        <v/>
      </c>
      <c r="U222" s="13" t="str">
        <f aca="false">IF(A222="","",MAX(B222+0,H222+0,J222+0))</f>
        <v/>
      </c>
      <c r="V222" s="0" t="str">
        <f aca="true">IF(A222="","",IF(K222="Closed","",TODAY()-U222))</f>
        <v/>
      </c>
    </row>
    <row r="223" customFormat="false" ht="15" hidden="false" customHeight="false" outlineLevel="0" collapsed="false">
      <c r="K223" s="0" t="str">
        <f aca="true">IF(A223="","",IF(T223="Yes","Void",IF(I223&lt;&gt;"","Closed",IF(AND(H223&lt;&gt;"",TODAY()&gt;H223),"Overdue","Open"))))</f>
        <v/>
      </c>
      <c r="L223" s="0" t="str">
        <f aca="true">IF(A223="","",IF(I223&lt;&gt;"",J223-B223,TODAY()-B223))</f>
        <v/>
      </c>
      <c r="U223" s="13" t="str">
        <f aca="false">IF(A223="","",MAX(B223+0,H223+0,J223+0))</f>
        <v/>
      </c>
      <c r="V223" s="0" t="str">
        <f aca="true">IF(A223="","",IF(K223="Closed","",TODAY()-U223))</f>
        <v/>
      </c>
    </row>
    <row r="224" customFormat="false" ht="15" hidden="false" customHeight="false" outlineLevel="0" collapsed="false">
      <c r="K224" s="0" t="str">
        <f aca="true">IF(A224="","",IF(T224="Yes","Void",IF(I224&lt;&gt;"","Closed",IF(AND(H224&lt;&gt;"",TODAY()&gt;H224),"Overdue","Open"))))</f>
        <v/>
      </c>
      <c r="L224" s="0" t="str">
        <f aca="true">IF(A224="","",IF(I224&lt;&gt;"",J224-B224,TODAY()-B224))</f>
        <v/>
      </c>
      <c r="U224" s="13" t="str">
        <f aca="false">IF(A224="","",MAX(B224+0,H224+0,J224+0))</f>
        <v/>
      </c>
      <c r="V224" s="0" t="str">
        <f aca="true">IF(A224="","",IF(K224="Closed","",TODAY()-U224))</f>
        <v/>
      </c>
    </row>
    <row r="225" customFormat="false" ht="15" hidden="false" customHeight="false" outlineLevel="0" collapsed="false">
      <c r="K225" s="0" t="str">
        <f aca="true">IF(A225="","",IF(T225="Yes","Void",IF(I225&lt;&gt;"","Closed",IF(AND(H225&lt;&gt;"",TODAY()&gt;H225),"Overdue","Open"))))</f>
        <v/>
      </c>
      <c r="L225" s="0" t="str">
        <f aca="true">IF(A225="","",IF(I225&lt;&gt;"",J225-B225,TODAY()-B225))</f>
        <v/>
      </c>
      <c r="U225" s="13" t="str">
        <f aca="false">IF(A225="","",MAX(B225+0,H225+0,J225+0))</f>
        <v/>
      </c>
      <c r="V225" s="0" t="str">
        <f aca="true">IF(A225="","",IF(K225="Closed","",TODAY()-U225))</f>
        <v/>
      </c>
    </row>
    <row r="226" customFormat="false" ht="15" hidden="false" customHeight="false" outlineLevel="0" collapsed="false">
      <c r="K226" s="0" t="str">
        <f aca="true">IF(A226="","",IF(T226="Yes","Void",IF(I226&lt;&gt;"","Closed",IF(AND(H226&lt;&gt;"",TODAY()&gt;H226),"Overdue","Open"))))</f>
        <v/>
      </c>
      <c r="L226" s="0" t="str">
        <f aca="true">IF(A226="","",IF(I226&lt;&gt;"",J226-B226,TODAY()-B226))</f>
        <v/>
      </c>
      <c r="U226" s="13" t="str">
        <f aca="false">IF(A226="","",MAX(B226+0,H226+0,J226+0))</f>
        <v/>
      </c>
      <c r="V226" s="0" t="str">
        <f aca="true">IF(A226="","",IF(K226="Closed","",TODAY()-U226))</f>
        <v/>
      </c>
    </row>
    <row r="227" customFormat="false" ht="15" hidden="false" customHeight="false" outlineLevel="0" collapsed="false">
      <c r="K227" s="0" t="str">
        <f aca="true">IF(A227="","",IF(T227="Yes","Void",IF(I227&lt;&gt;"","Closed",IF(AND(H227&lt;&gt;"",TODAY()&gt;H227),"Overdue","Open"))))</f>
        <v/>
      </c>
      <c r="L227" s="0" t="str">
        <f aca="true">IF(A227="","",IF(I227&lt;&gt;"",J227-B227,TODAY()-B227))</f>
        <v/>
      </c>
      <c r="U227" s="13" t="str">
        <f aca="false">IF(A227="","",MAX(B227+0,H227+0,J227+0))</f>
        <v/>
      </c>
      <c r="V227" s="0" t="str">
        <f aca="true">IF(A227="","",IF(K227="Closed","",TODAY()-U227))</f>
        <v/>
      </c>
    </row>
    <row r="228" customFormat="false" ht="15" hidden="false" customHeight="false" outlineLevel="0" collapsed="false">
      <c r="K228" s="0" t="str">
        <f aca="true">IF(A228="","",IF(T228="Yes","Void",IF(I228&lt;&gt;"","Closed",IF(AND(H228&lt;&gt;"",TODAY()&gt;H228),"Overdue","Open"))))</f>
        <v/>
      </c>
      <c r="L228" s="0" t="str">
        <f aca="true">IF(A228="","",IF(I228&lt;&gt;"",J228-B228,TODAY()-B228))</f>
        <v/>
      </c>
      <c r="U228" s="13" t="str">
        <f aca="false">IF(A228="","",MAX(B228+0,H228+0,J228+0))</f>
        <v/>
      </c>
      <c r="V228" s="0" t="str">
        <f aca="true">IF(A228="","",IF(K228="Closed","",TODAY()-U228))</f>
        <v/>
      </c>
    </row>
    <row r="229" customFormat="false" ht="15" hidden="false" customHeight="false" outlineLevel="0" collapsed="false">
      <c r="K229" s="0" t="str">
        <f aca="true">IF(A229="","",IF(T229="Yes","Void",IF(I229&lt;&gt;"","Closed",IF(AND(H229&lt;&gt;"",TODAY()&gt;H229),"Overdue","Open"))))</f>
        <v/>
      </c>
      <c r="L229" s="0" t="str">
        <f aca="true">IF(A229="","",IF(I229&lt;&gt;"",J229-B229,TODAY()-B229))</f>
        <v/>
      </c>
      <c r="U229" s="13" t="str">
        <f aca="false">IF(A229="","",MAX(B229+0,H229+0,J229+0))</f>
        <v/>
      </c>
      <c r="V229" s="0" t="str">
        <f aca="true">IF(A229="","",IF(K229="Closed","",TODAY()-U229))</f>
        <v/>
      </c>
    </row>
    <row r="230" customFormat="false" ht="15" hidden="false" customHeight="false" outlineLevel="0" collapsed="false">
      <c r="K230" s="0" t="str">
        <f aca="true">IF(A230="","",IF(T230="Yes","Void",IF(I230&lt;&gt;"","Closed",IF(AND(H230&lt;&gt;"",TODAY()&gt;H230),"Overdue","Open"))))</f>
        <v/>
      </c>
      <c r="L230" s="0" t="str">
        <f aca="true">IF(A230="","",IF(I230&lt;&gt;"",J230-B230,TODAY()-B230))</f>
        <v/>
      </c>
      <c r="U230" s="13" t="str">
        <f aca="false">IF(A230="","",MAX(B230+0,H230+0,J230+0))</f>
        <v/>
      </c>
      <c r="V230" s="0" t="str">
        <f aca="true">IF(A230="","",IF(K230="Closed","",TODAY()-U230))</f>
        <v/>
      </c>
    </row>
    <row r="231" customFormat="false" ht="15" hidden="false" customHeight="false" outlineLevel="0" collapsed="false">
      <c r="K231" s="0" t="str">
        <f aca="true">IF(A231="","",IF(T231="Yes","Void",IF(I231&lt;&gt;"","Closed",IF(AND(H231&lt;&gt;"",TODAY()&gt;H231),"Overdue","Open"))))</f>
        <v/>
      </c>
      <c r="L231" s="0" t="str">
        <f aca="true">IF(A231="","",IF(I231&lt;&gt;"",J231-B231,TODAY()-B231))</f>
        <v/>
      </c>
      <c r="U231" s="13" t="str">
        <f aca="false">IF(A231="","",MAX(B231+0,H231+0,J231+0))</f>
        <v/>
      </c>
      <c r="V231" s="0" t="str">
        <f aca="true">IF(A231="","",IF(K231="Closed","",TODAY()-U231))</f>
        <v/>
      </c>
    </row>
    <row r="232" customFormat="false" ht="15" hidden="false" customHeight="false" outlineLevel="0" collapsed="false">
      <c r="K232" s="0" t="str">
        <f aca="true">IF(A232="","",IF(T232="Yes","Void",IF(I232&lt;&gt;"","Closed",IF(AND(H232&lt;&gt;"",TODAY()&gt;H232),"Overdue","Open"))))</f>
        <v/>
      </c>
      <c r="L232" s="0" t="str">
        <f aca="true">IF(A232="","",IF(I232&lt;&gt;"",J232-B232,TODAY()-B232))</f>
        <v/>
      </c>
      <c r="U232" s="13" t="str">
        <f aca="false">IF(A232="","",MAX(B232+0,H232+0,J232+0))</f>
        <v/>
      </c>
      <c r="V232" s="0" t="str">
        <f aca="true">IF(A232="","",IF(K232="Closed","",TODAY()-U232))</f>
        <v/>
      </c>
    </row>
    <row r="233" customFormat="false" ht="15" hidden="false" customHeight="false" outlineLevel="0" collapsed="false">
      <c r="K233" s="0" t="str">
        <f aca="true">IF(A233="","",IF(T233="Yes","Void",IF(I233&lt;&gt;"","Closed",IF(AND(H233&lt;&gt;"",TODAY()&gt;H233),"Overdue","Open"))))</f>
        <v/>
      </c>
      <c r="L233" s="0" t="str">
        <f aca="true">IF(A233="","",IF(I233&lt;&gt;"",J233-B233,TODAY()-B233))</f>
        <v/>
      </c>
      <c r="U233" s="13" t="str">
        <f aca="false">IF(A233="","",MAX(B233+0,H233+0,J233+0))</f>
        <v/>
      </c>
      <c r="V233" s="0" t="str">
        <f aca="true">IF(A233="","",IF(K233="Closed","",TODAY()-U233))</f>
        <v/>
      </c>
    </row>
    <row r="234" customFormat="false" ht="15" hidden="false" customHeight="false" outlineLevel="0" collapsed="false">
      <c r="K234" s="0" t="str">
        <f aca="true">IF(A234="","",IF(T234="Yes","Void",IF(I234&lt;&gt;"","Closed",IF(AND(H234&lt;&gt;"",TODAY()&gt;H234),"Overdue","Open"))))</f>
        <v/>
      </c>
      <c r="L234" s="0" t="str">
        <f aca="true">IF(A234="","",IF(I234&lt;&gt;"",J234-B234,TODAY()-B234))</f>
        <v/>
      </c>
      <c r="U234" s="13" t="str">
        <f aca="false">IF(A234="","",MAX(B234+0,H234+0,J234+0))</f>
        <v/>
      </c>
      <c r="V234" s="0" t="str">
        <f aca="true">IF(A234="","",IF(K234="Closed","",TODAY()-U234))</f>
        <v/>
      </c>
    </row>
    <row r="235" customFormat="false" ht="15" hidden="false" customHeight="false" outlineLevel="0" collapsed="false">
      <c r="K235" s="0" t="str">
        <f aca="true">IF(A235="","",IF(T235="Yes","Void",IF(I235&lt;&gt;"","Closed",IF(AND(H235&lt;&gt;"",TODAY()&gt;H235),"Overdue","Open"))))</f>
        <v/>
      </c>
      <c r="L235" s="0" t="str">
        <f aca="true">IF(A235="","",IF(I235&lt;&gt;"",J235-B235,TODAY()-B235))</f>
        <v/>
      </c>
      <c r="U235" s="13" t="str">
        <f aca="false">IF(A235="","",MAX(B235+0,H235+0,J235+0))</f>
        <v/>
      </c>
      <c r="V235" s="0" t="str">
        <f aca="true">IF(A235="","",IF(K235="Closed","",TODAY()-U235))</f>
        <v/>
      </c>
    </row>
    <row r="236" customFormat="false" ht="15" hidden="false" customHeight="false" outlineLevel="0" collapsed="false">
      <c r="K236" s="0" t="str">
        <f aca="true">IF(A236="","",IF(T236="Yes","Void",IF(I236&lt;&gt;"","Closed",IF(AND(H236&lt;&gt;"",TODAY()&gt;H236),"Overdue","Open"))))</f>
        <v/>
      </c>
      <c r="L236" s="0" t="str">
        <f aca="true">IF(A236="","",IF(I236&lt;&gt;"",J236-B236,TODAY()-B236))</f>
        <v/>
      </c>
      <c r="U236" s="13" t="str">
        <f aca="false">IF(A236="","",MAX(B236+0,H236+0,J236+0))</f>
        <v/>
      </c>
      <c r="V236" s="0" t="str">
        <f aca="true">IF(A236="","",IF(K236="Closed","",TODAY()-U236))</f>
        <v/>
      </c>
    </row>
    <row r="237" customFormat="false" ht="15" hidden="false" customHeight="false" outlineLevel="0" collapsed="false">
      <c r="K237" s="0" t="str">
        <f aca="true">IF(A237="","",IF(T237="Yes","Void",IF(I237&lt;&gt;"","Closed",IF(AND(H237&lt;&gt;"",TODAY()&gt;H237),"Overdue","Open"))))</f>
        <v/>
      </c>
      <c r="L237" s="0" t="str">
        <f aca="true">IF(A237="","",IF(I237&lt;&gt;"",J237-B237,TODAY()-B237))</f>
        <v/>
      </c>
      <c r="U237" s="13" t="str">
        <f aca="false">IF(A237="","",MAX(B237+0,H237+0,J237+0))</f>
        <v/>
      </c>
      <c r="V237" s="0" t="str">
        <f aca="true">IF(A237="","",IF(K237="Closed","",TODAY()-U237))</f>
        <v/>
      </c>
    </row>
    <row r="238" customFormat="false" ht="15" hidden="false" customHeight="false" outlineLevel="0" collapsed="false">
      <c r="K238" s="0" t="str">
        <f aca="true">IF(A238="","",IF(T238="Yes","Void",IF(I238&lt;&gt;"","Closed",IF(AND(H238&lt;&gt;"",TODAY()&gt;H238),"Overdue","Open"))))</f>
        <v/>
      </c>
      <c r="L238" s="0" t="str">
        <f aca="true">IF(A238="","",IF(I238&lt;&gt;"",J238-B238,TODAY()-B238))</f>
        <v/>
      </c>
      <c r="U238" s="13" t="str">
        <f aca="false">IF(A238="","",MAX(B238+0,H238+0,J238+0))</f>
        <v/>
      </c>
      <c r="V238" s="0" t="str">
        <f aca="true">IF(A238="","",IF(K238="Closed","",TODAY()-U238))</f>
        <v/>
      </c>
    </row>
    <row r="239" customFormat="false" ht="15" hidden="false" customHeight="false" outlineLevel="0" collapsed="false">
      <c r="K239" s="0" t="str">
        <f aca="true">IF(A239="","",IF(T239="Yes","Void",IF(I239&lt;&gt;"","Closed",IF(AND(H239&lt;&gt;"",TODAY()&gt;H239),"Overdue","Open"))))</f>
        <v/>
      </c>
      <c r="L239" s="0" t="str">
        <f aca="true">IF(A239="","",IF(I239&lt;&gt;"",J239-B239,TODAY()-B239))</f>
        <v/>
      </c>
      <c r="U239" s="13" t="str">
        <f aca="false">IF(A239="","",MAX(B239+0,H239+0,J239+0))</f>
        <v/>
      </c>
      <c r="V239" s="0" t="str">
        <f aca="true">IF(A239="","",IF(K239="Closed","",TODAY()-U239))</f>
        <v/>
      </c>
    </row>
    <row r="240" customFormat="false" ht="15" hidden="false" customHeight="false" outlineLevel="0" collapsed="false">
      <c r="K240" s="0" t="str">
        <f aca="true">IF(A240="","",IF(T240="Yes","Void",IF(I240&lt;&gt;"","Closed",IF(AND(H240&lt;&gt;"",TODAY()&gt;H240),"Overdue","Open"))))</f>
        <v/>
      </c>
      <c r="L240" s="0" t="str">
        <f aca="true">IF(A240="","",IF(I240&lt;&gt;"",J240-B240,TODAY()-B240))</f>
        <v/>
      </c>
      <c r="U240" s="13" t="str">
        <f aca="false">IF(A240="","",MAX(B240+0,H240+0,J240+0))</f>
        <v/>
      </c>
      <c r="V240" s="0" t="str">
        <f aca="true">IF(A240="","",IF(K240="Closed","",TODAY()-U240))</f>
        <v/>
      </c>
    </row>
    <row r="241" customFormat="false" ht="15" hidden="false" customHeight="false" outlineLevel="0" collapsed="false">
      <c r="K241" s="0" t="str">
        <f aca="true">IF(A241="","",IF(T241="Yes","Void",IF(I241&lt;&gt;"","Closed",IF(AND(H241&lt;&gt;"",TODAY()&gt;H241),"Overdue","Open"))))</f>
        <v/>
      </c>
      <c r="L241" s="0" t="str">
        <f aca="true">IF(A241="","",IF(I241&lt;&gt;"",J241-B241,TODAY()-B241))</f>
        <v/>
      </c>
      <c r="U241" s="13" t="str">
        <f aca="false">IF(A241="","",MAX(B241+0,H241+0,J241+0))</f>
        <v/>
      </c>
      <c r="V241" s="0" t="str">
        <f aca="true">IF(A241="","",IF(K241="Closed","",TODAY()-U241))</f>
        <v/>
      </c>
    </row>
    <row r="242" customFormat="false" ht="15" hidden="false" customHeight="false" outlineLevel="0" collapsed="false">
      <c r="K242" s="0" t="str">
        <f aca="true">IF(A242="","",IF(T242="Yes","Void",IF(I242&lt;&gt;"","Closed",IF(AND(H242&lt;&gt;"",TODAY()&gt;H242),"Overdue","Open"))))</f>
        <v/>
      </c>
      <c r="L242" s="0" t="str">
        <f aca="true">IF(A242="","",IF(I242&lt;&gt;"",J242-B242,TODAY()-B242))</f>
        <v/>
      </c>
      <c r="U242" s="13" t="str">
        <f aca="false">IF(A242="","",MAX(B242+0,H242+0,J242+0))</f>
        <v/>
      </c>
      <c r="V242" s="0" t="str">
        <f aca="true">IF(A242="","",IF(K242="Closed","",TODAY()-U242))</f>
        <v/>
      </c>
    </row>
    <row r="243" customFormat="false" ht="15" hidden="false" customHeight="false" outlineLevel="0" collapsed="false">
      <c r="K243" s="0" t="str">
        <f aca="true">IF(A243="","",IF(T243="Yes","Void",IF(I243&lt;&gt;"","Closed",IF(AND(H243&lt;&gt;"",TODAY()&gt;H243),"Overdue","Open"))))</f>
        <v/>
      </c>
      <c r="L243" s="0" t="str">
        <f aca="true">IF(A243="","",IF(I243&lt;&gt;"",J243-B243,TODAY()-B243))</f>
        <v/>
      </c>
      <c r="U243" s="13" t="str">
        <f aca="false">IF(A243="","",MAX(B243+0,H243+0,J243+0))</f>
        <v/>
      </c>
      <c r="V243" s="0" t="str">
        <f aca="true">IF(A243="","",IF(K243="Closed","",TODAY()-U243))</f>
        <v/>
      </c>
    </row>
    <row r="244" customFormat="false" ht="15" hidden="false" customHeight="false" outlineLevel="0" collapsed="false">
      <c r="K244" s="0" t="str">
        <f aca="true">IF(A244="","",IF(T244="Yes","Void",IF(I244&lt;&gt;"","Closed",IF(AND(H244&lt;&gt;"",TODAY()&gt;H244),"Overdue","Open"))))</f>
        <v/>
      </c>
      <c r="L244" s="0" t="str">
        <f aca="true">IF(A244="","",IF(I244&lt;&gt;"",J244-B244,TODAY()-B244))</f>
        <v/>
      </c>
      <c r="U244" s="13" t="str">
        <f aca="false">IF(A244="","",MAX(B244+0,H244+0,J244+0))</f>
        <v/>
      </c>
      <c r="V244" s="0" t="str">
        <f aca="true">IF(A244="","",IF(K244="Closed","",TODAY()-U244))</f>
        <v/>
      </c>
    </row>
    <row r="245" customFormat="false" ht="15" hidden="false" customHeight="false" outlineLevel="0" collapsed="false">
      <c r="K245" s="0" t="str">
        <f aca="true">IF(A245="","",IF(T245="Yes","Void",IF(I245&lt;&gt;"","Closed",IF(AND(H245&lt;&gt;"",TODAY()&gt;H245),"Overdue","Open"))))</f>
        <v/>
      </c>
      <c r="L245" s="0" t="str">
        <f aca="true">IF(A245="","",IF(I245&lt;&gt;"",J245-B245,TODAY()-B245))</f>
        <v/>
      </c>
      <c r="U245" s="13" t="str">
        <f aca="false">IF(A245="","",MAX(B245+0,H245+0,J245+0))</f>
        <v/>
      </c>
      <c r="V245" s="0" t="str">
        <f aca="true">IF(A245="","",IF(K245="Closed","",TODAY()-U245))</f>
        <v/>
      </c>
    </row>
    <row r="246" customFormat="false" ht="15" hidden="false" customHeight="false" outlineLevel="0" collapsed="false">
      <c r="K246" s="0" t="str">
        <f aca="true">IF(A246="","",IF(T246="Yes","Void",IF(I246&lt;&gt;"","Closed",IF(AND(H246&lt;&gt;"",TODAY()&gt;H246),"Overdue","Open"))))</f>
        <v/>
      </c>
      <c r="L246" s="0" t="str">
        <f aca="true">IF(A246="","",IF(I246&lt;&gt;"",J246-B246,TODAY()-B246))</f>
        <v/>
      </c>
      <c r="U246" s="13" t="str">
        <f aca="false">IF(A246="","",MAX(B246+0,H246+0,J246+0))</f>
        <v/>
      </c>
      <c r="V246" s="0" t="str">
        <f aca="true">IF(A246="","",IF(K246="Closed","",TODAY()-U246))</f>
        <v/>
      </c>
    </row>
    <row r="247" customFormat="false" ht="15" hidden="false" customHeight="false" outlineLevel="0" collapsed="false">
      <c r="K247" s="0" t="str">
        <f aca="true">IF(A247="","",IF(T247="Yes","Void",IF(I247&lt;&gt;"","Closed",IF(AND(H247&lt;&gt;"",TODAY()&gt;H247),"Overdue","Open"))))</f>
        <v/>
      </c>
      <c r="L247" s="0" t="str">
        <f aca="true">IF(A247="","",IF(I247&lt;&gt;"",J247-B247,TODAY()-B247))</f>
        <v/>
      </c>
      <c r="U247" s="13" t="str">
        <f aca="false">IF(A247="","",MAX(B247+0,H247+0,J247+0))</f>
        <v/>
      </c>
      <c r="V247" s="0" t="str">
        <f aca="true">IF(A247="","",IF(K247="Closed","",TODAY()-U247))</f>
        <v/>
      </c>
    </row>
    <row r="248" customFormat="false" ht="15" hidden="false" customHeight="false" outlineLevel="0" collapsed="false">
      <c r="K248" s="0" t="str">
        <f aca="true">IF(A248="","",IF(T248="Yes","Void",IF(I248&lt;&gt;"","Closed",IF(AND(H248&lt;&gt;"",TODAY()&gt;H248),"Overdue","Open"))))</f>
        <v/>
      </c>
      <c r="L248" s="0" t="str">
        <f aca="true">IF(A248="","",IF(I248&lt;&gt;"",J248-B248,TODAY()-B248))</f>
        <v/>
      </c>
      <c r="U248" s="13" t="str">
        <f aca="false">IF(A248="","",MAX(B248+0,H248+0,J248+0))</f>
        <v/>
      </c>
      <c r="V248" s="0" t="str">
        <f aca="true">IF(A248="","",IF(K248="Closed","",TODAY()-U248))</f>
        <v/>
      </c>
    </row>
    <row r="249" customFormat="false" ht="15" hidden="false" customHeight="false" outlineLevel="0" collapsed="false">
      <c r="K249" s="0" t="str">
        <f aca="true">IF(A249="","",IF(T249="Yes","Void",IF(I249&lt;&gt;"","Closed",IF(AND(H249&lt;&gt;"",TODAY()&gt;H249),"Overdue","Open"))))</f>
        <v/>
      </c>
      <c r="L249" s="0" t="str">
        <f aca="true">IF(A249="","",IF(I249&lt;&gt;"",J249-B249,TODAY()-B249))</f>
        <v/>
      </c>
      <c r="U249" s="13" t="str">
        <f aca="false">IF(A249="","",MAX(B249+0,H249+0,J249+0))</f>
        <v/>
      </c>
      <c r="V249" s="0" t="str">
        <f aca="true">IF(A249="","",IF(K249="Closed","",TODAY()-U249))</f>
        <v/>
      </c>
    </row>
    <row r="250" customFormat="false" ht="15" hidden="false" customHeight="false" outlineLevel="0" collapsed="false">
      <c r="K250" s="0" t="str">
        <f aca="true">IF(A250="","",IF(T250="Yes","Void",IF(I250&lt;&gt;"","Closed",IF(AND(H250&lt;&gt;"",TODAY()&gt;H250),"Overdue","Open"))))</f>
        <v/>
      </c>
      <c r="L250" s="0" t="str">
        <f aca="true">IF(A250="","",IF(I250&lt;&gt;"",J250-B250,TODAY()-B250))</f>
        <v/>
      </c>
      <c r="U250" s="13" t="str">
        <f aca="false">IF(A250="","",MAX(B250+0,H250+0,J250+0))</f>
        <v/>
      </c>
      <c r="V250" s="0" t="str">
        <f aca="true">IF(A250="","",IF(K250="Closed","",TODAY()-U250))</f>
        <v/>
      </c>
    </row>
    <row r="251" customFormat="false" ht="15" hidden="false" customHeight="false" outlineLevel="0" collapsed="false">
      <c r="K251" s="0" t="str">
        <f aca="true">IF(A251="","",IF(T251="Yes","Void",IF(I251&lt;&gt;"","Closed",IF(AND(H251&lt;&gt;"",TODAY()&gt;H251),"Overdue","Open"))))</f>
        <v/>
      </c>
      <c r="L251" s="0" t="str">
        <f aca="true">IF(A251="","",IF(I251&lt;&gt;"",J251-B251,TODAY()-B251))</f>
        <v/>
      </c>
      <c r="U251" s="13" t="str">
        <f aca="false">IF(A251="","",MAX(B251+0,H251+0,J251+0))</f>
        <v/>
      </c>
      <c r="V251" s="0" t="str">
        <f aca="true">IF(A251="","",IF(K251="Closed","",TODAY()-U251))</f>
        <v/>
      </c>
    </row>
    <row r="252" customFormat="false" ht="15" hidden="false" customHeight="false" outlineLevel="0" collapsed="false">
      <c r="K252" s="0" t="str">
        <f aca="true">IF(A252="","",IF(T252="Yes","Void",IF(I252&lt;&gt;"","Closed",IF(AND(H252&lt;&gt;"",TODAY()&gt;H252),"Overdue","Open"))))</f>
        <v/>
      </c>
      <c r="L252" s="0" t="str">
        <f aca="true">IF(A252="","",IF(I252&lt;&gt;"",J252-B252,TODAY()-B252))</f>
        <v/>
      </c>
      <c r="U252" s="13" t="str">
        <f aca="false">IF(A252="","",MAX(B252+0,H252+0,J252+0))</f>
        <v/>
      </c>
      <c r="V252" s="0" t="str">
        <f aca="true">IF(A252="","",IF(K252="Closed","",TODAY()-U252))</f>
        <v/>
      </c>
    </row>
    <row r="253" customFormat="false" ht="15" hidden="false" customHeight="false" outlineLevel="0" collapsed="false">
      <c r="K253" s="0" t="str">
        <f aca="true">IF(A253="","",IF(T253="Yes","Void",IF(I253&lt;&gt;"","Closed",IF(AND(H253&lt;&gt;"",TODAY()&gt;H253),"Overdue","Open"))))</f>
        <v/>
      </c>
      <c r="L253" s="0" t="str">
        <f aca="true">IF(A253="","",IF(I253&lt;&gt;"",J253-B253,TODAY()-B253))</f>
        <v/>
      </c>
      <c r="U253" s="13" t="str">
        <f aca="false">IF(A253="","",MAX(B253+0,H253+0,J253+0))</f>
        <v/>
      </c>
      <c r="V253" s="0" t="str">
        <f aca="true">IF(A253="","",IF(K253="Closed","",TODAY()-U253))</f>
        <v/>
      </c>
    </row>
    <row r="254" customFormat="false" ht="15" hidden="false" customHeight="false" outlineLevel="0" collapsed="false">
      <c r="K254" s="0" t="str">
        <f aca="true">IF(A254="","",IF(T254="Yes","Void",IF(I254&lt;&gt;"","Closed",IF(AND(H254&lt;&gt;"",TODAY()&gt;H254),"Overdue","Open"))))</f>
        <v/>
      </c>
      <c r="L254" s="0" t="str">
        <f aca="true">IF(A254="","",IF(I254&lt;&gt;"",J254-B254,TODAY()-B254))</f>
        <v/>
      </c>
      <c r="U254" s="13" t="str">
        <f aca="false">IF(A254="","",MAX(B254+0,H254+0,J254+0))</f>
        <v/>
      </c>
      <c r="V254" s="0" t="str">
        <f aca="true">IF(A254="","",IF(K254="Closed","",TODAY()-U254))</f>
        <v/>
      </c>
    </row>
    <row r="255" customFormat="false" ht="15" hidden="false" customHeight="false" outlineLevel="0" collapsed="false">
      <c r="K255" s="0" t="str">
        <f aca="true">IF(A255="","",IF(T255="Yes","Void",IF(I255&lt;&gt;"","Closed",IF(AND(H255&lt;&gt;"",TODAY()&gt;H255),"Overdue","Open"))))</f>
        <v/>
      </c>
      <c r="L255" s="0" t="str">
        <f aca="true">IF(A255="","",IF(I255&lt;&gt;"",J255-B255,TODAY()-B255))</f>
        <v/>
      </c>
      <c r="U255" s="13" t="str">
        <f aca="false">IF(A255="","",MAX(B255+0,H255+0,J255+0))</f>
        <v/>
      </c>
      <c r="V255" s="0" t="str">
        <f aca="true">IF(A255="","",IF(K255="Closed","",TODAY()-U255))</f>
        <v/>
      </c>
    </row>
    <row r="256" customFormat="false" ht="15" hidden="false" customHeight="false" outlineLevel="0" collapsed="false">
      <c r="K256" s="0" t="str">
        <f aca="true">IF(A256="","",IF(T256="Yes","Void",IF(I256&lt;&gt;"","Closed",IF(AND(H256&lt;&gt;"",TODAY()&gt;H256),"Overdue","Open"))))</f>
        <v/>
      </c>
      <c r="L256" s="0" t="str">
        <f aca="true">IF(A256="","",IF(I256&lt;&gt;"",J256-B256,TODAY()-B256))</f>
        <v/>
      </c>
      <c r="U256" s="13" t="str">
        <f aca="false">IF(A256="","",MAX(B256+0,H256+0,J256+0))</f>
        <v/>
      </c>
      <c r="V256" s="0" t="str">
        <f aca="true">IF(A256="","",IF(K256="Closed","",TODAY()-U256))</f>
        <v/>
      </c>
    </row>
    <row r="257" customFormat="false" ht="15" hidden="false" customHeight="false" outlineLevel="0" collapsed="false">
      <c r="K257" s="0" t="str">
        <f aca="true">IF(A257="","",IF(T257="Yes","Void",IF(I257&lt;&gt;"","Closed",IF(AND(H257&lt;&gt;"",TODAY()&gt;H257),"Overdue","Open"))))</f>
        <v/>
      </c>
      <c r="L257" s="0" t="str">
        <f aca="true">IF(A257="","",IF(I257&lt;&gt;"",J257-B257,TODAY()-B257))</f>
        <v/>
      </c>
      <c r="U257" s="13" t="str">
        <f aca="false">IF(A257="","",MAX(B257+0,H257+0,J257+0))</f>
        <v/>
      </c>
      <c r="V257" s="0" t="str">
        <f aca="true">IF(A257="","",IF(K257="Closed","",TODAY()-U257))</f>
        <v/>
      </c>
    </row>
    <row r="258" customFormat="false" ht="15" hidden="false" customHeight="false" outlineLevel="0" collapsed="false">
      <c r="K258" s="0" t="str">
        <f aca="true">IF(A258="","",IF(T258="Yes","Void",IF(I258&lt;&gt;"","Closed",IF(AND(H258&lt;&gt;"",TODAY()&gt;H258),"Overdue","Open"))))</f>
        <v/>
      </c>
      <c r="L258" s="0" t="str">
        <f aca="true">IF(A258="","",IF(I258&lt;&gt;"",J258-B258,TODAY()-B258))</f>
        <v/>
      </c>
      <c r="U258" s="13" t="str">
        <f aca="false">IF(A258="","",MAX(B258+0,H258+0,J258+0))</f>
        <v/>
      </c>
      <c r="V258" s="0" t="str">
        <f aca="true">IF(A258="","",IF(K258="Closed","",TODAY()-U258))</f>
        <v/>
      </c>
    </row>
    <row r="259" customFormat="false" ht="15" hidden="false" customHeight="false" outlineLevel="0" collapsed="false">
      <c r="K259" s="0" t="str">
        <f aca="true">IF(A259="","",IF(T259="Yes","Void",IF(I259&lt;&gt;"","Closed",IF(AND(H259&lt;&gt;"",TODAY()&gt;H259),"Overdue","Open"))))</f>
        <v/>
      </c>
      <c r="L259" s="0" t="str">
        <f aca="true">IF(A259="","",IF(I259&lt;&gt;"",J259-B259,TODAY()-B259))</f>
        <v/>
      </c>
      <c r="U259" s="13" t="str">
        <f aca="false">IF(A259="","",MAX(B259+0,H259+0,J259+0))</f>
        <v/>
      </c>
      <c r="V259" s="0" t="str">
        <f aca="true">IF(A259="","",IF(K259="Closed","",TODAY()-U259))</f>
        <v/>
      </c>
    </row>
    <row r="260" customFormat="false" ht="15" hidden="false" customHeight="false" outlineLevel="0" collapsed="false">
      <c r="K260" s="0" t="str">
        <f aca="true">IF(A260="","",IF(T260="Yes","Void",IF(I260&lt;&gt;"","Closed",IF(AND(H260&lt;&gt;"",TODAY()&gt;H260),"Overdue","Open"))))</f>
        <v/>
      </c>
      <c r="L260" s="0" t="str">
        <f aca="true">IF(A260="","",IF(I260&lt;&gt;"",J260-B260,TODAY()-B260))</f>
        <v/>
      </c>
      <c r="U260" s="13" t="str">
        <f aca="false">IF(A260="","",MAX(B260+0,H260+0,J260+0))</f>
        <v/>
      </c>
      <c r="V260" s="0" t="str">
        <f aca="true">IF(A260="","",IF(K260="Closed","",TODAY()-U260))</f>
        <v/>
      </c>
    </row>
    <row r="261" customFormat="false" ht="15" hidden="false" customHeight="false" outlineLevel="0" collapsed="false">
      <c r="K261" s="0" t="str">
        <f aca="true">IF(A261="","",IF(T261="Yes","Void",IF(I261&lt;&gt;"","Closed",IF(AND(H261&lt;&gt;"",TODAY()&gt;H261),"Overdue","Open"))))</f>
        <v/>
      </c>
      <c r="L261" s="0" t="str">
        <f aca="true">IF(A261="","",IF(I261&lt;&gt;"",J261-B261,TODAY()-B261))</f>
        <v/>
      </c>
      <c r="U261" s="13" t="str">
        <f aca="false">IF(A261="","",MAX(B261+0,H261+0,J261+0))</f>
        <v/>
      </c>
      <c r="V261" s="0" t="str">
        <f aca="true">IF(A261="","",IF(K261="Closed","",TODAY()-U261))</f>
        <v/>
      </c>
    </row>
    <row r="262" customFormat="false" ht="15" hidden="false" customHeight="false" outlineLevel="0" collapsed="false">
      <c r="K262" s="0" t="str">
        <f aca="true">IF(A262="","",IF(T262="Yes","Void",IF(I262&lt;&gt;"","Closed",IF(AND(H262&lt;&gt;"",TODAY()&gt;H262),"Overdue","Open"))))</f>
        <v/>
      </c>
      <c r="L262" s="0" t="str">
        <f aca="true">IF(A262="","",IF(I262&lt;&gt;"",J262-B262,TODAY()-B262))</f>
        <v/>
      </c>
      <c r="U262" s="13" t="str">
        <f aca="false">IF(A262="","",MAX(B262+0,H262+0,J262+0))</f>
        <v/>
      </c>
      <c r="V262" s="0" t="str">
        <f aca="true">IF(A262="","",IF(K262="Closed","",TODAY()-U262))</f>
        <v/>
      </c>
    </row>
    <row r="263" customFormat="false" ht="15" hidden="false" customHeight="false" outlineLevel="0" collapsed="false">
      <c r="K263" s="0" t="str">
        <f aca="true">IF(A263="","",IF(T263="Yes","Void",IF(I263&lt;&gt;"","Closed",IF(AND(H263&lt;&gt;"",TODAY()&gt;H263),"Overdue","Open"))))</f>
        <v/>
      </c>
      <c r="L263" s="0" t="str">
        <f aca="true">IF(A263="","",IF(I263&lt;&gt;"",J263-B263,TODAY()-B263))</f>
        <v/>
      </c>
      <c r="U263" s="13" t="str">
        <f aca="false">IF(A263="","",MAX(B263+0,H263+0,J263+0))</f>
        <v/>
      </c>
      <c r="V263" s="0" t="str">
        <f aca="true">IF(A263="","",IF(K263="Closed","",TODAY()-U263))</f>
        <v/>
      </c>
    </row>
    <row r="264" customFormat="false" ht="15" hidden="false" customHeight="false" outlineLevel="0" collapsed="false">
      <c r="K264" s="0" t="str">
        <f aca="true">IF(A264="","",IF(T264="Yes","Void",IF(I264&lt;&gt;"","Closed",IF(AND(H264&lt;&gt;"",TODAY()&gt;H264),"Overdue","Open"))))</f>
        <v/>
      </c>
      <c r="L264" s="0" t="str">
        <f aca="true">IF(A264="","",IF(I264&lt;&gt;"",J264-B264,TODAY()-B264))</f>
        <v/>
      </c>
      <c r="U264" s="13" t="str">
        <f aca="false">IF(A264="","",MAX(B264+0,H264+0,J264+0))</f>
        <v/>
      </c>
      <c r="V264" s="0" t="str">
        <f aca="true">IF(A264="","",IF(K264="Closed","",TODAY()-U264))</f>
        <v/>
      </c>
    </row>
    <row r="265" customFormat="false" ht="15" hidden="false" customHeight="false" outlineLevel="0" collapsed="false">
      <c r="K265" s="0" t="str">
        <f aca="true">IF(A265="","",IF(T265="Yes","Void",IF(I265&lt;&gt;"","Closed",IF(AND(H265&lt;&gt;"",TODAY()&gt;H265),"Overdue","Open"))))</f>
        <v/>
      </c>
      <c r="L265" s="0" t="str">
        <f aca="true">IF(A265="","",IF(I265&lt;&gt;"",J265-B265,TODAY()-B265))</f>
        <v/>
      </c>
      <c r="U265" s="13" t="str">
        <f aca="false">IF(A265="","",MAX(B265+0,H265+0,J265+0))</f>
        <v/>
      </c>
      <c r="V265" s="0" t="str">
        <f aca="true">IF(A265="","",IF(K265="Closed","",TODAY()-U265))</f>
        <v/>
      </c>
    </row>
    <row r="266" customFormat="false" ht="15" hidden="false" customHeight="false" outlineLevel="0" collapsed="false">
      <c r="K266" s="0" t="str">
        <f aca="true">IF(A266="","",IF(T266="Yes","Void",IF(I266&lt;&gt;"","Closed",IF(AND(H266&lt;&gt;"",TODAY()&gt;H266),"Overdue","Open"))))</f>
        <v/>
      </c>
      <c r="L266" s="0" t="str">
        <f aca="true">IF(A266="","",IF(I266&lt;&gt;"",J266-B266,TODAY()-B266))</f>
        <v/>
      </c>
      <c r="U266" s="13" t="str">
        <f aca="false">IF(A266="","",MAX(B266+0,H266+0,J266+0))</f>
        <v/>
      </c>
      <c r="V266" s="0" t="str">
        <f aca="true">IF(A266="","",IF(K266="Closed","",TODAY()-U266))</f>
        <v/>
      </c>
    </row>
    <row r="267" customFormat="false" ht="15" hidden="false" customHeight="false" outlineLevel="0" collapsed="false">
      <c r="K267" s="0" t="str">
        <f aca="true">IF(A267="","",IF(T267="Yes","Void",IF(I267&lt;&gt;"","Closed",IF(AND(H267&lt;&gt;"",TODAY()&gt;H267),"Overdue","Open"))))</f>
        <v/>
      </c>
      <c r="L267" s="0" t="str">
        <f aca="true">IF(A267="","",IF(I267&lt;&gt;"",J267-B267,TODAY()-B267))</f>
        <v/>
      </c>
      <c r="U267" s="13" t="str">
        <f aca="false">IF(A267="","",MAX(B267+0,H267+0,J267+0))</f>
        <v/>
      </c>
      <c r="V267" s="0" t="str">
        <f aca="true">IF(A267="","",IF(K267="Closed","",TODAY()-U267))</f>
        <v/>
      </c>
    </row>
    <row r="268" customFormat="false" ht="15" hidden="false" customHeight="false" outlineLevel="0" collapsed="false">
      <c r="K268" s="0" t="str">
        <f aca="true">IF(A268="","",IF(T268="Yes","Void",IF(I268&lt;&gt;"","Closed",IF(AND(H268&lt;&gt;"",TODAY()&gt;H268),"Overdue","Open"))))</f>
        <v/>
      </c>
      <c r="L268" s="0" t="str">
        <f aca="true">IF(A268="","",IF(I268&lt;&gt;"",J268-B268,TODAY()-B268))</f>
        <v/>
      </c>
      <c r="U268" s="13" t="str">
        <f aca="false">IF(A268="","",MAX(B268+0,H268+0,J268+0))</f>
        <v/>
      </c>
      <c r="V268" s="0" t="str">
        <f aca="true">IF(A268="","",IF(K268="Closed","",TODAY()-U268))</f>
        <v/>
      </c>
    </row>
    <row r="269" customFormat="false" ht="15" hidden="false" customHeight="false" outlineLevel="0" collapsed="false">
      <c r="K269" s="0" t="str">
        <f aca="true">IF(A269="","",IF(T269="Yes","Void",IF(I269&lt;&gt;"","Closed",IF(AND(H269&lt;&gt;"",TODAY()&gt;H269),"Overdue","Open"))))</f>
        <v/>
      </c>
      <c r="L269" s="0" t="str">
        <f aca="true">IF(A269="","",IF(I269&lt;&gt;"",J269-B269,TODAY()-B269))</f>
        <v/>
      </c>
      <c r="U269" s="13" t="str">
        <f aca="false">IF(A269="","",MAX(B269+0,H269+0,J269+0))</f>
        <v/>
      </c>
      <c r="V269" s="0" t="str">
        <f aca="true">IF(A269="","",IF(K269="Closed","",TODAY()-U269))</f>
        <v/>
      </c>
    </row>
    <row r="270" customFormat="false" ht="15" hidden="false" customHeight="false" outlineLevel="0" collapsed="false">
      <c r="K270" s="0" t="str">
        <f aca="true">IF(A270="","",IF(T270="Yes","Void",IF(I270&lt;&gt;"","Closed",IF(AND(H270&lt;&gt;"",TODAY()&gt;H270),"Overdue","Open"))))</f>
        <v/>
      </c>
      <c r="L270" s="0" t="str">
        <f aca="true">IF(A270="","",IF(I270&lt;&gt;"",J270-B270,TODAY()-B270))</f>
        <v/>
      </c>
      <c r="U270" s="13" t="str">
        <f aca="false">IF(A270="","",MAX(B270+0,H270+0,J270+0))</f>
        <v/>
      </c>
      <c r="V270" s="0" t="str">
        <f aca="true">IF(A270="","",IF(K270="Closed","",TODAY()-U270))</f>
        <v/>
      </c>
    </row>
    <row r="271" customFormat="false" ht="15" hidden="false" customHeight="false" outlineLevel="0" collapsed="false">
      <c r="K271" s="0" t="str">
        <f aca="true">IF(A271="","",IF(T271="Yes","Void",IF(I271&lt;&gt;"","Closed",IF(AND(H271&lt;&gt;"",TODAY()&gt;H271),"Overdue","Open"))))</f>
        <v/>
      </c>
      <c r="L271" s="0" t="str">
        <f aca="true">IF(A271="","",IF(I271&lt;&gt;"",J271-B271,TODAY()-B271))</f>
        <v/>
      </c>
      <c r="U271" s="13" t="str">
        <f aca="false">IF(A271="","",MAX(B271+0,H271+0,J271+0))</f>
        <v/>
      </c>
      <c r="V271" s="0" t="str">
        <f aca="true">IF(A271="","",IF(K271="Closed","",TODAY()-U271))</f>
        <v/>
      </c>
    </row>
    <row r="272" customFormat="false" ht="15" hidden="false" customHeight="false" outlineLevel="0" collapsed="false">
      <c r="K272" s="0" t="str">
        <f aca="true">IF(A272="","",IF(T272="Yes","Void",IF(I272&lt;&gt;"","Closed",IF(AND(H272&lt;&gt;"",TODAY()&gt;H272),"Overdue","Open"))))</f>
        <v/>
      </c>
      <c r="L272" s="0" t="str">
        <f aca="true">IF(A272="","",IF(I272&lt;&gt;"",J272-B272,TODAY()-B272))</f>
        <v/>
      </c>
      <c r="U272" s="13" t="str">
        <f aca="false">IF(A272="","",MAX(B272+0,H272+0,J272+0))</f>
        <v/>
      </c>
      <c r="V272" s="0" t="str">
        <f aca="true">IF(A272="","",IF(K272="Closed","",TODAY()-U272))</f>
        <v/>
      </c>
    </row>
    <row r="273" customFormat="false" ht="15" hidden="false" customHeight="false" outlineLevel="0" collapsed="false">
      <c r="K273" s="0" t="str">
        <f aca="true">IF(A273="","",IF(T273="Yes","Void",IF(I273&lt;&gt;"","Closed",IF(AND(H273&lt;&gt;"",TODAY()&gt;H273),"Overdue","Open"))))</f>
        <v/>
      </c>
      <c r="L273" s="0" t="str">
        <f aca="true">IF(A273="","",IF(I273&lt;&gt;"",J273-B273,TODAY()-B273))</f>
        <v/>
      </c>
      <c r="U273" s="13" t="str">
        <f aca="false">IF(A273="","",MAX(B273+0,H273+0,J273+0))</f>
        <v/>
      </c>
      <c r="V273" s="0" t="str">
        <f aca="true">IF(A273="","",IF(K273="Closed","",TODAY()-U273))</f>
        <v/>
      </c>
    </row>
    <row r="274" customFormat="false" ht="15" hidden="false" customHeight="false" outlineLevel="0" collapsed="false">
      <c r="K274" s="0" t="str">
        <f aca="true">IF(A274="","",IF(T274="Yes","Void",IF(I274&lt;&gt;"","Closed",IF(AND(H274&lt;&gt;"",TODAY()&gt;H274),"Overdue","Open"))))</f>
        <v/>
      </c>
      <c r="L274" s="0" t="str">
        <f aca="true">IF(A274="","",IF(I274&lt;&gt;"",J274-B274,TODAY()-B274))</f>
        <v/>
      </c>
      <c r="U274" s="13" t="str">
        <f aca="false">IF(A274="","",MAX(B274+0,H274+0,J274+0))</f>
        <v/>
      </c>
      <c r="V274" s="0" t="str">
        <f aca="true">IF(A274="","",IF(K274="Closed","",TODAY()-U274))</f>
        <v/>
      </c>
    </row>
    <row r="275" customFormat="false" ht="15" hidden="false" customHeight="false" outlineLevel="0" collapsed="false">
      <c r="K275" s="0" t="str">
        <f aca="true">IF(A275="","",IF(T275="Yes","Void",IF(I275&lt;&gt;"","Closed",IF(AND(H275&lt;&gt;"",TODAY()&gt;H275),"Overdue","Open"))))</f>
        <v/>
      </c>
      <c r="L275" s="0" t="str">
        <f aca="true">IF(A275="","",IF(I275&lt;&gt;"",J275-B275,TODAY()-B275))</f>
        <v/>
      </c>
      <c r="U275" s="13" t="str">
        <f aca="false">IF(A275="","",MAX(B275+0,H275+0,J275+0))</f>
        <v/>
      </c>
      <c r="V275" s="0" t="str">
        <f aca="true">IF(A275="","",IF(K275="Closed","",TODAY()-U275))</f>
        <v/>
      </c>
    </row>
    <row r="276" customFormat="false" ht="15" hidden="false" customHeight="false" outlineLevel="0" collapsed="false">
      <c r="K276" s="0" t="str">
        <f aca="true">IF(A276="","",IF(T276="Yes","Void",IF(I276&lt;&gt;"","Closed",IF(AND(H276&lt;&gt;"",TODAY()&gt;H276),"Overdue","Open"))))</f>
        <v/>
      </c>
      <c r="L276" s="0" t="str">
        <f aca="true">IF(A276="","",IF(I276&lt;&gt;"",J276-B276,TODAY()-B276))</f>
        <v/>
      </c>
      <c r="U276" s="13" t="str">
        <f aca="false">IF(A276="","",MAX(B276+0,H276+0,J276+0))</f>
        <v/>
      </c>
      <c r="V276" s="0" t="str">
        <f aca="true">IF(A276="","",IF(K276="Closed","",TODAY()-U276))</f>
        <v/>
      </c>
    </row>
    <row r="277" customFormat="false" ht="15" hidden="false" customHeight="false" outlineLevel="0" collapsed="false">
      <c r="K277" s="0" t="str">
        <f aca="true">IF(A277="","",IF(T277="Yes","Void",IF(I277&lt;&gt;"","Closed",IF(AND(H277&lt;&gt;"",TODAY()&gt;H277),"Overdue","Open"))))</f>
        <v/>
      </c>
      <c r="L277" s="0" t="str">
        <f aca="true">IF(A277="","",IF(I277&lt;&gt;"",J277-B277,TODAY()-B277))</f>
        <v/>
      </c>
      <c r="U277" s="13" t="str">
        <f aca="false">IF(A277="","",MAX(B277+0,H277+0,J277+0))</f>
        <v/>
      </c>
      <c r="V277" s="0" t="str">
        <f aca="true">IF(A277="","",IF(K277="Closed","",TODAY()-U277))</f>
        <v/>
      </c>
    </row>
    <row r="278" customFormat="false" ht="15" hidden="false" customHeight="false" outlineLevel="0" collapsed="false">
      <c r="K278" s="0" t="str">
        <f aca="true">IF(A278="","",IF(T278="Yes","Void",IF(I278&lt;&gt;"","Closed",IF(AND(H278&lt;&gt;"",TODAY()&gt;H278),"Overdue","Open"))))</f>
        <v/>
      </c>
      <c r="L278" s="0" t="str">
        <f aca="true">IF(A278="","",IF(I278&lt;&gt;"",J278-B278,TODAY()-B278))</f>
        <v/>
      </c>
      <c r="U278" s="13" t="str">
        <f aca="false">IF(A278="","",MAX(B278+0,H278+0,J278+0))</f>
        <v/>
      </c>
      <c r="V278" s="0" t="str">
        <f aca="true">IF(A278="","",IF(K278="Closed","",TODAY()-U278))</f>
        <v/>
      </c>
    </row>
    <row r="279" customFormat="false" ht="15" hidden="false" customHeight="false" outlineLevel="0" collapsed="false">
      <c r="K279" s="0" t="str">
        <f aca="true">IF(A279="","",IF(T279="Yes","Void",IF(I279&lt;&gt;"","Closed",IF(AND(H279&lt;&gt;"",TODAY()&gt;H279),"Overdue","Open"))))</f>
        <v/>
      </c>
      <c r="L279" s="0" t="str">
        <f aca="true">IF(A279="","",IF(I279&lt;&gt;"",J279-B279,TODAY()-B279))</f>
        <v/>
      </c>
      <c r="U279" s="13" t="str">
        <f aca="false">IF(A279="","",MAX(B279+0,H279+0,J279+0))</f>
        <v/>
      </c>
      <c r="V279" s="0" t="str">
        <f aca="true">IF(A279="","",IF(K279="Closed","",TODAY()-U279))</f>
        <v/>
      </c>
    </row>
    <row r="280" customFormat="false" ht="15" hidden="false" customHeight="false" outlineLevel="0" collapsed="false">
      <c r="K280" s="0" t="str">
        <f aca="true">IF(A280="","",IF(T280="Yes","Void",IF(I280&lt;&gt;"","Closed",IF(AND(H280&lt;&gt;"",TODAY()&gt;H280),"Overdue","Open"))))</f>
        <v/>
      </c>
      <c r="L280" s="0" t="str">
        <f aca="true">IF(A280="","",IF(I280&lt;&gt;"",J280-B280,TODAY()-B280))</f>
        <v/>
      </c>
      <c r="U280" s="13" t="str">
        <f aca="false">IF(A280="","",MAX(B280+0,H280+0,J280+0))</f>
        <v/>
      </c>
      <c r="V280" s="0" t="str">
        <f aca="true">IF(A280="","",IF(K280="Closed","",TODAY()-U280))</f>
        <v/>
      </c>
    </row>
    <row r="281" customFormat="false" ht="15" hidden="false" customHeight="false" outlineLevel="0" collapsed="false">
      <c r="K281" s="0" t="str">
        <f aca="true">IF(A281="","",IF(T281="Yes","Void",IF(I281&lt;&gt;"","Closed",IF(AND(H281&lt;&gt;"",TODAY()&gt;H281),"Overdue","Open"))))</f>
        <v/>
      </c>
      <c r="L281" s="0" t="str">
        <f aca="true">IF(A281="","",IF(I281&lt;&gt;"",J281-B281,TODAY()-B281))</f>
        <v/>
      </c>
      <c r="U281" s="13" t="str">
        <f aca="false">IF(A281="","",MAX(B281+0,H281+0,J281+0))</f>
        <v/>
      </c>
      <c r="V281" s="0" t="str">
        <f aca="true">IF(A281="","",IF(K281="Closed","",TODAY()-U281))</f>
        <v/>
      </c>
    </row>
    <row r="282" customFormat="false" ht="15" hidden="false" customHeight="false" outlineLevel="0" collapsed="false">
      <c r="K282" s="0" t="str">
        <f aca="true">IF(A282="","",IF(T282="Yes","Void",IF(I282&lt;&gt;"","Closed",IF(AND(H282&lt;&gt;"",TODAY()&gt;H282),"Overdue","Open"))))</f>
        <v/>
      </c>
      <c r="L282" s="0" t="str">
        <f aca="true">IF(A282="","",IF(I282&lt;&gt;"",J282-B282,TODAY()-B282))</f>
        <v/>
      </c>
      <c r="U282" s="13" t="str">
        <f aca="false">IF(A282="","",MAX(B282+0,H282+0,J282+0))</f>
        <v/>
      </c>
      <c r="V282" s="0" t="str">
        <f aca="true">IF(A282="","",IF(K282="Closed","",TODAY()-U282))</f>
        <v/>
      </c>
    </row>
    <row r="283" customFormat="false" ht="15" hidden="false" customHeight="false" outlineLevel="0" collapsed="false">
      <c r="K283" s="0" t="str">
        <f aca="true">IF(A283="","",IF(T283="Yes","Void",IF(I283&lt;&gt;"","Closed",IF(AND(H283&lt;&gt;"",TODAY()&gt;H283),"Overdue","Open"))))</f>
        <v/>
      </c>
      <c r="L283" s="0" t="str">
        <f aca="true">IF(A283="","",IF(I283&lt;&gt;"",J283-B283,TODAY()-B283))</f>
        <v/>
      </c>
      <c r="U283" s="13" t="str">
        <f aca="false">IF(A283="","",MAX(B283+0,H283+0,J283+0))</f>
        <v/>
      </c>
      <c r="V283" s="0" t="str">
        <f aca="true">IF(A283="","",IF(K283="Closed","",TODAY()-U283))</f>
        <v/>
      </c>
    </row>
    <row r="284" customFormat="false" ht="15" hidden="false" customHeight="false" outlineLevel="0" collapsed="false">
      <c r="K284" s="0" t="str">
        <f aca="true">IF(A284="","",IF(T284="Yes","Void",IF(I284&lt;&gt;"","Closed",IF(AND(H284&lt;&gt;"",TODAY()&gt;H284),"Overdue","Open"))))</f>
        <v/>
      </c>
      <c r="L284" s="0" t="str">
        <f aca="true">IF(A284="","",IF(I284&lt;&gt;"",J284-B284,TODAY()-B284))</f>
        <v/>
      </c>
      <c r="U284" s="13" t="str">
        <f aca="false">IF(A284="","",MAX(B284+0,H284+0,J284+0))</f>
        <v/>
      </c>
      <c r="V284" s="0" t="str">
        <f aca="true">IF(A284="","",IF(K284="Closed","",TODAY()-U284))</f>
        <v/>
      </c>
    </row>
    <row r="285" customFormat="false" ht="15" hidden="false" customHeight="false" outlineLevel="0" collapsed="false">
      <c r="K285" s="0" t="str">
        <f aca="true">IF(A285="","",IF(T285="Yes","Void",IF(I285&lt;&gt;"","Closed",IF(AND(H285&lt;&gt;"",TODAY()&gt;H285),"Overdue","Open"))))</f>
        <v/>
      </c>
      <c r="L285" s="0" t="str">
        <f aca="true">IF(A285="","",IF(I285&lt;&gt;"",J285-B285,TODAY()-B285))</f>
        <v/>
      </c>
      <c r="U285" s="13" t="str">
        <f aca="false">IF(A285="","",MAX(B285+0,H285+0,J285+0))</f>
        <v/>
      </c>
      <c r="V285" s="0" t="str">
        <f aca="true">IF(A285="","",IF(K285="Closed","",TODAY()-U285))</f>
        <v/>
      </c>
    </row>
    <row r="286" customFormat="false" ht="15" hidden="false" customHeight="false" outlineLevel="0" collapsed="false">
      <c r="K286" s="0" t="str">
        <f aca="true">IF(A286="","",IF(T286="Yes","Void",IF(I286&lt;&gt;"","Closed",IF(AND(H286&lt;&gt;"",TODAY()&gt;H286),"Overdue","Open"))))</f>
        <v/>
      </c>
      <c r="L286" s="0" t="str">
        <f aca="true">IF(A286="","",IF(I286&lt;&gt;"",J286-B286,TODAY()-B286))</f>
        <v/>
      </c>
      <c r="U286" s="13" t="str">
        <f aca="false">IF(A286="","",MAX(B286+0,H286+0,J286+0))</f>
        <v/>
      </c>
      <c r="V286" s="0" t="str">
        <f aca="true">IF(A286="","",IF(K286="Closed","",TODAY()-U286))</f>
        <v/>
      </c>
    </row>
    <row r="287" customFormat="false" ht="15" hidden="false" customHeight="false" outlineLevel="0" collapsed="false">
      <c r="K287" s="0" t="str">
        <f aca="true">IF(A287="","",IF(T287="Yes","Void",IF(I287&lt;&gt;"","Closed",IF(AND(H287&lt;&gt;"",TODAY()&gt;H287),"Overdue","Open"))))</f>
        <v/>
      </c>
      <c r="L287" s="0" t="str">
        <f aca="true">IF(A287="","",IF(I287&lt;&gt;"",J287-B287,TODAY()-B287))</f>
        <v/>
      </c>
      <c r="U287" s="13" t="str">
        <f aca="false">IF(A287="","",MAX(B287+0,H287+0,J287+0))</f>
        <v/>
      </c>
      <c r="V287" s="0" t="str">
        <f aca="true">IF(A287="","",IF(K287="Closed","",TODAY()-U287))</f>
        <v/>
      </c>
    </row>
    <row r="288" customFormat="false" ht="15" hidden="false" customHeight="false" outlineLevel="0" collapsed="false">
      <c r="K288" s="0" t="str">
        <f aca="true">IF(A288="","",IF(T288="Yes","Void",IF(I288&lt;&gt;"","Closed",IF(AND(H288&lt;&gt;"",TODAY()&gt;H288),"Overdue","Open"))))</f>
        <v/>
      </c>
      <c r="L288" s="0" t="str">
        <f aca="true">IF(A288="","",IF(I288&lt;&gt;"",J288-B288,TODAY()-B288))</f>
        <v/>
      </c>
      <c r="U288" s="13" t="str">
        <f aca="false">IF(A288="","",MAX(B288+0,H288+0,J288+0))</f>
        <v/>
      </c>
      <c r="V288" s="0" t="str">
        <f aca="true">IF(A288="","",IF(K288="Closed","",TODAY()-U288))</f>
        <v/>
      </c>
    </row>
    <row r="289" customFormat="false" ht="15" hidden="false" customHeight="false" outlineLevel="0" collapsed="false">
      <c r="K289" s="0" t="str">
        <f aca="true">IF(A289="","",IF(T289="Yes","Void",IF(I289&lt;&gt;"","Closed",IF(AND(H289&lt;&gt;"",TODAY()&gt;H289),"Overdue","Open"))))</f>
        <v/>
      </c>
      <c r="L289" s="0" t="str">
        <f aca="true">IF(A289="","",IF(I289&lt;&gt;"",J289-B289,TODAY()-B289))</f>
        <v/>
      </c>
      <c r="U289" s="13" t="str">
        <f aca="false">IF(A289="","",MAX(B289+0,H289+0,J289+0))</f>
        <v/>
      </c>
      <c r="V289" s="0" t="str">
        <f aca="true">IF(A289="","",IF(K289="Closed","",TODAY()-U289))</f>
        <v/>
      </c>
    </row>
    <row r="290" customFormat="false" ht="15" hidden="false" customHeight="false" outlineLevel="0" collapsed="false">
      <c r="K290" s="0" t="str">
        <f aca="true">IF(A290="","",IF(T290="Yes","Void",IF(I290&lt;&gt;"","Closed",IF(AND(H290&lt;&gt;"",TODAY()&gt;H290),"Overdue","Open"))))</f>
        <v/>
      </c>
      <c r="L290" s="0" t="str">
        <f aca="true">IF(A290="","",IF(I290&lt;&gt;"",J290-B290,TODAY()-B290))</f>
        <v/>
      </c>
      <c r="U290" s="13" t="str">
        <f aca="false">IF(A290="","",MAX(B290+0,H290+0,J290+0))</f>
        <v/>
      </c>
      <c r="V290" s="0" t="str">
        <f aca="true">IF(A290="","",IF(K290="Closed","",TODAY()-U290))</f>
        <v/>
      </c>
    </row>
    <row r="291" customFormat="false" ht="15" hidden="false" customHeight="false" outlineLevel="0" collapsed="false">
      <c r="K291" s="0" t="str">
        <f aca="true">IF(A291="","",IF(T291="Yes","Void",IF(I291&lt;&gt;"","Closed",IF(AND(H291&lt;&gt;"",TODAY()&gt;H291),"Overdue","Open"))))</f>
        <v/>
      </c>
      <c r="L291" s="0" t="str">
        <f aca="true">IF(A291="","",IF(I291&lt;&gt;"",J291-B291,TODAY()-B291))</f>
        <v/>
      </c>
      <c r="U291" s="13" t="str">
        <f aca="false">IF(A291="","",MAX(B291+0,H291+0,J291+0))</f>
        <v/>
      </c>
      <c r="V291" s="0" t="str">
        <f aca="true">IF(A291="","",IF(K291="Closed","",TODAY()-U291))</f>
        <v/>
      </c>
    </row>
    <row r="292" customFormat="false" ht="15" hidden="false" customHeight="false" outlineLevel="0" collapsed="false">
      <c r="K292" s="0" t="str">
        <f aca="true">IF(A292="","",IF(T292="Yes","Void",IF(I292&lt;&gt;"","Closed",IF(AND(H292&lt;&gt;"",TODAY()&gt;H292),"Overdue","Open"))))</f>
        <v/>
      </c>
      <c r="L292" s="0" t="str">
        <f aca="true">IF(A292="","",IF(I292&lt;&gt;"",J292-B292,TODAY()-B292))</f>
        <v/>
      </c>
      <c r="U292" s="13" t="str">
        <f aca="false">IF(A292="","",MAX(B292+0,H292+0,J292+0))</f>
        <v/>
      </c>
      <c r="V292" s="0" t="str">
        <f aca="true">IF(A292="","",IF(K292="Closed","",TODAY()-U292))</f>
        <v/>
      </c>
    </row>
    <row r="293" customFormat="false" ht="15" hidden="false" customHeight="false" outlineLevel="0" collapsed="false">
      <c r="K293" s="0" t="str">
        <f aca="true">IF(A293="","",IF(T293="Yes","Void",IF(I293&lt;&gt;"","Closed",IF(AND(H293&lt;&gt;"",TODAY()&gt;H293),"Overdue","Open"))))</f>
        <v/>
      </c>
      <c r="L293" s="0" t="str">
        <f aca="true">IF(A293="","",IF(I293&lt;&gt;"",J293-B293,TODAY()-B293))</f>
        <v/>
      </c>
      <c r="U293" s="13" t="str">
        <f aca="false">IF(A293="","",MAX(B293+0,H293+0,J293+0))</f>
        <v/>
      </c>
      <c r="V293" s="0" t="str">
        <f aca="true">IF(A293="","",IF(K293="Closed","",TODAY()-U293))</f>
        <v/>
      </c>
    </row>
    <row r="294" customFormat="false" ht="15" hidden="false" customHeight="false" outlineLevel="0" collapsed="false">
      <c r="K294" s="0" t="str">
        <f aca="true">IF(A294="","",IF(T294="Yes","Void",IF(I294&lt;&gt;"","Closed",IF(AND(H294&lt;&gt;"",TODAY()&gt;H294),"Overdue","Open"))))</f>
        <v/>
      </c>
      <c r="L294" s="0" t="str">
        <f aca="true">IF(A294="","",IF(I294&lt;&gt;"",J294-B294,TODAY()-B294))</f>
        <v/>
      </c>
      <c r="U294" s="13" t="str">
        <f aca="false">IF(A294="","",MAX(B294+0,H294+0,J294+0))</f>
        <v/>
      </c>
      <c r="V294" s="0" t="str">
        <f aca="true">IF(A294="","",IF(K294="Closed","",TODAY()-U294))</f>
        <v/>
      </c>
    </row>
    <row r="295" customFormat="false" ht="15" hidden="false" customHeight="false" outlineLevel="0" collapsed="false">
      <c r="K295" s="0" t="str">
        <f aca="true">IF(A295="","",IF(T295="Yes","Void",IF(I295&lt;&gt;"","Closed",IF(AND(H295&lt;&gt;"",TODAY()&gt;H295),"Overdue","Open"))))</f>
        <v/>
      </c>
      <c r="L295" s="0" t="str">
        <f aca="true">IF(A295="","",IF(I295&lt;&gt;"",J295-B295,TODAY()-B295))</f>
        <v/>
      </c>
      <c r="U295" s="13" t="str">
        <f aca="false">IF(A295="","",MAX(B295+0,H295+0,J295+0))</f>
        <v/>
      </c>
      <c r="V295" s="0" t="str">
        <f aca="true">IF(A295="","",IF(K295="Closed","",TODAY()-U295))</f>
        <v/>
      </c>
    </row>
    <row r="296" customFormat="false" ht="15" hidden="false" customHeight="false" outlineLevel="0" collapsed="false">
      <c r="K296" s="0" t="str">
        <f aca="true">IF(A296="","",IF(T296="Yes","Void",IF(I296&lt;&gt;"","Closed",IF(AND(H296&lt;&gt;"",TODAY()&gt;H296),"Overdue","Open"))))</f>
        <v/>
      </c>
      <c r="L296" s="0" t="str">
        <f aca="true">IF(A296="","",IF(I296&lt;&gt;"",J296-B296,TODAY()-B296))</f>
        <v/>
      </c>
      <c r="U296" s="13" t="str">
        <f aca="false">IF(A296="","",MAX(B296+0,H296+0,J296+0))</f>
        <v/>
      </c>
      <c r="V296" s="0" t="str">
        <f aca="true">IF(A296="","",IF(K296="Closed","",TODAY()-U296))</f>
        <v/>
      </c>
    </row>
    <row r="297" customFormat="false" ht="15" hidden="false" customHeight="false" outlineLevel="0" collapsed="false">
      <c r="K297" s="0" t="str">
        <f aca="true">IF(A297="","",IF(T297="Yes","Void",IF(I297&lt;&gt;"","Closed",IF(AND(H297&lt;&gt;"",TODAY()&gt;H297),"Overdue","Open"))))</f>
        <v/>
      </c>
      <c r="L297" s="0" t="str">
        <f aca="true">IF(A297="","",IF(I297&lt;&gt;"",J297-B297,TODAY()-B297))</f>
        <v/>
      </c>
      <c r="U297" s="13" t="str">
        <f aca="false">IF(A297="","",MAX(B297+0,H297+0,J297+0))</f>
        <v/>
      </c>
      <c r="V297" s="0" t="str">
        <f aca="true">IF(A297="","",IF(K297="Closed","",TODAY()-U297))</f>
        <v/>
      </c>
    </row>
    <row r="298" customFormat="false" ht="15" hidden="false" customHeight="false" outlineLevel="0" collapsed="false">
      <c r="K298" s="0" t="str">
        <f aca="true">IF(A298="","",IF(T298="Yes","Void",IF(I298&lt;&gt;"","Closed",IF(AND(H298&lt;&gt;"",TODAY()&gt;H298),"Overdue","Open"))))</f>
        <v/>
      </c>
      <c r="L298" s="0" t="str">
        <f aca="true">IF(A298="","",IF(I298&lt;&gt;"",J298-B298,TODAY()-B298))</f>
        <v/>
      </c>
      <c r="U298" s="13" t="str">
        <f aca="false">IF(A298="","",MAX(B298+0,H298+0,J298+0))</f>
        <v/>
      </c>
      <c r="V298" s="0" t="str">
        <f aca="true">IF(A298="","",IF(K298="Closed","",TODAY()-U298))</f>
        <v/>
      </c>
    </row>
    <row r="299" customFormat="false" ht="15" hidden="false" customHeight="false" outlineLevel="0" collapsed="false">
      <c r="K299" s="0" t="str">
        <f aca="true">IF(A299="","",IF(T299="Yes","Void",IF(I299&lt;&gt;"","Closed",IF(AND(H299&lt;&gt;"",TODAY()&gt;H299),"Overdue","Open"))))</f>
        <v/>
      </c>
      <c r="L299" s="0" t="str">
        <f aca="true">IF(A299="","",IF(I299&lt;&gt;"",J299-B299,TODAY()-B299))</f>
        <v/>
      </c>
      <c r="U299" s="13" t="str">
        <f aca="false">IF(A299="","",MAX(B299+0,H299+0,J299+0))</f>
        <v/>
      </c>
      <c r="V299" s="0" t="str">
        <f aca="true">IF(A299="","",IF(K299="Closed","",TODAY()-U299))</f>
        <v/>
      </c>
    </row>
    <row r="302" customFormat="false" ht="15" hidden="false" customHeight="false" outlineLevel="0" collapsed="false">
      <c r="A302" s="3" t="s">
        <v>231</v>
      </c>
    </row>
  </sheetData>
  <conditionalFormatting sqref="V2:V300">
    <cfRule type="cellIs" priority="2" operator="greaterThanOrEqual" aboveAverage="0" equalAverage="0" bottom="0" percent="0" rank="0" text="" dxfId="0">
      <formula>14</formula>
    </cfRule>
  </conditionalFormatting>
  <conditionalFormatting sqref="K2:K300">
    <cfRule type="cellIs" priority="3" operator="equal" aboveAverage="0" equalAverage="0" bottom="0" percent="0" rank="0" text="" dxfId="1">
      <formula>"Overdue"</formula>
    </cfRule>
    <cfRule type="cellIs" priority="4" operator="equal" aboveAverage="0" equalAverage="0" bottom="0" percent="0" rank="0" text="" dxfId="2">
      <formula>"Void"</formula>
    </cfRule>
  </conditionalFormatting>
  <dataValidations count="3">
    <dataValidation allowBlank="true" errorStyle="stop" operator="between" showDropDown="false" showErrorMessage="false" showInputMessage="false" sqref="K2:K500" type="list">
      <formula1>"Open,Closed,Overdue,Void"</formula1>
      <formula2>0</formula2>
    </dataValidation>
    <dataValidation allowBlank="true" errorStyle="stop" operator="between" showDropDown="false" showErrorMessage="false" showInputMessage="false" sqref="R2:R500" type="list">
      <formula1>"Yes,No"</formula1>
      <formula2>0</formula2>
    </dataValidation>
    <dataValidation allowBlank="true" errorStyle="stop" operator="between" showDropDown="false" showErrorMessage="false" showInputMessage="false" sqref="T2:T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P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2" min="11" style="0" width="12"/>
    <col collapsed="false" customWidth="true" hidden="false" outlineLevel="0" max="13" min="13" style="0" width="24"/>
    <col collapsed="false" customWidth="true" hidden="false" outlineLevel="0" max="16" min="14" style="0" width="14"/>
  </cols>
  <sheetData>
    <row r="1" customFormat="false" ht="31.5" hidden="false" customHeight="true" outlineLevel="0" collapsed="false">
      <c r="A1" s="19" t="s">
        <v>232</v>
      </c>
      <c r="B1" s="19" t="s">
        <v>233</v>
      </c>
      <c r="C1" s="19" t="s">
        <v>234</v>
      </c>
      <c r="D1" s="19" t="s">
        <v>235</v>
      </c>
      <c r="E1" s="19" t="s">
        <v>236</v>
      </c>
      <c r="F1" s="19" t="s">
        <v>237</v>
      </c>
      <c r="G1" s="19" t="s">
        <v>238</v>
      </c>
      <c r="H1" s="19" t="s">
        <v>239</v>
      </c>
      <c r="I1" s="19" t="s">
        <v>240</v>
      </c>
      <c r="J1" s="19" t="s">
        <v>208</v>
      </c>
      <c r="K1" s="19" t="s">
        <v>241</v>
      </c>
      <c r="L1" s="19" t="s">
        <v>242</v>
      </c>
      <c r="M1" s="19" t="s">
        <v>214</v>
      </c>
      <c r="N1" s="19" t="s">
        <v>215</v>
      </c>
      <c r="O1" s="19" t="s">
        <v>218</v>
      </c>
      <c r="P1" s="19" t="s">
        <v>219</v>
      </c>
    </row>
    <row r="2" customFormat="false" ht="15" hidden="false" customHeight="false" outlineLevel="0" collapsed="false">
      <c r="A2" s="20" t="s">
        <v>243</v>
      </c>
      <c r="B2" s="20" t="s">
        <v>244</v>
      </c>
      <c r="C2" s="20" t="s">
        <v>245</v>
      </c>
      <c r="D2" s="20" t="s">
        <v>246</v>
      </c>
      <c r="E2" s="20" t="s">
        <v>247</v>
      </c>
      <c r="F2" s="20" t="s">
        <v>248</v>
      </c>
      <c r="G2" s="20" t="s">
        <v>249</v>
      </c>
      <c r="H2" s="20" t="s">
        <v>250</v>
      </c>
      <c r="I2" s="20"/>
      <c r="J2" s="20"/>
      <c r="K2" s="22" t="n">
        <f aca="true">IF(A2="","",IF(I2&lt;&gt;"",I2-G2,IF(G2&lt;&gt;"",TODAY()-G2,"")))</f>
        <v>25</v>
      </c>
      <c r="L2" s="20"/>
      <c r="M2" s="20" t="s">
        <v>251</v>
      </c>
      <c r="N2" s="20" t="s">
        <v>252</v>
      </c>
      <c r="O2" s="23" t="n">
        <f aca="false">IF(A2="","",MAX(F2+0,G2+0,H2+0,I2+0))</f>
        <v>46282</v>
      </c>
      <c r="P2" s="22" t="n">
        <f aca="true">IF(A2="","",IF(OR(J2="Approved",J2="Approved as Noted"),"",TODAY()-O2))</f>
        <v>11</v>
      </c>
    </row>
    <row r="3" customFormat="false" ht="15" hidden="false" customHeight="false" outlineLevel="0" collapsed="false">
      <c r="K3" s="0" t="str">
        <f aca="true">IF(A3="","",IF(I3&lt;&gt;"",I3-G3,IF(G3&lt;&gt;"",TODAY()-G3,"")))</f>
        <v/>
      </c>
      <c r="O3" s="13" t="str">
        <f aca="false">IF(A3="","",MAX(F3+0,G3+0,H3+0,I3+0))</f>
        <v/>
      </c>
      <c r="P3" s="0" t="str">
        <f aca="true">IF(A3="","",IF(OR(J3="Approved",J3="Approved as Noted"),"",TODAY()-O3))</f>
        <v/>
      </c>
    </row>
    <row r="4" customFormat="false" ht="15" hidden="false" customHeight="false" outlineLevel="0" collapsed="false">
      <c r="K4" s="0" t="str">
        <f aca="true">IF(A4="","",IF(I4&lt;&gt;"",I4-G4,IF(G4&lt;&gt;"",TODAY()-G4,"")))</f>
        <v/>
      </c>
      <c r="O4" s="13" t="str">
        <f aca="false">IF(A4="","",MAX(F4+0,G4+0,H4+0,I4+0))</f>
        <v/>
      </c>
      <c r="P4" s="0" t="str">
        <f aca="true">IF(A4="","",IF(OR(J4="Approved",J4="Approved as Noted"),"",TODAY()-O4))</f>
        <v/>
      </c>
    </row>
    <row r="5" customFormat="false" ht="15" hidden="false" customHeight="false" outlineLevel="0" collapsed="false">
      <c r="K5" s="0" t="str">
        <f aca="true">IF(A5="","",IF(I5&lt;&gt;"",I5-G5,IF(G5&lt;&gt;"",TODAY()-G5,"")))</f>
        <v/>
      </c>
      <c r="O5" s="13" t="str">
        <f aca="false">IF(A5="","",MAX(F5+0,G5+0,H5+0,I5+0))</f>
        <v/>
      </c>
      <c r="P5" s="0" t="str">
        <f aca="true">IF(A5="","",IF(OR(J5="Approved",J5="Approved as Noted"),"",TODAY()-O5))</f>
        <v/>
      </c>
    </row>
    <row r="6" customFormat="false" ht="15" hidden="false" customHeight="false" outlineLevel="0" collapsed="false">
      <c r="K6" s="0" t="str">
        <f aca="true">IF(A6="","",IF(I6&lt;&gt;"",I6-G6,IF(G6&lt;&gt;"",TODAY()-G6,"")))</f>
        <v/>
      </c>
      <c r="O6" s="13" t="str">
        <f aca="false">IF(A6="","",MAX(F6+0,G6+0,H6+0,I6+0))</f>
        <v/>
      </c>
      <c r="P6" s="0" t="str">
        <f aca="true">IF(A6="","",IF(OR(J6="Approved",J6="Approved as Noted"),"",TODAY()-O6))</f>
        <v/>
      </c>
    </row>
    <row r="7" customFormat="false" ht="15" hidden="false" customHeight="false" outlineLevel="0" collapsed="false">
      <c r="K7" s="0" t="str">
        <f aca="true">IF(A7="","",IF(I7&lt;&gt;"",I7-G7,IF(G7&lt;&gt;"",TODAY()-G7,"")))</f>
        <v/>
      </c>
      <c r="O7" s="13" t="str">
        <f aca="false">IF(A7="","",MAX(F7+0,G7+0,H7+0,I7+0))</f>
        <v/>
      </c>
      <c r="P7" s="0" t="str">
        <f aca="true">IF(A7="","",IF(OR(J7="Approved",J7="Approved as Noted"),"",TODAY()-O7))</f>
        <v/>
      </c>
    </row>
    <row r="8" customFormat="false" ht="15" hidden="false" customHeight="false" outlineLevel="0" collapsed="false">
      <c r="K8" s="0" t="str">
        <f aca="true">IF(A8="","",IF(I8&lt;&gt;"",I8-G8,IF(G8&lt;&gt;"",TODAY()-G8,"")))</f>
        <v/>
      </c>
      <c r="O8" s="13" t="str">
        <f aca="false">IF(A8="","",MAX(F8+0,G8+0,H8+0,I8+0))</f>
        <v/>
      </c>
      <c r="P8" s="0" t="str">
        <f aca="true">IF(A8="","",IF(OR(J8="Approved",J8="Approved as Noted"),"",TODAY()-O8))</f>
        <v/>
      </c>
    </row>
    <row r="9" customFormat="false" ht="15" hidden="false" customHeight="false" outlineLevel="0" collapsed="false">
      <c r="K9" s="0" t="str">
        <f aca="true">IF(A9="","",IF(I9&lt;&gt;"",I9-G9,IF(G9&lt;&gt;"",TODAY()-G9,"")))</f>
        <v/>
      </c>
      <c r="O9" s="13" t="str">
        <f aca="false">IF(A9="","",MAX(F9+0,G9+0,H9+0,I9+0))</f>
        <v/>
      </c>
      <c r="P9" s="0" t="str">
        <f aca="true">IF(A9="","",IF(OR(J9="Approved",J9="Approved as Noted"),"",TODAY()-O9))</f>
        <v/>
      </c>
    </row>
    <row r="10" customFormat="false" ht="15" hidden="false" customHeight="false" outlineLevel="0" collapsed="false">
      <c r="K10" s="0" t="str">
        <f aca="true">IF(A10="","",IF(I10&lt;&gt;"",I10-G10,IF(G10&lt;&gt;"",TODAY()-G10,"")))</f>
        <v/>
      </c>
      <c r="O10" s="13" t="str">
        <f aca="false">IF(A10="","",MAX(F10+0,G10+0,H10+0,I10+0))</f>
        <v/>
      </c>
      <c r="P10" s="0" t="str">
        <f aca="true">IF(A10="","",IF(OR(J10="Approved",J10="Approved as Noted"),"",TODAY()-O10))</f>
        <v/>
      </c>
    </row>
    <row r="11" customFormat="false" ht="15" hidden="false" customHeight="false" outlineLevel="0" collapsed="false">
      <c r="K11" s="0" t="str">
        <f aca="true">IF(A11="","",IF(I11&lt;&gt;"",I11-G11,IF(G11&lt;&gt;"",TODAY()-G11,"")))</f>
        <v/>
      </c>
      <c r="O11" s="13" t="str">
        <f aca="false">IF(A11="","",MAX(F11+0,G11+0,H11+0,I11+0))</f>
        <v/>
      </c>
      <c r="P11" s="0" t="str">
        <f aca="true">IF(A11="","",IF(OR(J11="Approved",J11="Approved as Noted"),"",TODAY()-O11))</f>
        <v/>
      </c>
    </row>
    <row r="12" customFormat="false" ht="15" hidden="false" customHeight="false" outlineLevel="0" collapsed="false">
      <c r="K12" s="0" t="str">
        <f aca="true">IF(A12="","",IF(I12&lt;&gt;"",I12-G12,IF(G12&lt;&gt;"",TODAY()-G12,"")))</f>
        <v/>
      </c>
      <c r="O12" s="13" t="str">
        <f aca="false">IF(A12="","",MAX(F12+0,G12+0,H12+0,I12+0))</f>
        <v/>
      </c>
      <c r="P12" s="0" t="str">
        <f aca="true">IF(A12="","",IF(OR(J12="Approved",J12="Approved as Noted"),"",TODAY()-O12))</f>
        <v/>
      </c>
    </row>
    <row r="13" customFormat="false" ht="15" hidden="false" customHeight="false" outlineLevel="0" collapsed="false">
      <c r="K13" s="0" t="str">
        <f aca="true">IF(A13="","",IF(I13&lt;&gt;"",I13-G13,IF(G13&lt;&gt;"",TODAY()-G13,"")))</f>
        <v/>
      </c>
      <c r="O13" s="13" t="str">
        <f aca="false">IF(A13="","",MAX(F13+0,G13+0,H13+0,I13+0))</f>
        <v/>
      </c>
      <c r="P13" s="0" t="str">
        <f aca="true">IF(A13="","",IF(OR(J13="Approved",J13="Approved as Noted"),"",TODAY()-O13))</f>
        <v/>
      </c>
    </row>
    <row r="14" customFormat="false" ht="15" hidden="false" customHeight="false" outlineLevel="0" collapsed="false">
      <c r="K14" s="0" t="str">
        <f aca="true">IF(A14="","",IF(I14&lt;&gt;"",I14-G14,IF(G14&lt;&gt;"",TODAY()-G14,"")))</f>
        <v/>
      </c>
      <c r="O14" s="13" t="str">
        <f aca="false">IF(A14="","",MAX(F14+0,G14+0,H14+0,I14+0))</f>
        <v/>
      </c>
      <c r="P14" s="0" t="str">
        <f aca="true">IF(A14="","",IF(OR(J14="Approved",J14="Approved as Noted"),"",TODAY()-O14))</f>
        <v/>
      </c>
    </row>
    <row r="15" customFormat="false" ht="15" hidden="false" customHeight="false" outlineLevel="0" collapsed="false">
      <c r="K15" s="0" t="str">
        <f aca="true">IF(A15="","",IF(I15&lt;&gt;"",I15-G15,IF(G15&lt;&gt;"",TODAY()-G15,"")))</f>
        <v/>
      </c>
      <c r="O15" s="13" t="str">
        <f aca="false">IF(A15="","",MAX(F15+0,G15+0,H15+0,I15+0))</f>
        <v/>
      </c>
      <c r="P15" s="0" t="str">
        <f aca="true">IF(A15="","",IF(OR(J15="Approved",J15="Approved as Noted"),"",TODAY()-O15))</f>
        <v/>
      </c>
    </row>
    <row r="16" customFormat="false" ht="15" hidden="false" customHeight="false" outlineLevel="0" collapsed="false">
      <c r="K16" s="0" t="str">
        <f aca="true">IF(A16="","",IF(I16&lt;&gt;"",I16-G16,IF(G16&lt;&gt;"",TODAY()-G16,"")))</f>
        <v/>
      </c>
      <c r="O16" s="13" t="str">
        <f aca="false">IF(A16="","",MAX(F16+0,G16+0,H16+0,I16+0))</f>
        <v/>
      </c>
      <c r="P16" s="0" t="str">
        <f aca="true">IF(A16="","",IF(OR(J16="Approved",J16="Approved as Noted"),"",TODAY()-O16))</f>
        <v/>
      </c>
    </row>
    <row r="17" customFormat="false" ht="15" hidden="false" customHeight="false" outlineLevel="0" collapsed="false">
      <c r="K17" s="0" t="str">
        <f aca="true">IF(A17="","",IF(I17&lt;&gt;"",I17-G17,IF(G17&lt;&gt;"",TODAY()-G17,"")))</f>
        <v/>
      </c>
      <c r="O17" s="13" t="str">
        <f aca="false">IF(A17="","",MAX(F17+0,G17+0,H17+0,I17+0))</f>
        <v/>
      </c>
      <c r="P17" s="0" t="str">
        <f aca="true">IF(A17="","",IF(OR(J17="Approved",J17="Approved as Noted"),"",TODAY()-O17))</f>
        <v/>
      </c>
    </row>
    <row r="18" customFormat="false" ht="15" hidden="false" customHeight="false" outlineLevel="0" collapsed="false">
      <c r="K18" s="0" t="str">
        <f aca="true">IF(A18="","",IF(I18&lt;&gt;"",I18-G18,IF(G18&lt;&gt;"",TODAY()-G18,"")))</f>
        <v/>
      </c>
      <c r="O18" s="13" t="str">
        <f aca="false">IF(A18="","",MAX(F18+0,G18+0,H18+0,I18+0))</f>
        <v/>
      </c>
      <c r="P18" s="0" t="str">
        <f aca="true">IF(A18="","",IF(OR(J18="Approved",J18="Approved as Noted"),"",TODAY()-O18))</f>
        <v/>
      </c>
    </row>
    <row r="19" customFormat="false" ht="15" hidden="false" customHeight="false" outlineLevel="0" collapsed="false">
      <c r="K19" s="0" t="str">
        <f aca="true">IF(A19="","",IF(I19&lt;&gt;"",I19-G19,IF(G19&lt;&gt;"",TODAY()-G19,"")))</f>
        <v/>
      </c>
      <c r="O19" s="13" t="str">
        <f aca="false">IF(A19="","",MAX(F19+0,G19+0,H19+0,I19+0))</f>
        <v/>
      </c>
      <c r="P19" s="0" t="str">
        <f aca="true">IF(A19="","",IF(OR(J19="Approved",J19="Approved as Noted"),"",TODAY()-O19))</f>
        <v/>
      </c>
    </row>
    <row r="20" customFormat="false" ht="15" hidden="false" customHeight="false" outlineLevel="0" collapsed="false">
      <c r="K20" s="0" t="str">
        <f aca="true">IF(A20="","",IF(I20&lt;&gt;"",I20-G20,IF(G20&lt;&gt;"",TODAY()-G20,"")))</f>
        <v/>
      </c>
      <c r="O20" s="13" t="str">
        <f aca="false">IF(A20="","",MAX(F20+0,G20+0,H20+0,I20+0))</f>
        <v/>
      </c>
      <c r="P20" s="0" t="str">
        <f aca="true">IF(A20="","",IF(OR(J20="Approved",J20="Approved as Noted"),"",TODAY()-O20))</f>
        <v/>
      </c>
    </row>
    <row r="21" customFormat="false" ht="15" hidden="false" customHeight="false" outlineLevel="0" collapsed="false">
      <c r="K21" s="0" t="str">
        <f aca="true">IF(A21="","",IF(I21&lt;&gt;"",I21-G21,IF(G21&lt;&gt;"",TODAY()-G21,"")))</f>
        <v/>
      </c>
      <c r="O21" s="13" t="str">
        <f aca="false">IF(A21="","",MAX(F21+0,G21+0,H21+0,I21+0))</f>
        <v/>
      </c>
      <c r="P21" s="0" t="str">
        <f aca="true">IF(A21="","",IF(OR(J21="Approved",J21="Approved as Noted"),"",TODAY()-O21))</f>
        <v/>
      </c>
    </row>
    <row r="22" customFormat="false" ht="15" hidden="false" customHeight="false" outlineLevel="0" collapsed="false">
      <c r="K22" s="0" t="str">
        <f aca="true">IF(A22="","",IF(I22&lt;&gt;"",I22-G22,IF(G22&lt;&gt;"",TODAY()-G22,"")))</f>
        <v/>
      </c>
      <c r="O22" s="13" t="str">
        <f aca="false">IF(A22="","",MAX(F22+0,G22+0,H22+0,I22+0))</f>
        <v/>
      </c>
      <c r="P22" s="0" t="str">
        <f aca="true">IF(A22="","",IF(OR(J22="Approved",J22="Approved as Noted"),"",TODAY()-O22))</f>
        <v/>
      </c>
    </row>
    <row r="23" customFormat="false" ht="15" hidden="false" customHeight="false" outlineLevel="0" collapsed="false">
      <c r="K23" s="0" t="str">
        <f aca="true">IF(A23="","",IF(I23&lt;&gt;"",I23-G23,IF(G23&lt;&gt;"",TODAY()-G23,"")))</f>
        <v/>
      </c>
      <c r="O23" s="13" t="str">
        <f aca="false">IF(A23="","",MAX(F23+0,G23+0,H23+0,I23+0))</f>
        <v/>
      </c>
      <c r="P23" s="0" t="str">
        <f aca="true">IF(A23="","",IF(OR(J23="Approved",J23="Approved as Noted"),"",TODAY()-O23))</f>
        <v/>
      </c>
    </row>
    <row r="24" customFormat="false" ht="15" hidden="false" customHeight="false" outlineLevel="0" collapsed="false">
      <c r="K24" s="0" t="str">
        <f aca="true">IF(A24="","",IF(I24&lt;&gt;"",I24-G24,IF(G24&lt;&gt;"",TODAY()-G24,"")))</f>
        <v/>
      </c>
      <c r="O24" s="13" t="str">
        <f aca="false">IF(A24="","",MAX(F24+0,G24+0,H24+0,I24+0))</f>
        <v/>
      </c>
      <c r="P24" s="0" t="str">
        <f aca="true">IF(A24="","",IF(OR(J24="Approved",J24="Approved as Noted"),"",TODAY()-O24))</f>
        <v/>
      </c>
    </row>
    <row r="25" customFormat="false" ht="15" hidden="false" customHeight="false" outlineLevel="0" collapsed="false">
      <c r="K25" s="0" t="str">
        <f aca="true">IF(A25="","",IF(I25&lt;&gt;"",I25-G25,IF(G25&lt;&gt;"",TODAY()-G25,"")))</f>
        <v/>
      </c>
      <c r="O25" s="13" t="str">
        <f aca="false">IF(A25="","",MAX(F25+0,G25+0,H25+0,I25+0))</f>
        <v/>
      </c>
      <c r="P25" s="0" t="str">
        <f aca="true">IF(A25="","",IF(OR(J25="Approved",J25="Approved as Noted"),"",TODAY()-O25))</f>
        <v/>
      </c>
    </row>
    <row r="26" customFormat="false" ht="15" hidden="false" customHeight="false" outlineLevel="0" collapsed="false">
      <c r="K26" s="0" t="str">
        <f aca="true">IF(A26="","",IF(I26&lt;&gt;"",I26-G26,IF(G26&lt;&gt;"",TODAY()-G26,"")))</f>
        <v/>
      </c>
      <c r="O26" s="13" t="str">
        <f aca="false">IF(A26="","",MAX(F26+0,G26+0,H26+0,I26+0))</f>
        <v/>
      </c>
      <c r="P26" s="0" t="str">
        <f aca="true">IF(A26="","",IF(OR(J26="Approved",J26="Approved as Noted"),"",TODAY()-O26))</f>
        <v/>
      </c>
    </row>
    <row r="27" customFormat="false" ht="15" hidden="false" customHeight="false" outlineLevel="0" collapsed="false">
      <c r="K27" s="0" t="str">
        <f aca="true">IF(A27="","",IF(I27&lt;&gt;"",I27-G27,IF(G27&lt;&gt;"",TODAY()-G27,"")))</f>
        <v/>
      </c>
      <c r="O27" s="13" t="str">
        <f aca="false">IF(A27="","",MAX(F27+0,G27+0,H27+0,I27+0))</f>
        <v/>
      </c>
      <c r="P27" s="0" t="str">
        <f aca="true">IF(A27="","",IF(OR(J27="Approved",J27="Approved as Noted"),"",TODAY()-O27))</f>
        <v/>
      </c>
    </row>
    <row r="28" customFormat="false" ht="15" hidden="false" customHeight="false" outlineLevel="0" collapsed="false">
      <c r="K28" s="0" t="str">
        <f aca="true">IF(A28="","",IF(I28&lt;&gt;"",I28-G28,IF(G28&lt;&gt;"",TODAY()-G28,"")))</f>
        <v/>
      </c>
      <c r="O28" s="13" t="str">
        <f aca="false">IF(A28="","",MAX(F28+0,G28+0,H28+0,I28+0))</f>
        <v/>
      </c>
      <c r="P28" s="0" t="str">
        <f aca="true">IF(A28="","",IF(OR(J28="Approved",J28="Approved as Noted"),"",TODAY()-O28))</f>
        <v/>
      </c>
    </row>
    <row r="29" customFormat="false" ht="15" hidden="false" customHeight="false" outlineLevel="0" collapsed="false">
      <c r="K29" s="0" t="str">
        <f aca="true">IF(A29="","",IF(I29&lt;&gt;"",I29-G29,IF(G29&lt;&gt;"",TODAY()-G29,"")))</f>
        <v/>
      </c>
      <c r="O29" s="13" t="str">
        <f aca="false">IF(A29="","",MAX(F29+0,G29+0,H29+0,I29+0))</f>
        <v/>
      </c>
      <c r="P29" s="0" t="str">
        <f aca="true">IF(A29="","",IF(OR(J29="Approved",J29="Approved as Noted"),"",TODAY()-O29))</f>
        <v/>
      </c>
    </row>
    <row r="30" customFormat="false" ht="15" hidden="false" customHeight="false" outlineLevel="0" collapsed="false">
      <c r="K30" s="0" t="str">
        <f aca="true">IF(A30="","",IF(I30&lt;&gt;"",I30-G30,IF(G30&lt;&gt;"",TODAY()-G30,"")))</f>
        <v/>
      </c>
      <c r="O30" s="13" t="str">
        <f aca="false">IF(A30="","",MAX(F30+0,G30+0,H30+0,I30+0))</f>
        <v/>
      </c>
      <c r="P30" s="0" t="str">
        <f aca="true">IF(A30="","",IF(OR(J30="Approved",J30="Approved as Noted"),"",TODAY()-O30))</f>
        <v/>
      </c>
    </row>
    <row r="31" customFormat="false" ht="15" hidden="false" customHeight="false" outlineLevel="0" collapsed="false">
      <c r="K31" s="0" t="str">
        <f aca="true">IF(A31="","",IF(I31&lt;&gt;"",I31-G31,IF(G31&lt;&gt;"",TODAY()-G31,"")))</f>
        <v/>
      </c>
      <c r="O31" s="13" t="str">
        <f aca="false">IF(A31="","",MAX(F31+0,G31+0,H31+0,I31+0))</f>
        <v/>
      </c>
      <c r="P31" s="0" t="str">
        <f aca="true">IF(A31="","",IF(OR(J31="Approved",J31="Approved as Noted"),"",TODAY()-O31))</f>
        <v/>
      </c>
    </row>
    <row r="32" customFormat="false" ht="15" hidden="false" customHeight="false" outlineLevel="0" collapsed="false">
      <c r="K32" s="0" t="str">
        <f aca="true">IF(A32="","",IF(I32&lt;&gt;"",I32-G32,IF(G32&lt;&gt;"",TODAY()-G32,"")))</f>
        <v/>
      </c>
      <c r="O32" s="13" t="str">
        <f aca="false">IF(A32="","",MAX(F32+0,G32+0,H32+0,I32+0))</f>
        <v/>
      </c>
      <c r="P32" s="0" t="str">
        <f aca="true">IF(A32="","",IF(OR(J32="Approved",J32="Approved as Noted"),"",TODAY()-O32))</f>
        <v/>
      </c>
    </row>
    <row r="33" customFormat="false" ht="15" hidden="false" customHeight="false" outlineLevel="0" collapsed="false">
      <c r="K33" s="0" t="str">
        <f aca="true">IF(A33="","",IF(I33&lt;&gt;"",I33-G33,IF(G33&lt;&gt;"",TODAY()-G33,"")))</f>
        <v/>
      </c>
      <c r="O33" s="13" t="str">
        <f aca="false">IF(A33="","",MAX(F33+0,G33+0,H33+0,I33+0))</f>
        <v/>
      </c>
      <c r="P33" s="0" t="str">
        <f aca="true">IF(A33="","",IF(OR(J33="Approved",J33="Approved as Noted"),"",TODAY()-O33))</f>
        <v/>
      </c>
    </row>
    <row r="34" customFormat="false" ht="15" hidden="false" customHeight="false" outlineLevel="0" collapsed="false">
      <c r="K34" s="0" t="str">
        <f aca="true">IF(A34="","",IF(I34&lt;&gt;"",I34-G34,IF(G34&lt;&gt;"",TODAY()-G34,"")))</f>
        <v/>
      </c>
      <c r="O34" s="13" t="str">
        <f aca="false">IF(A34="","",MAX(F34+0,G34+0,H34+0,I34+0))</f>
        <v/>
      </c>
      <c r="P34" s="0" t="str">
        <f aca="true">IF(A34="","",IF(OR(J34="Approved",J34="Approved as Noted"),"",TODAY()-O34))</f>
        <v/>
      </c>
    </row>
    <row r="35" customFormat="false" ht="15" hidden="false" customHeight="false" outlineLevel="0" collapsed="false">
      <c r="K35" s="0" t="str">
        <f aca="true">IF(A35="","",IF(I35&lt;&gt;"",I35-G35,IF(G35&lt;&gt;"",TODAY()-G35,"")))</f>
        <v/>
      </c>
      <c r="O35" s="13" t="str">
        <f aca="false">IF(A35="","",MAX(F35+0,G35+0,H35+0,I35+0))</f>
        <v/>
      </c>
      <c r="P35" s="0" t="str">
        <f aca="true">IF(A35="","",IF(OR(J35="Approved",J35="Approved as Noted"),"",TODAY()-O35))</f>
        <v/>
      </c>
    </row>
    <row r="36" customFormat="false" ht="15" hidden="false" customHeight="false" outlineLevel="0" collapsed="false">
      <c r="K36" s="0" t="str">
        <f aca="true">IF(A36="","",IF(I36&lt;&gt;"",I36-G36,IF(G36&lt;&gt;"",TODAY()-G36,"")))</f>
        <v/>
      </c>
      <c r="O36" s="13" t="str">
        <f aca="false">IF(A36="","",MAX(F36+0,G36+0,H36+0,I36+0))</f>
        <v/>
      </c>
      <c r="P36" s="0" t="str">
        <f aca="true">IF(A36="","",IF(OR(J36="Approved",J36="Approved as Noted"),"",TODAY()-O36))</f>
        <v/>
      </c>
    </row>
    <row r="37" customFormat="false" ht="15" hidden="false" customHeight="false" outlineLevel="0" collapsed="false">
      <c r="K37" s="0" t="str">
        <f aca="true">IF(A37="","",IF(I37&lt;&gt;"",I37-G37,IF(G37&lt;&gt;"",TODAY()-G37,"")))</f>
        <v/>
      </c>
      <c r="O37" s="13" t="str">
        <f aca="false">IF(A37="","",MAX(F37+0,G37+0,H37+0,I37+0))</f>
        <v/>
      </c>
      <c r="P37" s="0" t="str">
        <f aca="true">IF(A37="","",IF(OR(J37="Approved",J37="Approved as Noted"),"",TODAY()-O37))</f>
        <v/>
      </c>
    </row>
    <row r="38" customFormat="false" ht="15" hidden="false" customHeight="false" outlineLevel="0" collapsed="false">
      <c r="K38" s="0" t="str">
        <f aca="true">IF(A38="","",IF(I38&lt;&gt;"",I38-G38,IF(G38&lt;&gt;"",TODAY()-G38,"")))</f>
        <v/>
      </c>
      <c r="O38" s="13" t="str">
        <f aca="false">IF(A38="","",MAX(F38+0,G38+0,H38+0,I38+0))</f>
        <v/>
      </c>
      <c r="P38" s="0" t="str">
        <f aca="true">IF(A38="","",IF(OR(J38="Approved",J38="Approved as Noted"),"",TODAY()-O38))</f>
        <v/>
      </c>
    </row>
    <row r="39" customFormat="false" ht="15" hidden="false" customHeight="false" outlineLevel="0" collapsed="false">
      <c r="K39" s="0" t="str">
        <f aca="true">IF(A39="","",IF(I39&lt;&gt;"",I39-G39,IF(G39&lt;&gt;"",TODAY()-G39,"")))</f>
        <v/>
      </c>
      <c r="O39" s="13" t="str">
        <f aca="false">IF(A39="","",MAX(F39+0,G39+0,H39+0,I39+0))</f>
        <v/>
      </c>
      <c r="P39" s="0" t="str">
        <f aca="true">IF(A39="","",IF(OR(J39="Approved",J39="Approved as Noted"),"",TODAY()-O39))</f>
        <v/>
      </c>
    </row>
    <row r="40" customFormat="false" ht="15" hidden="false" customHeight="false" outlineLevel="0" collapsed="false">
      <c r="K40" s="0" t="str">
        <f aca="true">IF(A40="","",IF(I40&lt;&gt;"",I40-G40,IF(G40&lt;&gt;"",TODAY()-G40,"")))</f>
        <v/>
      </c>
      <c r="O40" s="13" t="str">
        <f aca="false">IF(A40="","",MAX(F40+0,G40+0,H40+0,I40+0))</f>
        <v/>
      </c>
      <c r="P40" s="0" t="str">
        <f aca="true">IF(A40="","",IF(OR(J40="Approved",J40="Approved as Noted"),"",TODAY()-O40))</f>
        <v/>
      </c>
    </row>
    <row r="41" customFormat="false" ht="15" hidden="false" customHeight="false" outlineLevel="0" collapsed="false">
      <c r="K41" s="0" t="str">
        <f aca="true">IF(A41="","",IF(I41&lt;&gt;"",I41-G41,IF(G41&lt;&gt;"",TODAY()-G41,"")))</f>
        <v/>
      </c>
      <c r="O41" s="13" t="str">
        <f aca="false">IF(A41="","",MAX(F41+0,G41+0,H41+0,I41+0))</f>
        <v/>
      </c>
      <c r="P41" s="0" t="str">
        <f aca="true">IF(A41="","",IF(OR(J41="Approved",J41="Approved as Noted"),"",TODAY()-O41))</f>
        <v/>
      </c>
    </row>
    <row r="42" customFormat="false" ht="15" hidden="false" customHeight="false" outlineLevel="0" collapsed="false">
      <c r="K42" s="0" t="str">
        <f aca="true">IF(A42="","",IF(I42&lt;&gt;"",I42-G42,IF(G42&lt;&gt;"",TODAY()-G42,"")))</f>
        <v/>
      </c>
      <c r="O42" s="13" t="str">
        <f aca="false">IF(A42="","",MAX(F42+0,G42+0,H42+0,I42+0))</f>
        <v/>
      </c>
      <c r="P42" s="0" t="str">
        <f aca="true">IF(A42="","",IF(OR(J42="Approved",J42="Approved as Noted"),"",TODAY()-O42))</f>
        <v/>
      </c>
    </row>
    <row r="43" customFormat="false" ht="15" hidden="false" customHeight="false" outlineLevel="0" collapsed="false">
      <c r="K43" s="0" t="str">
        <f aca="true">IF(A43="","",IF(I43&lt;&gt;"",I43-G43,IF(G43&lt;&gt;"",TODAY()-G43,"")))</f>
        <v/>
      </c>
      <c r="O43" s="13" t="str">
        <f aca="false">IF(A43="","",MAX(F43+0,G43+0,H43+0,I43+0))</f>
        <v/>
      </c>
      <c r="P43" s="0" t="str">
        <f aca="true">IF(A43="","",IF(OR(J43="Approved",J43="Approved as Noted"),"",TODAY()-O43))</f>
        <v/>
      </c>
    </row>
    <row r="44" customFormat="false" ht="15" hidden="false" customHeight="false" outlineLevel="0" collapsed="false">
      <c r="K44" s="0" t="str">
        <f aca="true">IF(A44="","",IF(I44&lt;&gt;"",I44-G44,IF(G44&lt;&gt;"",TODAY()-G44,"")))</f>
        <v/>
      </c>
      <c r="O44" s="13" t="str">
        <f aca="false">IF(A44="","",MAX(F44+0,G44+0,H44+0,I44+0))</f>
        <v/>
      </c>
      <c r="P44" s="0" t="str">
        <f aca="true">IF(A44="","",IF(OR(J44="Approved",J44="Approved as Noted"),"",TODAY()-O44))</f>
        <v/>
      </c>
    </row>
    <row r="45" customFormat="false" ht="15" hidden="false" customHeight="false" outlineLevel="0" collapsed="false">
      <c r="K45" s="0" t="str">
        <f aca="true">IF(A45="","",IF(I45&lt;&gt;"",I45-G45,IF(G45&lt;&gt;"",TODAY()-G45,"")))</f>
        <v/>
      </c>
      <c r="O45" s="13" t="str">
        <f aca="false">IF(A45="","",MAX(F45+0,G45+0,H45+0,I45+0))</f>
        <v/>
      </c>
      <c r="P45" s="0" t="str">
        <f aca="true">IF(A45="","",IF(OR(J45="Approved",J45="Approved as Noted"),"",TODAY()-O45))</f>
        <v/>
      </c>
    </row>
    <row r="46" customFormat="false" ht="15" hidden="false" customHeight="false" outlineLevel="0" collapsed="false">
      <c r="K46" s="0" t="str">
        <f aca="true">IF(A46="","",IF(I46&lt;&gt;"",I46-G46,IF(G46&lt;&gt;"",TODAY()-G46,"")))</f>
        <v/>
      </c>
      <c r="O46" s="13" t="str">
        <f aca="false">IF(A46="","",MAX(F46+0,G46+0,H46+0,I46+0))</f>
        <v/>
      </c>
      <c r="P46" s="0" t="str">
        <f aca="true">IF(A46="","",IF(OR(J46="Approved",J46="Approved as Noted"),"",TODAY()-O46))</f>
        <v/>
      </c>
    </row>
    <row r="47" customFormat="false" ht="15" hidden="false" customHeight="false" outlineLevel="0" collapsed="false">
      <c r="K47" s="0" t="str">
        <f aca="true">IF(A47="","",IF(I47&lt;&gt;"",I47-G47,IF(G47&lt;&gt;"",TODAY()-G47,"")))</f>
        <v/>
      </c>
      <c r="O47" s="13" t="str">
        <f aca="false">IF(A47="","",MAX(F47+0,G47+0,H47+0,I47+0))</f>
        <v/>
      </c>
      <c r="P47" s="0" t="str">
        <f aca="true">IF(A47="","",IF(OR(J47="Approved",J47="Approved as Noted"),"",TODAY()-O47))</f>
        <v/>
      </c>
    </row>
    <row r="48" customFormat="false" ht="15" hidden="false" customHeight="false" outlineLevel="0" collapsed="false">
      <c r="K48" s="0" t="str">
        <f aca="true">IF(A48="","",IF(I48&lt;&gt;"",I48-G48,IF(G48&lt;&gt;"",TODAY()-G48,"")))</f>
        <v/>
      </c>
      <c r="O48" s="13" t="str">
        <f aca="false">IF(A48="","",MAX(F48+0,G48+0,H48+0,I48+0))</f>
        <v/>
      </c>
      <c r="P48" s="0" t="str">
        <f aca="true">IF(A48="","",IF(OR(J48="Approved",J48="Approved as Noted"),"",TODAY()-O48))</f>
        <v/>
      </c>
    </row>
    <row r="49" customFormat="false" ht="15" hidden="false" customHeight="false" outlineLevel="0" collapsed="false">
      <c r="K49" s="0" t="str">
        <f aca="true">IF(A49="","",IF(I49&lt;&gt;"",I49-G49,IF(G49&lt;&gt;"",TODAY()-G49,"")))</f>
        <v/>
      </c>
      <c r="O49" s="13" t="str">
        <f aca="false">IF(A49="","",MAX(F49+0,G49+0,H49+0,I49+0))</f>
        <v/>
      </c>
      <c r="P49" s="0" t="str">
        <f aca="true">IF(A49="","",IF(OR(J49="Approved",J49="Approved as Noted"),"",TODAY()-O49))</f>
        <v/>
      </c>
    </row>
    <row r="50" customFormat="false" ht="15" hidden="false" customHeight="false" outlineLevel="0" collapsed="false">
      <c r="K50" s="0" t="str">
        <f aca="true">IF(A50="","",IF(I50&lt;&gt;"",I50-G50,IF(G50&lt;&gt;"",TODAY()-G50,"")))</f>
        <v/>
      </c>
      <c r="O50" s="13" t="str">
        <f aca="false">IF(A50="","",MAX(F50+0,G50+0,H50+0,I50+0))</f>
        <v/>
      </c>
      <c r="P50" s="0" t="str">
        <f aca="true">IF(A50="","",IF(OR(J50="Approved",J50="Approved as Noted"),"",TODAY()-O50))</f>
        <v/>
      </c>
    </row>
    <row r="51" customFormat="false" ht="15" hidden="false" customHeight="false" outlineLevel="0" collapsed="false">
      <c r="K51" s="0" t="str">
        <f aca="true">IF(A51="","",IF(I51&lt;&gt;"",I51-G51,IF(G51&lt;&gt;"",TODAY()-G51,"")))</f>
        <v/>
      </c>
      <c r="O51" s="13" t="str">
        <f aca="false">IF(A51="","",MAX(F51+0,G51+0,H51+0,I51+0))</f>
        <v/>
      </c>
      <c r="P51" s="0" t="str">
        <f aca="true">IF(A51="","",IF(OR(J51="Approved",J51="Approved as Noted"),"",TODAY()-O51))</f>
        <v/>
      </c>
    </row>
    <row r="52" customFormat="false" ht="15" hidden="false" customHeight="false" outlineLevel="0" collapsed="false">
      <c r="K52" s="0" t="str">
        <f aca="true">IF(A52="","",IF(I52&lt;&gt;"",I52-G52,IF(G52&lt;&gt;"",TODAY()-G52,"")))</f>
        <v/>
      </c>
      <c r="O52" s="13" t="str">
        <f aca="false">IF(A52="","",MAX(F52+0,G52+0,H52+0,I52+0))</f>
        <v/>
      </c>
      <c r="P52" s="0" t="str">
        <f aca="true">IF(A52="","",IF(OR(J52="Approved",J52="Approved as Noted"),"",TODAY()-O52))</f>
        <v/>
      </c>
    </row>
    <row r="53" customFormat="false" ht="15" hidden="false" customHeight="false" outlineLevel="0" collapsed="false">
      <c r="K53" s="0" t="str">
        <f aca="true">IF(A53="","",IF(I53&lt;&gt;"",I53-G53,IF(G53&lt;&gt;"",TODAY()-G53,"")))</f>
        <v/>
      </c>
      <c r="O53" s="13" t="str">
        <f aca="false">IF(A53="","",MAX(F53+0,G53+0,H53+0,I53+0))</f>
        <v/>
      </c>
      <c r="P53" s="0" t="str">
        <f aca="true">IF(A53="","",IF(OR(J53="Approved",J53="Approved as Noted"),"",TODAY()-O53))</f>
        <v/>
      </c>
    </row>
    <row r="54" customFormat="false" ht="15" hidden="false" customHeight="false" outlineLevel="0" collapsed="false">
      <c r="K54" s="0" t="str">
        <f aca="true">IF(A54="","",IF(I54&lt;&gt;"",I54-G54,IF(G54&lt;&gt;"",TODAY()-G54,"")))</f>
        <v/>
      </c>
      <c r="O54" s="13" t="str">
        <f aca="false">IF(A54="","",MAX(F54+0,G54+0,H54+0,I54+0))</f>
        <v/>
      </c>
      <c r="P54" s="0" t="str">
        <f aca="true">IF(A54="","",IF(OR(J54="Approved",J54="Approved as Noted"),"",TODAY()-O54))</f>
        <v/>
      </c>
    </row>
    <row r="55" customFormat="false" ht="15" hidden="false" customHeight="false" outlineLevel="0" collapsed="false">
      <c r="K55" s="0" t="str">
        <f aca="true">IF(A55="","",IF(I55&lt;&gt;"",I55-G55,IF(G55&lt;&gt;"",TODAY()-G55,"")))</f>
        <v/>
      </c>
      <c r="O55" s="13" t="str">
        <f aca="false">IF(A55="","",MAX(F55+0,G55+0,H55+0,I55+0))</f>
        <v/>
      </c>
      <c r="P55" s="0" t="str">
        <f aca="true">IF(A55="","",IF(OR(J55="Approved",J55="Approved as Noted"),"",TODAY()-O55))</f>
        <v/>
      </c>
    </row>
    <row r="56" customFormat="false" ht="15" hidden="false" customHeight="false" outlineLevel="0" collapsed="false">
      <c r="K56" s="0" t="str">
        <f aca="true">IF(A56="","",IF(I56&lt;&gt;"",I56-G56,IF(G56&lt;&gt;"",TODAY()-G56,"")))</f>
        <v/>
      </c>
      <c r="O56" s="13" t="str">
        <f aca="false">IF(A56="","",MAX(F56+0,G56+0,H56+0,I56+0))</f>
        <v/>
      </c>
      <c r="P56" s="0" t="str">
        <f aca="true">IF(A56="","",IF(OR(J56="Approved",J56="Approved as Noted"),"",TODAY()-O56))</f>
        <v/>
      </c>
    </row>
    <row r="57" customFormat="false" ht="15" hidden="false" customHeight="false" outlineLevel="0" collapsed="false">
      <c r="K57" s="0" t="str">
        <f aca="true">IF(A57="","",IF(I57&lt;&gt;"",I57-G57,IF(G57&lt;&gt;"",TODAY()-G57,"")))</f>
        <v/>
      </c>
      <c r="O57" s="13" t="str">
        <f aca="false">IF(A57="","",MAX(F57+0,G57+0,H57+0,I57+0))</f>
        <v/>
      </c>
      <c r="P57" s="0" t="str">
        <f aca="true">IF(A57="","",IF(OR(J57="Approved",J57="Approved as Noted"),"",TODAY()-O57))</f>
        <v/>
      </c>
    </row>
    <row r="58" customFormat="false" ht="15" hidden="false" customHeight="false" outlineLevel="0" collapsed="false">
      <c r="K58" s="0" t="str">
        <f aca="true">IF(A58="","",IF(I58&lt;&gt;"",I58-G58,IF(G58&lt;&gt;"",TODAY()-G58,"")))</f>
        <v/>
      </c>
      <c r="O58" s="13" t="str">
        <f aca="false">IF(A58="","",MAX(F58+0,G58+0,H58+0,I58+0))</f>
        <v/>
      </c>
      <c r="P58" s="0" t="str">
        <f aca="true">IF(A58="","",IF(OR(J58="Approved",J58="Approved as Noted"),"",TODAY()-O58))</f>
        <v/>
      </c>
    </row>
    <row r="59" customFormat="false" ht="15" hidden="false" customHeight="false" outlineLevel="0" collapsed="false">
      <c r="K59" s="0" t="str">
        <f aca="true">IF(A59="","",IF(I59&lt;&gt;"",I59-G59,IF(G59&lt;&gt;"",TODAY()-G59,"")))</f>
        <v/>
      </c>
      <c r="O59" s="13" t="str">
        <f aca="false">IF(A59="","",MAX(F59+0,G59+0,H59+0,I59+0))</f>
        <v/>
      </c>
      <c r="P59" s="0" t="str">
        <f aca="true">IF(A59="","",IF(OR(J59="Approved",J59="Approved as Noted"),"",TODAY()-O59))</f>
        <v/>
      </c>
    </row>
    <row r="60" customFormat="false" ht="15" hidden="false" customHeight="false" outlineLevel="0" collapsed="false">
      <c r="K60" s="0" t="str">
        <f aca="true">IF(A60="","",IF(I60&lt;&gt;"",I60-G60,IF(G60&lt;&gt;"",TODAY()-G60,"")))</f>
        <v/>
      </c>
      <c r="O60" s="13" t="str">
        <f aca="false">IF(A60="","",MAX(F60+0,G60+0,H60+0,I60+0))</f>
        <v/>
      </c>
      <c r="P60" s="0" t="str">
        <f aca="true">IF(A60="","",IF(OR(J60="Approved",J60="Approved as Noted"),"",TODAY()-O60))</f>
        <v/>
      </c>
    </row>
    <row r="61" customFormat="false" ht="15" hidden="false" customHeight="false" outlineLevel="0" collapsed="false">
      <c r="K61" s="0" t="str">
        <f aca="true">IF(A61="","",IF(I61&lt;&gt;"",I61-G61,IF(G61&lt;&gt;"",TODAY()-G61,"")))</f>
        <v/>
      </c>
      <c r="O61" s="13" t="str">
        <f aca="false">IF(A61="","",MAX(F61+0,G61+0,H61+0,I61+0))</f>
        <v/>
      </c>
      <c r="P61" s="0" t="str">
        <f aca="true">IF(A61="","",IF(OR(J61="Approved",J61="Approved as Noted"),"",TODAY()-O61))</f>
        <v/>
      </c>
    </row>
    <row r="62" customFormat="false" ht="15" hidden="false" customHeight="false" outlineLevel="0" collapsed="false">
      <c r="K62" s="0" t="str">
        <f aca="true">IF(A62="","",IF(I62&lt;&gt;"",I62-G62,IF(G62&lt;&gt;"",TODAY()-G62,"")))</f>
        <v/>
      </c>
      <c r="O62" s="13" t="str">
        <f aca="false">IF(A62="","",MAX(F62+0,G62+0,H62+0,I62+0))</f>
        <v/>
      </c>
      <c r="P62" s="0" t="str">
        <f aca="true">IF(A62="","",IF(OR(J62="Approved",J62="Approved as Noted"),"",TODAY()-O62))</f>
        <v/>
      </c>
    </row>
    <row r="63" customFormat="false" ht="15" hidden="false" customHeight="false" outlineLevel="0" collapsed="false">
      <c r="K63" s="0" t="str">
        <f aca="true">IF(A63="","",IF(I63&lt;&gt;"",I63-G63,IF(G63&lt;&gt;"",TODAY()-G63,"")))</f>
        <v/>
      </c>
      <c r="O63" s="13" t="str">
        <f aca="false">IF(A63="","",MAX(F63+0,G63+0,H63+0,I63+0))</f>
        <v/>
      </c>
      <c r="P63" s="0" t="str">
        <f aca="true">IF(A63="","",IF(OR(J63="Approved",J63="Approved as Noted"),"",TODAY()-O63))</f>
        <v/>
      </c>
    </row>
    <row r="64" customFormat="false" ht="15" hidden="false" customHeight="false" outlineLevel="0" collapsed="false">
      <c r="K64" s="0" t="str">
        <f aca="true">IF(A64="","",IF(I64&lt;&gt;"",I64-G64,IF(G64&lt;&gt;"",TODAY()-G64,"")))</f>
        <v/>
      </c>
      <c r="O64" s="13" t="str">
        <f aca="false">IF(A64="","",MAX(F64+0,G64+0,H64+0,I64+0))</f>
        <v/>
      </c>
      <c r="P64" s="0" t="str">
        <f aca="true">IF(A64="","",IF(OR(J64="Approved",J64="Approved as Noted"),"",TODAY()-O64))</f>
        <v/>
      </c>
    </row>
    <row r="65" customFormat="false" ht="15" hidden="false" customHeight="false" outlineLevel="0" collapsed="false">
      <c r="K65" s="0" t="str">
        <f aca="true">IF(A65="","",IF(I65&lt;&gt;"",I65-G65,IF(G65&lt;&gt;"",TODAY()-G65,"")))</f>
        <v/>
      </c>
      <c r="O65" s="13" t="str">
        <f aca="false">IF(A65="","",MAX(F65+0,G65+0,H65+0,I65+0))</f>
        <v/>
      </c>
      <c r="P65" s="0" t="str">
        <f aca="true">IF(A65="","",IF(OR(J65="Approved",J65="Approved as Noted"),"",TODAY()-O65))</f>
        <v/>
      </c>
    </row>
    <row r="66" customFormat="false" ht="15" hidden="false" customHeight="false" outlineLevel="0" collapsed="false">
      <c r="K66" s="0" t="str">
        <f aca="true">IF(A66="","",IF(I66&lt;&gt;"",I66-G66,IF(G66&lt;&gt;"",TODAY()-G66,"")))</f>
        <v/>
      </c>
      <c r="O66" s="13" t="str">
        <f aca="false">IF(A66="","",MAX(F66+0,G66+0,H66+0,I66+0))</f>
        <v/>
      </c>
      <c r="P66" s="0" t="str">
        <f aca="true">IF(A66="","",IF(OR(J66="Approved",J66="Approved as Noted"),"",TODAY()-O66))</f>
        <v/>
      </c>
    </row>
    <row r="67" customFormat="false" ht="15" hidden="false" customHeight="false" outlineLevel="0" collapsed="false">
      <c r="K67" s="0" t="str">
        <f aca="true">IF(A67="","",IF(I67&lt;&gt;"",I67-G67,IF(G67&lt;&gt;"",TODAY()-G67,"")))</f>
        <v/>
      </c>
      <c r="O67" s="13" t="str">
        <f aca="false">IF(A67="","",MAX(F67+0,G67+0,H67+0,I67+0))</f>
        <v/>
      </c>
      <c r="P67" s="0" t="str">
        <f aca="true">IF(A67="","",IF(OR(J67="Approved",J67="Approved as Noted"),"",TODAY()-O67))</f>
        <v/>
      </c>
    </row>
    <row r="68" customFormat="false" ht="15" hidden="false" customHeight="false" outlineLevel="0" collapsed="false">
      <c r="K68" s="0" t="str">
        <f aca="true">IF(A68="","",IF(I68&lt;&gt;"",I68-G68,IF(G68&lt;&gt;"",TODAY()-G68,"")))</f>
        <v/>
      </c>
      <c r="O68" s="13" t="str">
        <f aca="false">IF(A68="","",MAX(F68+0,G68+0,H68+0,I68+0))</f>
        <v/>
      </c>
      <c r="P68" s="0" t="str">
        <f aca="true">IF(A68="","",IF(OR(J68="Approved",J68="Approved as Noted"),"",TODAY()-O68))</f>
        <v/>
      </c>
    </row>
    <row r="69" customFormat="false" ht="15" hidden="false" customHeight="false" outlineLevel="0" collapsed="false">
      <c r="K69" s="0" t="str">
        <f aca="true">IF(A69="","",IF(I69&lt;&gt;"",I69-G69,IF(G69&lt;&gt;"",TODAY()-G69,"")))</f>
        <v/>
      </c>
      <c r="O69" s="13" t="str">
        <f aca="false">IF(A69="","",MAX(F69+0,G69+0,H69+0,I69+0))</f>
        <v/>
      </c>
      <c r="P69" s="0" t="str">
        <f aca="true">IF(A69="","",IF(OR(J69="Approved",J69="Approved as Noted"),"",TODAY()-O69))</f>
        <v/>
      </c>
    </row>
    <row r="70" customFormat="false" ht="15" hidden="false" customHeight="false" outlineLevel="0" collapsed="false">
      <c r="K70" s="0" t="str">
        <f aca="true">IF(A70="","",IF(I70&lt;&gt;"",I70-G70,IF(G70&lt;&gt;"",TODAY()-G70,"")))</f>
        <v/>
      </c>
      <c r="O70" s="13" t="str">
        <f aca="false">IF(A70="","",MAX(F70+0,G70+0,H70+0,I70+0))</f>
        <v/>
      </c>
      <c r="P70" s="0" t="str">
        <f aca="true">IF(A70="","",IF(OR(J70="Approved",J70="Approved as Noted"),"",TODAY()-O70))</f>
        <v/>
      </c>
    </row>
    <row r="71" customFormat="false" ht="15" hidden="false" customHeight="false" outlineLevel="0" collapsed="false">
      <c r="K71" s="0" t="str">
        <f aca="true">IF(A71="","",IF(I71&lt;&gt;"",I71-G71,IF(G71&lt;&gt;"",TODAY()-G71,"")))</f>
        <v/>
      </c>
      <c r="O71" s="13" t="str">
        <f aca="false">IF(A71="","",MAX(F71+0,G71+0,H71+0,I71+0))</f>
        <v/>
      </c>
      <c r="P71" s="0" t="str">
        <f aca="true">IF(A71="","",IF(OR(J71="Approved",J71="Approved as Noted"),"",TODAY()-O71))</f>
        <v/>
      </c>
    </row>
    <row r="72" customFormat="false" ht="15" hidden="false" customHeight="false" outlineLevel="0" collapsed="false">
      <c r="K72" s="0" t="str">
        <f aca="true">IF(A72="","",IF(I72&lt;&gt;"",I72-G72,IF(G72&lt;&gt;"",TODAY()-G72,"")))</f>
        <v/>
      </c>
      <c r="O72" s="13" t="str">
        <f aca="false">IF(A72="","",MAX(F72+0,G72+0,H72+0,I72+0))</f>
        <v/>
      </c>
      <c r="P72" s="0" t="str">
        <f aca="true">IF(A72="","",IF(OR(J72="Approved",J72="Approved as Noted"),"",TODAY()-O72))</f>
        <v/>
      </c>
    </row>
    <row r="73" customFormat="false" ht="15" hidden="false" customHeight="false" outlineLevel="0" collapsed="false">
      <c r="K73" s="0" t="str">
        <f aca="true">IF(A73="","",IF(I73&lt;&gt;"",I73-G73,IF(G73&lt;&gt;"",TODAY()-G73,"")))</f>
        <v/>
      </c>
      <c r="O73" s="13" t="str">
        <f aca="false">IF(A73="","",MAX(F73+0,G73+0,H73+0,I73+0))</f>
        <v/>
      </c>
      <c r="P73" s="0" t="str">
        <f aca="true">IF(A73="","",IF(OR(J73="Approved",J73="Approved as Noted"),"",TODAY()-O73))</f>
        <v/>
      </c>
    </row>
    <row r="74" customFormat="false" ht="15" hidden="false" customHeight="false" outlineLevel="0" collapsed="false">
      <c r="K74" s="0" t="str">
        <f aca="true">IF(A74="","",IF(I74&lt;&gt;"",I74-G74,IF(G74&lt;&gt;"",TODAY()-G74,"")))</f>
        <v/>
      </c>
      <c r="O74" s="13" t="str">
        <f aca="false">IF(A74="","",MAX(F74+0,G74+0,H74+0,I74+0))</f>
        <v/>
      </c>
      <c r="P74" s="0" t="str">
        <f aca="true">IF(A74="","",IF(OR(J74="Approved",J74="Approved as Noted"),"",TODAY()-O74))</f>
        <v/>
      </c>
    </row>
    <row r="75" customFormat="false" ht="15" hidden="false" customHeight="false" outlineLevel="0" collapsed="false">
      <c r="K75" s="0" t="str">
        <f aca="true">IF(A75="","",IF(I75&lt;&gt;"",I75-G75,IF(G75&lt;&gt;"",TODAY()-G75,"")))</f>
        <v/>
      </c>
      <c r="O75" s="13" t="str">
        <f aca="false">IF(A75="","",MAX(F75+0,G75+0,H75+0,I75+0))</f>
        <v/>
      </c>
      <c r="P75" s="0" t="str">
        <f aca="true">IF(A75="","",IF(OR(J75="Approved",J75="Approved as Noted"),"",TODAY()-O75))</f>
        <v/>
      </c>
    </row>
    <row r="76" customFormat="false" ht="15" hidden="false" customHeight="false" outlineLevel="0" collapsed="false">
      <c r="K76" s="0" t="str">
        <f aca="true">IF(A76="","",IF(I76&lt;&gt;"",I76-G76,IF(G76&lt;&gt;"",TODAY()-G76,"")))</f>
        <v/>
      </c>
      <c r="O76" s="13" t="str">
        <f aca="false">IF(A76="","",MAX(F76+0,G76+0,H76+0,I76+0))</f>
        <v/>
      </c>
      <c r="P76" s="0" t="str">
        <f aca="true">IF(A76="","",IF(OR(J76="Approved",J76="Approved as Noted"),"",TODAY()-O76))</f>
        <v/>
      </c>
    </row>
    <row r="77" customFormat="false" ht="15" hidden="false" customHeight="false" outlineLevel="0" collapsed="false">
      <c r="K77" s="0" t="str">
        <f aca="true">IF(A77="","",IF(I77&lt;&gt;"",I77-G77,IF(G77&lt;&gt;"",TODAY()-G77,"")))</f>
        <v/>
      </c>
      <c r="O77" s="13" t="str">
        <f aca="false">IF(A77="","",MAX(F77+0,G77+0,H77+0,I77+0))</f>
        <v/>
      </c>
      <c r="P77" s="0" t="str">
        <f aca="true">IF(A77="","",IF(OR(J77="Approved",J77="Approved as Noted"),"",TODAY()-O77))</f>
        <v/>
      </c>
    </row>
    <row r="78" customFormat="false" ht="15" hidden="false" customHeight="false" outlineLevel="0" collapsed="false">
      <c r="K78" s="0" t="str">
        <f aca="true">IF(A78="","",IF(I78&lt;&gt;"",I78-G78,IF(G78&lt;&gt;"",TODAY()-G78,"")))</f>
        <v/>
      </c>
      <c r="O78" s="13" t="str">
        <f aca="false">IF(A78="","",MAX(F78+0,G78+0,H78+0,I78+0))</f>
        <v/>
      </c>
      <c r="P78" s="0" t="str">
        <f aca="true">IF(A78="","",IF(OR(J78="Approved",J78="Approved as Noted"),"",TODAY()-O78))</f>
        <v/>
      </c>
    </row>
    <row r="79" customFormat="false" ht="15" hidden="false" customHeight="false" outlineLevel="0" collapsed="false">
      <c r="K79" s="0" t="str">
        <f aca="true">IF(A79="","",IF(I79&lt;&gt;"",I79-G79,IF(G79&lt;&gt;"",TODAY()-G79,"")))</f>
        <v/>
      </c>
      <c r="O79" s="13" t="str">
        <f aca="false">IF(A79="","",MAX(F79+0,G79+0,H79+0,I79+0))</f>
        <v/>
      </c>
      <c r="P79" s="0" t="str">
        <f aca="true">IF(A79="","",IF(OR(J79="Approved",J79="Approved as Noted"),"",TODAY()-O79))</f>
        <v/>
      </c>
    </row>
    <row r="80" customFormat="false" ht="15" hidden="false" customHeight="false" outlineLevel="0" collapsed="false">
      <c r="K80" s="0" t="str">
        <f aca="true">IF(A80="","",IF(I80&lt;&gt;"",I80-G80,IF(G80&lt;&gt;"",TODAY()-G80,"")))</f>
        <v/>
      </c>
      <c r="O80" s="13" t="str">
        <f aca="false">IF(A80="","",MAX(F80+0,G80+0,H80+0,I80+0))</f>
        <v/>
      </c>
      <c r="P80" s="0" t="str">
        <f aca="true">IF(A80="","",IF(OR(J80="Approved",J80="Approved as Noted"),"",TODAY()-O80))</f>
        <v/>
      </c>
    </row>
    <row r="81" customFormat="false" ht="15" hidden="false" customHeight="false" outlineLevel="0" collapsed="false">
      <c r="K81" s="0" t="str">
        <f aca="true">IF(A81="","",IF(I81&lt;&gt;"",I81-G81,IF(G81&lt;&gt;"",TODAY()-G81,"")))</f>
        <v/>
      </c>
      <c r="O81" s="13" t="str">
        <f aca="false">IF(A81="","",MAX(F81+0,G81+0,H81+0,I81+0))</f>
        <v/>
      </c>
      <c r="P81" s="0" t="str">
        <f aca="true">IF(A81="","",IF(OR(J81="Approved",J81="Approved as Noted"),"",TODAY()-O81))</f>
        <v/>
      </c>
    </row>
    <row r="82" customFormat="false" ht="15" hidden="false" customHeight="false" outlineLevel="0" collapsed="false">
      <c r="K82" s="0" t="str">
        <f aca="true">IF(A82="","",IF(I82&lt;&gt;"",I82-G82,IF(G82&lt;&gt;"",TODAY()-G82,"")))</f>
        <v/>
      </c>
      <c r="O82" s="13" t="str">
        <f aca="false">IF(A82="","",MAX(F82+0,G82+0,H82+0,I82+0))</f>
        <v/>
      </c>
      <c r="P82" s="0" t="str">
        <f aca="true">IF(A82="","",IF(OR(J82="Approved",J82="Approved as Noted"),"",TODAY()-O82))</f>
        <v/>
      </c>
    </row>
    <row r="83" customFormat="false" ht="15" hidden="false" customHeight="false" outlineLevel="0" collapsed="false">
      <c r="K83" s="0" t="str">
        <f aca="true">IF(A83="","",IF(I83&lt;&gt;"",I83-G83,IF(G83&lt;&gt;"",TODAY()-G83,"")))</f>
        <v/>
      </c>
      <c r="O83" s="13" t="str">
        <f aca="false">IF(A83="","",MAX(F83+0,G83+0,H83+0,I83+0))</f>
        <v/>
      </c>
      <c r="P83" s="0" t="str">
        <f aca="true">IF(A83="","",IF(OR(J83="Approved",J83="Approved as Noted"),"",TODAY()-O83))</f>
        <v/>
      </c>
    </row>
    <row r="84" customFormat="false" ht="15" hidden="false" customHeight="false" outlineLevel="0" collapsed="false">
      <c r="K84" s="0" t="str">
        <f aca="true">IF(A84="","",IF(I84&lt;&gt;"",I84-G84,IF(G84&lt;&gt;"",TODAY()-G84,"")))</f>
        <v/>
      </c>
      <c r="O84" s="13" t="str">
        <f aca="false">IF(A84="","",MAX(F84+0,G84+0,H84+0,I84+0))</f>
        <v/>
      </c>
      <c r="P84" s="0" t="str">
        <f aca="true">IF(A84="","",IF(OR(J84="Approved",J84="Approved as Noted"),"",TODAY()-O84))</f>
        <v/>
      </c>
    </row>
    <row r="85" customFormat="false" ht="15" hidden="false" customHeight="false" outlineLevel="0" collapsed="false">
      <c r="K85" s="0" t="str">
        <f aca="true">IF(A85="","",IF(I85&lt;&gt;"",I85-G85,IF(G85&lt;&gt;"",TODAY()-G85,"")))</f>
        <v/>
      </c>
      <c r="O85" s="13" t="str">
        <f aca="false">IF(A85="","",MAX(F85+0,G85+0,H85+0,I85+0))</f>
        <v/>
      </c>
      <c r="P85" s="0" t="str">
        <f aca="true">IF(A85="","",IF(OR(J85="Approved",J85="Approved as Noted"),"",TODAY()-O85))</f>
        <v/>
      </c>
    </row>
    <row r="86" customFormat="false" ht="15" hidden="false" customHeight="false" outlineLevel="0" collapsed="false">
      <c r="K86" s="0" t="str">
        <f aca="true">IF(A86="","",IF(I86&lt;&gt;"",I86-G86,IF(G86&lt;&gt;"",TODAY()-G86,"")))</f>
        <v/>
      </c>
      <c r="O86" s="13" t="str">
        <f aca="false">IF(A86="","",MAX(F86+0,G86+0,H86+0,I86+0))</f>
        <v/>
      </c>
      <c r="P86" s="0" t="str">
        <f aca="true">IF(A86="","",IF(OR(J86="Approved",J86="Approved as Noted"),"",TODAY()-O86))</f>
        <v/>
      </c>
    </row>
    <row r="87" customFormat="false" ht="15" hidden="false" customHeight="false" outlineLevel="0" collapsed="false">
      <c r="K87" s="0" t="str">
        <f aca="true">IF(A87="","",IF(I87&lt;&gt;"",I87-G87,IF(G87&lt;&gt;"",TODAY()-G87,"")))</f>
        <v/>
      </c>
      <c r="O87" s="13" t="str">
        <f aca="false">IF(A87="","",MAX(F87+0,G87+0,H87+0,I87+0))</f>
        <v/>
      </c>
      <c r="P87" s="0" t="str">
        <f aca="true">IF(A87="","",IF(OR(J87="Approved",J87="Approved as Noted"),"",TODAY()-O87))</f>
        <v/>
      </c>
    </row>
    <row r="88" customFormat="false" ht="15" hidden="false" customHeight="false" outlineLevel="0" collapsed="false">
      <c r="K88" s="0" t="str">
        <f aca="true">IF(A88="","",IF(I88&lt;&gt;"",I88-G88,IF(G88&lt;&gt;"",TODAY()-G88,"")))</f>
        <v/>
      </c>
      <c r="O88" s="13" t="str">
        <f aca="false">IF(A88="","",MAX(F88+0,G88+0,H88+0,I88+0))</f>
        <v/>
      </c>
      <c r="P88" s="0" t="str">
        <f aca="true">IF(A88="","",IF(OR(J88="Approved",J88="Approved as Noted"),"",TODAY()-O88))</f>
        <v/>
      </c>
    </row>
    <row r="89" customFormat="false" ht="15" hidden="false" customHeight="false" outlineLevel="0" collapsed="false">
      <c r="K89" s="0" t="str">
        <f aca="true">IF(A89="","",IF(I89&lt;&gt;"",I89-G89,IF(G89&lt;&gt;"",TODAY()-G89,"")))</f>
        <v/>
      </c>
      <c r="O89" s="13" t="str">
        <f aca="false">IF(A89="","",MAX(F89+0,G89+0,H89+0,I89+0))</f>
        <v/>
      </c>
      <c r="P89" s="0" t="str">
        <f aca="true">IF(A89="","",IF(OR(J89="Approved",J89="Approved as Noted"),"",TODAY()-O89))</f>
        <v/>
      </c>
    </row>
    <row r="90" customFormat="false" ht="15" hidden="false" customHeight="false" outlineLevel="0" collapsed="false">
      <c r="K90" s="0" t="str">
        <f aca="true">IF(A90="","",IF(I90&lt;&gt;"",I90-G90,IF(G90&lt;&gt;"",TODAY()-G90,"")))</f>
        <v/>
      </c>
      <c r="O90" s="13" t="str">
        <f aca="false">IF(A90="","",MAX(F90+0,G90+0,H90+0,I90+0))</f>
        <v/>
      </c>
      <c r="P90" s="0" t="str">
        <f aca="true">IF(A90="","",IF(OR(J90="Approved",J90="Approved as Noted"),"",TODAY()-O90))</f>
        <v/>
      </c>
    </row>
    <row r="91" customFormat="false" ht="15" hidden="false" customHeight="false" outlineLevel="0" collapsed="false">
      <c r="K91" s="0" t="str">
        <f aca="true">IF(A91="","",IF(I91&lt;&gt;"",I91-G91,IF(G91&lt;&gt;"",TODAY()-G91,"")))</f>
        <v/>
      </c>
      <c r="O91" s="13" t="str">
        <f aca="false">IF(A91="","",MAX(F91+0,G91+0,H91+0,I91+0))</f>
        <v/>
      </c>
      <c r="P91" s="0" t="str">
        <f aca="true">IF(A91="","",IF(OR(J91="Approved",J91="Approved as Noted"),"",TODAY()-O91))</f>
        <v/>
      </c>
    </row>
    <row r="92" customFormat="false" ht="15" hidden="false" customHeight="false" outlineLevel="0" collapsed="false">
      <c r="K92" s="0" t="str">
        <f aca="true">IF(A92="","",IF(I92&lt;&gt;"",I92-G92,IF(G92&lt;&gt;"",TODAY()-G92,"")))</f>
        <v/>
      </c>
      <c r="O92" s="13" t="str">
        <f aca="false">IF(A92="","",MAX(F92+0,G92+0,H92+0,I92+0))</f>
        <v/>
      </c>
      <c r="P92" s="0" t="str">
        <f aca="true">IF(A92="","",IF(OR(J92="Approved",J92="Approved as Noted"),"",TODAY()-O92))</f>
        <v/>
      </c>
    </row>
    <row r="93" customFormat="false" ht="15" hidden="false" customHeight="false" outlineLevel="0" collapsed="false">
      <c r="K93" s="0" t="str">
        <f aca="true">IF(A93="","",IF(I93&lt;&gt;"",I93-G93,IF(G93&lt;&gt;"",TODAY()-G93,"")))</f>
        <v/>
      </c>
      <c r="O93" s="13" t="str">
        <f aca="false">IF(A93="","",MAX(F93+0,G93+0,H93+0,I93+0))</f>
        <v/>
      </c>
      <c r="P93" s="0" t="str">
        <f aca="true">IF(A93="","",IF(OR(J93="Approved",J93="Approved as Noted"),"",TODAY()-O93))</f>
        <v/>
      </c>
    </row>
    <row r="94" customFormat="false" ht="15" hidden="false" customHeight="false" outlineLevel="0" collapsed="false">
      <c r="K94" s="0" t="str">
        <f aca="true">IF(A94="","",IF(I94&lt;&gt;"",I94-G94,IF(G94&lt;&gt;"",TODAY()-G94,"")))</f>
        <v/>
      </c>
      <c r="O94" s="13" t="str">
        <f aca="false">IF(A94="","",MAX(F94+0,G94+0,H94+0,I94+0))</f>
        <v/>
      </c>
      <c r="P94" s="0" t="str">
        <f aca="true">IF(A94="","",IF(OR(J94="Approved",J94="Approved as Noted"),"",TODAY()-O94))</f>
        <v/>
      </c>
    </row>
    <row r="95" customFormat="false" ht="15" hidden="false" customHeight="false" outlineLevel="0" collapsed="false">
      <c r="K95" s="0" t="str">
        <f aca="true">IF(A95="","",IF(I95&lt;&gt;"",I95-G95,IF(G95&lt;&gt;"",TODAY()-G95,"")))</f>
        <v/>
      </c>
      <c r="O95" s="13" t="str">
        <f aca="false">IF(A95="","",MAX(F95+0,G95+0,H95+0,I95+0))</f>
        <v/>
      </c>
      <c r="P95" s="0" t="str">
        <f aca="true">IF(A95="","",IF(OR(J95="Approved",J95="Approved as Noted"),"",TODAY()-O95))</f>
        <v/>
      </c>
    </row>
    <row r="96" customFormat="false" ht="15" hidden="false" customHeight="false" outlineLevel="0" collapsed="false">
      <c r="K96" s="0" t="str">
        <f aca="true">IF(A96="","",IF(I96&lt;&gt;"",I96-G96,IF(G96&lt;&gt;"",TODAY()-G96,"")))</f>
        <v/>
      </c>
      <c r="O96" s="13" t="str">
        <f aca="false">IF(A96="","",MAX(F96+0,G96+0,H96+0,I96+0))</f>
        <v/>
      </c>
      <c r="P96" s="0" t="str">
        <f aca="true">IF(A96="","",IF(OR(J96="Approved",J96="Approved as Noted"),"",TODAY()-O96))</f>
        <v/>
      </c>
    </row>
    <row r="97" customFormat="false" ht="15" hidden="false" customHeight="false" outlineLevel="0" collapsed="false">
      <c r="K97" s="0" t="str">
        <f aca="true">IF(A97="","",IF(I97&lt;&gt;"",I97-G97,IF(G97&lt;&gt;"",TODAY()-G97,"")))</f>
        <v/>
      </c>
      <c r="O97" s="13" t="str">
        <f aca="false">IF(A97="","",MAX(F97+0,G97+0,H97+0,I97+0))</f>
        <v/>
      </c>
      <c r="P97" s="0" t="str">
        <f aca="true">IF(A97="","",IF(OR(J97="Approved",J97="Approved as Noted"),"",TODAY()-O97))</f>
        <v/>
      </c>
    </row>
    <row r="98" customFormat="false" ht="15" hidden="false" customHeight="false" outlineLevel="0" collapsed="false">
      <c r="K98" s="0" t="str">
        <f aca="true">IF(A98="","",IF(I98&lt;&gt;"",I98-G98,IF(G98&lt;&gt;"",TODAY()-G98,"")))</f>
        <v/>
      </c>
      <c r="O98" s="13" t="str">
        <f aca="false">IF(A98="","",MAX(F98+0,G98+0,H98+0,I98+0))</f>
        <v/>
      </c>
      <c r="P98" s="0" t="str">
        <f aca="true">IF(A98="","",IF(OR(J98="Approved",J98="Approved as Noted"),"",TODAY()-O98))</f>
        <v/>
      </c>
    </row>
    <row r="99" customFormat="false" ht="15" hidden="false" customHeight="false" outlineLevel="0" collapsed="false">
      <c r="K99" s="0" t="str">
        <f aca="true">IF(A99="","",IF(I99&lt;&gt;"",I99-G99,IF(G99&lt;&gt;"",TODAY()-G99,"")))</f>
        <v/>
      </c>
      <c r="O99" s="13" t="str">
        <f aca="false">IF(A99="","",MAX(F99+0,G99+0,H99+0,I99+0))</f>
        <v/>
      </c>
      <c r="P99" s="0" t="str">
        <f aca="true">IF(A99="","",IF(OR(J99="Approved",J99="Approved as Noted"),"",TODAY()-O99))</f>
        <v/>
      </c>
    </row>
    <row r="100" customFormat="false" ht="15" hidden="false" customHeight="false" outlineLevel="0" collapsed="false">
      <c r="K100" s="0" t="str">
        <f aca="true">IF(A100="","",IF(I100&lt;&gt;"",I100-G100,IF(G100&lt;&gt;"",TODAY()-G100,"")))</f>
        <v/>
      </c>
      <c r="O100" s="13" t="str">
        <f aca="false">IF(A100="","",MAX(F100+0,G100+0,H100+0,I100+0))</f>
        <v/>
      </c>
      <c r="P100" s="0" t="str">
        <f aca="true">IF(A100="","",IF(OR(J100="Approved",J100="Approved as Noted"),"",TODAY()-O100))</f>
        <v/>
      </c>
    </row>
    <row r="101" customFormat="false" ht="15" hidden="false" customHeight="false" outlineLevel="0" collapsed="false">
      <c r="K101" s="0" t="str">
        <f aca="true">IF(A101="","",IF(I101&lt;&gt;"",I101-G101,IF(G101&lt;&gt;"",TODAY()-G101,"")))</f>
        <v/>
      </c>
      <c r="O101" s="13" t="str">
        <f aca="false">IF(A101="","",MAX(F101+0,G101+0,H101+0,I101+0))</f>
        <v/>
      </c>
      <c r="P101" s="0" t="str">
        <f aca="true">IF(A101="","",IF(OR(J101="Approved",J101="Approved as Noted"),"",TODAY()-O101))</f>
        <v/>
      </c>
    </row>
    <row r="102" customFormat="false" ht="15" hidden="false" customHeight="false" outlineLevel="0" collapsed="false">
      <c r="K102" s="0" t="str">
        <f aca="true">IF(A102="","",IF(I102&lt;&gt;"",I102-G102,IF(G102&lt;&gt;"",TODAY()-G102,"")))</f>
        <v/>
      </c>
      <c r="O102" s="13" t="str">
        <f aca="false">IF(A102="","",MAX(F102+0,G102+0,H102+0,I102+0))</f>
        <v/>
      </c>
      <c r="P102" s="0" t="str">
        <f aca="true">IF(A102="","",IF(OR(J102="Approved",J102="Approved as Noted"),"",TODAY()-O102))</f>
        <v/>
      </c>
    </row>
    <row r="103" customFormat="false" ht="15" hidden="false" customHeight="false" outlineLevel="0" collapsed="false">
      <c r="K103" s="0" t="str">
        <f aca="true">IF(A103="","",IF(I103&lt;&gt;"",I103-G103,IF(G103&lt;&gt;"",TODAY()-G103,"")))</f>
        <v/>
      </c>
      <c r="O103" s="13" t="str">
        <f aca="false">IF(A103="","",MAX(F103+0,G103+0,H103+0,I103+0))</f>
        <v/>
      </c>
      <c r="P103" s="0" t="str">
        <f aca="true">IF(A103="","",IF(OR(J103="Approved",J103="Approved as Noted"),"",TODAY()-O103))</f>
        <v/>
      </c>
    </row>
    <row r="104" customFormat="false" ht="15" hidden="false" customHeight="false" outlineLevel="0" collapsed="false">
      <c r="K104" s="0" t="str">
        <f aca="true">IF(A104="","",IF(I104&lt;&gt;"",I104-G104,IF(G104&lt;&gt;"",TODAY()-G104,"")))</f>
        <v/>
      </c>
      <c r="O104" s="13" t="str">
        <f aca="false">IF(A104="","",MAX(F104+0,G104+0,H104+0,I104+0))</f>
        <v/>
      </c>
      <c r="P104" s="0" t="str">
        <f aca="true">IF(A104="","",IF(OR(J104="Approved",J104="Approved as Noted"),"",TODAY()-O104))</f>
        <v/>
      </c>
    </row>
    <row r="105" customFormat="false" ht="15" hidden="false" customHeight="false" outlineLevel="0" collapsed="false">
      <c r="K105" s="0" t="str">
        <f aca="true">IF(A105="","",IF(I105&lt;&gt;"",I105-G105,IF(G105&lt;&gt;"",TODAY()-G105,"")))</f>
        <v/>
      </c>
      <c r="O105" s="13" t="str">
        <f aca="false">IF(A105="","",MAX(F105+0,G105+0,H105+0,I105+0))</f>
        <v/>
      </c>
      <c r="P105" s="0" t="str">
        <f aca="true">IF(A105="","",IF(OR(J105="Approved",J105="Approved as Noted"),"",TODAY()-O105))</f>
        <v/>
      </c>
    </row>
    <row r="106" customFormat="false" ht="15" hidden="false" customHeight="false" outlineLevel="0" collapsed="false">
      <c r="K106" s="0" t="str">
        <f aca="true">IF(A106="","",IF(I106&lt;&gt;"",I106-G106,IF(G106&lt;&gt;"",TODAY()-G106,"")))</f>
        <v/>
      </c>
      <c r="O106" s="13" t="str">
        <f aca="false">IF(A106="","",MAX(F106+0,G106+0,H106+0,I106+0))</f>
        <v/>
      </c>
      <c r="P106" s="0" t="str">
        <f aca="true">IF(A106="","",IF(OR(J106="Approved",J106="Approved as Noted"),"",TODAY()-O106))</f>
        <v/>
      </c>
    </row>
    <row r="107" customFormat="false" ht="15" hidden="false" customHeight="false" outlineLevel="0" collapsed="false">
      <c r="K107" s="0" t="str">
        <f aca="true">IF(A107="","",IF(I107&lt;&gt;"",I107-G107,IF(G107&lt;&gt;"",TODAY()-G107,"")))</f>
        <v/>
      </c>
      <c r="O107" s="13" t="str">
        <f aca="false">IF(A107="","",MAX(F107+0,G107+0,H107+0,I107+0))</f>
        <v/>
      </c>
      <c r="P107" s="0" t="str">
        <f aca="true">IF(A107="","",IF(OR(J107="Approved",J107="Approved as Noted"),"",TODAY()-O107))</f>
        <v/>
      </c>
    </row>
    <row r="108" customFormat="false" ht="15" hidden="false" customHeight="false" outlineLevel="0" collapsed="false">
      <c r="K108" s="0" t="str">
        <f aca="true">IF(A108="","",IF(I108&lt;&gt;"",I108-G108,IF(G108&lt;&gt;"",TODAY()-G108,"")))</f>
        <v/>
      </c>
      <c r="O108" s="13" t="str">
        <f aca="false">IF(A108="","",MAX(F108+0,G108+0,H108+0,I108+0))</f>
        <v/>
      </c>
      <c r="P108" s="0" t="str">
        <f aca="true">IF(A108="","",IF(OR(J108="Approved",J108="Approved as Noted"),"",TODAY()-O108))</f>
        <v/>
      </c>
    </row>
    <row r="109" customFormat="false" ht="15" hidden="false" customHeight="false" outlineLevel="0" collapsed="false">
      <c r="K109" s="0" t="str">
        <f aca="true">IF(A109="","",IF(I109&lt;&gt;"",I109-G109,IF(G109&lt;&gt;"",TODAY()-G109,"")))</f>
        <v/>
      </c>
      <c r="O109" s="13" t="str">
        <f aca="false">IF(A109="","",MAX(F109+0,G109+0,H109+0,I109+0))</f>
        <v/>
      </c>
      <c r="P109" s="0" t="str">
        <f aca="true">IF(A109="","",IF(OR(J109="Approved",J109="Approved as Noted"),"",TODAY()-O109))</f>
        <v/>
      </c>
    </row>
    <row r="110" customFormat="false" ht="15" hidden="false" customHeight="false" outlineLevel="0" collapsed="false">
      <c r="K110" s="0" t="str">
        <f aca="true">IF(A110="","",IF(I110&lt;&gt;"",I110-G110,IF(G110&lt;&gt;"",TODAY()-G110,"")))</f>
        <v/>
      </c>
      <c r="O110" s="13" t="str">
        <f aca="false">IF(A110="","",MAX(F110+0,G110+0,H110+0,I110+0))</f>
        <v/>
      </c>
      <c r="P110" s="0" t="str">
        <f aca="true">IF(A110="","",IF(OR(J110="Approved",J110="Approved as Noted"),"",TODAY()-O110))</f>
        <v/>
      </c>
    </row>
    <row r="111" customFormat="false" ht="15" hidden="false" customHeight="false" outlineLevel="0" collapsed="false">
      <c r="K111" s="0" t="str">
        <f aca="true">IF(A111="","",IF(I111&lt;&gt;"",I111-G111,IF(G111&lt;&gt;"",TODAY()-G111,"")))</f>
        <v/>
      </c>
      <c r="O111" s="13" t="str">
        <f aca="false">IF(A111="","",MAX(F111+0,G111+0,H111+0,I111+0))</f>
        <v/>
      </c>
      <c r="P111" s="0" t="str">
        <f aca="true">IF(A111="","",IF(OR(J111="Approved",J111="Approved as Noted"),"",TODAY()-O111))</f>
        <v/>
      </c>
    </row>
    <row r="112" customFormat="false" ht="15" hidden="false" customHeight="false" outlineLevel="0" collapsed="false">
      <c r="K112" s="0" t="str">
        <f aca="true">IF(A112="","",IF(I112&lt;&gt;"",I112-G112,IF(G112&lt;&gt;"",TODAY()-G112,"")))</f>
        <v/>
      </c>
      <c r="O112" s="13" t="str">
        <f aca="false">IF(A112="","",MAX(F112+0,G112+0,H112+0,I112+0))</f>
        <v/>
      </c>
      <c r="P112" s="0" t="str">
        <f aca="true">IF(A112="","",IF(OR(J112="Approved",J112="Approved as Noted"),"",TODAY()-O112))</f>
        <v/>
      </c>
    </row>
    <row r="113" customFormat="false" ht="15" hidden="false" customHeight="false" outlineLevel="0" collapsed="false">
      <c r="K113" s="0" t="str">
        <f aca="true">IF(A113="","",IF(I113&lt;&gt;"",I113-G113,IF(G113&lt;&gt;"",TODAY()-G113,"")))</f>
        <v/>
      </c>
      <c r="O113" s="13" t="str">
        <f aca="false">IF(A113="","",MAX(F113+0,G113+0,H113+0,I113+0))</f>
        <v/>
      </c>
      <c r="P113" s="0" t="str">
        <f aca="true">IF(A113="","",IF(OR(J113="Approved",J113="Approved as Noted"),"",TODAY()-O113))</f>
        <v/>
      </c>
    </row>
    <row r="114" customFormat="false" ht="15" hidden="false" customHeight="false" outlineLevel="0" collapsed="false">
      <c r="K114" s="0" t="str">
        <f aca="true">IF(A114="","",IF(I114&lt;&gt;"",I114-G114,IF(G114&lt;&gt;"",TODAY()-G114,"")))</f>
        <v/>
      </c>
      <c r="O114" s="13" t="str">
        <f aca="false">IF(A114="","",MAX(F114+0,G114+0,H114+0,I114+0))</f>
        <v/>
      </c>
      <c r="P114" s="0" t="str">
        <f aca="true">IF(A114="","",IF(OR(J114="Approved",J114="Approved as Noted"),"",TODAY()-O114))</f>
        <v/>
      </c>
    </row>
    <row r="115" customFormat="false" ht="15" hidden="false" customHeight="false" outlineLevel="0" collapsed="false">
      <c r="K115" s="0" t="str">
        <f aca="true">IF(A115="","",IF(I115&lt;&gt;"",I115-G115,IF(G115&lt;&gt;"",TODAY()-G115,"")))</f>
        <v/>
      </c>
      <c r="O115" s="13" t="str">
        <f aca="false">IF(A115="","",MAX(F115+0,G115+0,H115+0,I115+0))</f>
        <v/>
      </c>
      <c r="P115" s="0" t="str">
        <f aca="true">IF(A115="","",IF(OR(J115="Approved",J115="Approved as Noted"),"",TODAY()-O115))</f>
        <v/>
      </c>
    </row>
    <row r="116" customFormat="false" ht="15" hidden="false" customHeight="false" outlineLevel="0" collapsed="false">
      <c r="K116" s="0" t="str">
        <f aca="true">IF(A116="","",IF(I116&lt;&gt;"",I116-G116,IF(G116&lt;&gt;"",TODAY()-G116,"")))</f>
        <v/>
      </c>
      <c r="O116" s="13" t="str">
        <f aca="false">IF(A116="","",MAX(F116+0,G116+0,H116+0,I116+0))</f>
        <v/>
      </c>
      <c r="P116" s="0" t="str">
        <f aca="true">IF(A116="","",IF(OR(J116="Approved",J116="Approved as Noted"),"",TODAY()-O116))</f>
        <v/>
      </c>
    </row>
    <row r="117" customFormat="false" ht="15" hidden="false" customHeight="false" outlineLevel="0" collapsed="false">
      <c r="K117" s="0" t="str">
        <f aca="true">IF(A117="","",IF(I117&lt;&gt;"",I117-G117,IF(G117&lt;&gt;"",TODAY()-G117,"")))</f>
        <v/>
      </c>
      <c r="O117" s="13" t="str">
        <f aca="false">IF(A117="","",MAX(F117+0,G117+0,H117+0,I117+0))</f>
        <v/>
      </c>
      <c r="P117" s="0" t="str">
        <f aca="true">IF(A117="","",IF(OR(J117="Approved",J117="Approved as Noted"),"",TODAY()-O117))</f>
        <v/>
      </c>
    </row>
    <row r="118" customFormat="false" ht="15" hidden="false" customHeight="false" outlineLevel="0" collapsed="false">
      <c r="K118" s="0" t="str">
        <f aca="true">IF(A118="","",IF(I118&lt;&gt;"",I118-G118,IF(G118&lt;&gt;"",TODAY()-G118,"")))</f>
        <v/>
      </c>
      <c r="O118" s="13" t="str">
        <f aca="false">IF(A118="","",MAX(F118+0,G118+0,H118+0,I118+0))</f>
        <v/>
      </c>
      <c r="P118" s="0" t="str">
        <f aca="true">IF(A118="","",IF(OR(J118="Approved",J118="Approved as Noted"),"",TODAY()-O118))</f>
        <v/>
      </c>
    </row>
    <row r="119" customFormat="false" ht="15" hidden="false" customHeight="false" outlineLevel="0" collapsed="false">
      <c r="K119" s="0" t="str">
        <f aca="true">IF(A119="","",IF(I119&lt;&gt;"",I119-G119,IF(G119&lt;&gt;"",TODAY()-G119,"")))</f>
        <v/>
      </c>
      <c r="O119" s="13" t="str">
        <f aca="false">IF(A119="","",MAX(F119+0,G119+0,H119+0,I119+0))</f>
        <v/>
      </c>
      <c r="P119" s="0" t="str">
        <f aca="true">IF(A119="","",IF(OR(J119="Approved",J119="Approved as Noted"),"",TODAY()-O119))</f>
        <v/>
      </c>
    </row>
    <row r="120" customFormat="false" ht="15" hidden="false" customHeight="false" outlineLevel="0" collapsed="false">
      <c r="K120" s="0" t="str">
        <f aca="true">IF(A120="","",IF(I120&lt;&gt;"",I120-G120,IF(G120&lt;&gt;"",TODAY()-G120,"")))</f>
        <v/>
      </c>
      <c r="O120" s="13" t="str">
        <f aca="false">IF(A120="","",MAX(F120+0,G120+0,H120+0,I120+0))</f>
        <v/>
      </c>
      <c r="P120" s="0" t="str">
        <f aca="true">IF(A120="","",IF(OR(J120="Approved",J120="Approved as Noted"),"",TODAY()-O120))</f>
        <v/>
      </c>
    </row>
    <row r="121" customFormat="false" ht="15" hidden="false" customHeight="false" outlineLevel="0" collapsed="false">
      <c r="K121" s="0" t="str">
        <f aca="true">IF(A121="","",IF(I121&lt;&gt;"",I121-G121,IF(G121&lt;&gt;"",TODAY()-G121,"")))</f>
        <v/>
      </c>
      <c r="O121" s="13" t="str">
        <f aca="false">IF(A121="","",MAX(F121+0,G121+0,H121+0,I121+0))</f>
        <v/>
      </c>
      <c r="P121" s="0" t="str">
        <f aca="true">IF(A121="","",IF(OR(J121="Approved",J121="Approved as Noted"),"",TODAY()-O121))</f>
        <v/>
      </c>
    </row>
    <row r="122" customFormat="false" ht="15" hidden="false" customHeight="false" outlineLevel="0" collapsed="false">
      <c r="K122" s="0" t="str">
        <f aca="true">IF(A122="","",IF(I122&lt;&gt;"",I122-G122,IF(G122&lt;&gt;"",TODAY()-G122,"")))</f>
        <v/>
      </c>
      <c r="O122" s="13" t="str">
        <f aca="false">IF(A122="","",MAX(F122+0,G122+0,H122+0,I122+0))</f>
        <v/>
      </c>
      <c r="P122" s="0" t="str">
        <f aca="true">IF(A122="","",IF(OR(J122="Approved",J122="Approved as Noted"),"",TODAY()-O122))</f>
        <v/>
      </c>
    </row>
    <row r="123" customFormat="false" ht="15" hidden="false" customHeight="false" outlineLevel="0" collapsed="false">
      <c r="K123" s="0" t="str">
        <f aca="true">IF(A123="","",IF(I123&lt;&gt;"",I123-G123,IF(G123&lt;&gt;"",TODAY()-G123,"")))</f>
        <v/>
      </c>
      <c r="O123" s="13" t="str">
        <f aca="false">IF(A123="","",MAX(F123+0,G123+0,H123+0,I123+0))</f>
        <v/>
      </c>
      <c r="P123" s="0" t="str">
        <f aca="true">IF(A123="","",IF(OR(J123="Approved",J123="Approved as Noted"),"",TODAY()-O123))</f>
        <v/>
      </c>
    </row>
    <row r="124" customFormat="false" ht="15" hidden="false" customHeight="false" outlineLevel="0" collapsed="false">
      <c r="K124" s="0" t="str">
        <f aca="true">IF(A124="","",IF(I124&lt;&gt;"",I124-G124,IF(G124&lt;&gt;"",TODAY()-G124,"")))</f>
        <v/>
      </c>
      <c r="O124" s="13" t="str">
        <f aca="false">IF(A124="","",MAX(F124+0,G124+0,H124+0,I124+0))</f>
        <v/>
      </c>
      <c r="P124" s="0" t="str">
        <f aca="true">IF(A124="","",IF(OR(J124="Approved",J124="Approved as Noted"),"",TODAY()-O124))</f>
        <v/>
      </c>
    </row>
    <row r="125" customFormat="false" ht="15" hidden="false" customHeight="false" outlineLevel="0" collapsed="false">
      <c r="K125" s="0" t="str">
        <f aca="true">IF(A125="","",IF(I125&lt;&gt;"",I125-G125,IF(G125&lt;&gt;"",TODAY()-G125,"")))</f>
        <v/>
      </c>
      <c r="O125" s="13" t="str">
        <f aca="false">IF(A125="","",MAX(F125+0,G125+0,H125+0,I125+0))</f>
        <v/>
      </c>
      <c r="P125" s="0" t="str">
        <f aca="true">IF(A125="","",IF(OR(J125="Approved",J125="Approved as Noted"),"",TODAY()-O125))</f>
        <v/>
      </c>
    </row>
    <row r="126" customFormat="false" ht="15" hidden="false" customHeight="false" outlineLevel="0" collapsed="false">
      <c r="K126" s="0" t="str">
        <f aca="true">IF(A126="","",IF(I126&lt;&gt;"",I126-G126,IF(G126&lt;&gt;"",TODAY()-G126,"")))</f>
        <v/>
      </c>
      <c r="O126" s="13" t="str">
        <f aca="false">IF(A126="","",MAX(F126+0,G126+0,H126+0,I126+0))</f>
        <v/>
      </c>
      <c r="P126" s="0" t="str">
        <f aca="true">IF(A126="","",IF(OR(J126="Approved",J126="Approved as Noted"),"",TODAY()-O126))</f>
        <v/>
      </c>
    </row>
    <row r="127" customFormat="false" ht="15" hidden="false" customHeight="false" outlineLevel="0" collapsed="false">
      <c r="K127" s="0" t="str">
        <f aca="true">IF(A127="","",IF(I127&lt;&gt;"",I127-G127,IF(G127&lt;&gt;"",TODAY()-G127,"")))</f>
        <v/>
      </c>
      <c r="O127" s="13" t="str">
        <f aca="false">IF(A127="","",MAX(F127+0,G127+0,H127+0,I127+0))</f>
        <v/>
      </c>
      <c r="P127" s="0" t="str">
        <f aca="true">IF(A127="","",IF(OR(J127="Approved",J127="Approved as Noted"),"",TODAY()-O127))</f>
        <v/>
      </c>
    </row>
    <row r="128" customFormat="false" ht="15" hidden="false" customHeight="false" outlineLevel="0" collapsed="false">
      <c r="K128" s="0" t="str">
        <f aca="true">IF(A128="","",IF(I128&lt;&gt;"",I128-G128,IF(G128&lt;&gt;"",TODAY()-G128,"")))</f>
        <v/>
      </c>
      <c r="O128" s="13" t="str">
        <f aca="false">IF(A128="","",MAX(F128+0,G128+0,H128+0,I128+0))</f>
        <v/>
      </c>
      <c r="P128" s="0" t="str">
        <f aca="true">IF(A128="","",IF(OR(J128="Approved",J128="Approved as Noted"),"",TODAY()-O128))</f>
        <v/>
      </c>
    </row>
    <row r="129" customFormat="false" ht="15" hidden="false" customHeight="false" outlineLevel="0" collapsed="false">
      <c r="K129" s="0" t="str">
        <f aca="true">IF(A129="","",IF(I129&lt;&gt;"",I129-G129,IF(G129&lt;&gt;"",TODAY()-G129,"")))</f>
        <v/>
      </c>
      <c r="O129" s="13" t="str">
        <f aca="false">IF(A129="","",MAX(F129+0,G129+0,H129+0,I129+0))</f>
        <v/>
      </c>
      <c r="P129" s="0" t="str">
        <f aca="true">IF(A129="","",IF(OR(J129="Approved",J129="Approved as Noted"),"",TODAY()-O129))</f>
        <v/>
      </c>
    </row>
    <row r="130" customFormat="false" ht="15" hidden="false" customHeight="false" outlineLevel="0" collapsed="false">
      <c r="K130" s="0" t="str">
        <f aca="true">IF(A130="","",IF(I130&lt;&gt;"",I130-G130,IF(G130&lt;&gt;"",TODAY()-G130,"")))</f>
        <v/>
      </c>
      <c r="O130" s="13" t="str">
        <f aca="false">IF(A130="","",MAX(F130+0,G130+0,H130+0,I130+0))</f>
        <v/>
      </c>
      <c r="P130" s="0" t="str">
        <f aca="true">IF(A130="","",IF(OR(J130="Approved",J130="Approved as Noted"),"",TODAY()-O130))</f>
        <v/>
      </c>
    </row>
    <row r="131" customFormat="false" ht="15" hidden="false" customHeight="false" outlineLevel="0" collapsed="false">
      <c r="K131" s="0" t="str">
        <f aca="true">IF(A131="","",IF(I131&lt;&gt;"",I131-G131,IF(G131&lt;&gt;"",TODAY()-G131,"")))</f>
        <v/>
      </c>
      <c r="O131" s="13" t="str">
        <f aca="false">IF(A131="","",MAX(F131+0,G131+0,H131+0,I131+0))</f>
        <v/>
      </c>
      <c r="P131" s="0" t="str">
        <f aca="true">IF(A131="","",IF(OR(J131="Approved",J131="Approved as Noted"),"",TODAY()-O131))</f>
        <v/>
      </c>
    </row>
    <row r="132" customFormat="false" ht="15" hidden="false" customHeight="false" outlineLevel="0" collapsed="false">
      <c r="K132" s="0" t="str">
        <f aca="true">IF(A132="","",IF(I132&lt;&gt;"",I132-G132,IF(G132&lt;&gt;"",TODAY()-G132,"")))</f>
        <v/>
      </c>
      <c r="O132" s="13" t="str">
        <f aca="false">IF(A132="","",MAX(F132+0,G132+0,H132+0,I132+0))</f>
        <v/>
      </c>
      <c r="P132" s="0" t="str">
        <f aca="true">IF(A132="","",IF(OR(J132="Approved",J132="Approved as Noted"),"",TODAY()-O132))</f>
        <v/>
      </c>
    </row>
    <row r="133" customFormat="false" ht="15" hidden="false" customHeight="false" outlineLevel="0" collapsed="false">
      <c r="K133" s="0" t="str">
        <f aca="true">IF(A133="","",IF(I133&lt;&gt;"",I133-G133,IF(G133&lt;&gt;"",TODAY()-G133,"")))</f>
        <v/>
      </c>
      <c r="O133" s="13" t="str">
        <f aca="false">IF(A133="","",MAX(F133+0,G133+0,H133+0,I133+0))</f>
        <v/>
      </c>
      <c r="P133" s="0" t="str">
        <f aca="true">IF(A133="","",IF(OR(J133="Approved",J133="Approved as Noted"),"",TODAY()-O133))</f>
        <v/>
      </c>
    </row>
    <row r="134" customFormat="false" ht="15" hidden="false" customHeight="false" outlineLevel="0" collapsed="false">
      <c r="K134" s="0" t="str">
        <f aca="true">IF(A134="","",IF(I134&lt;&gt;"",I134-G134,IF(G134&lt;&gt;"",TODAY()-G134,"")))</f>
        <v/>
      </c>
      <c r="O134" s="13" t="str">
        <f aca="false">IF(A134="","",MAX(F134+0,G134+0,H134+0,I134+0))</f>
        <v/>
      </c>
      <c r="P134" s="0" t="str">
        <f aca="true">IF(A134="","",IF(OR(J134="Approved",J134="Approved as Noted"),"",TODAY()-O134))</f>
        <v/>
      </c>
    </row>
    <row r="135" customFormat="false" ht="15" hidden="false" customHeight="false" outlineLevel="0" collapsed="false">
      <c r="K135" s="0" t="str">
        <f aca="true">IF(A135="","",IF(I135&lt;&gt;"",I135-G135,IF(G135&lt;&gt;"",TODAY()-G135,"")))</f>
        <v/>
      </c>
      <c r="O135" s="13" t="str">
        <f aca="false">IF(A135="","",MAX(F135+0,G135+0,H135+0,I135+0))</f>
        <v/>
      </c>
      <c r="P135" s="0" t="str">
        <f aca="true">IF(A135="","",IF(OR(J135="Approved",J135="Approved as Noted"),"",TODAY()-O135))</f>
        <v/>
      </c>
    </row>
    <row r="136" customFormat="false" ht="15" hidden="false" customHeight="false" outlineLevel="0" collapsed="false">
      <c r="K136" s="0" t="str">
        <f aca="true">IF(A136="","",IF(I136&lt;&gt;"",I136-G136,IF(G136&lt;&gt;"",TODAY()-G136,"")))</f>
        <v/>
      </c>
      <c r="O136" s="13" t="str">
        <f aca="false">IF(A136="","",MAX(F136+0,G136+0,H136+0,I136+0))</f>
        <v/>
      </c>
      <c r="P136" s="0" t="str">
        <f aca="true">IF(A136="","",IF(OR(J136="Approved",J136="Approved as Noted"),"",TODAY()-O136))</f>
        <v/>
      </c>
    </row>
    <row r="137" customFormat="false" ht="15" hidden="false" customHeight="false" outlineLevel="0" collapsed="false">
      <c r="K137" s="0" t="str">
        <f aca="true">IF(A137="","",IF(I137&lt;&gt;"",I137-G137,IF(G137&lt;&gt;"",TODAY()-G137,"")))</f>
        <v/>
      </c>
      <c r="O137" s="13" t="str">
        <f aca="false">IF(A137="","",MAX(F137+0,G137+0,H137+0,I137+0))</f>
        <v/>
      </c>
      <c r="P137" s="0" t="str">
        <f aca="true">IF(A137="","",IF(OR(J137="Approved",J137="Approved as Noted"),"",TODAY()-O137))</f>
        <v/>
      </c>
    </row>
    <row r="138" customFormat="false" ht="15" hidden="false" customHeight="false" outlineLevel="0" collapsed="false">
      <c r="K138" s="0" t="str">
        <f aca="true">IF(A138="","",IF(I138&lt;&gt;"",I138-G138,IF(G138&lt;&gt;"",TODAY()-G138,"")))</f>
        <v/>
      </c>
      <c r="O138" s="13" t="str">
        <f aca="false">IF(A138="","",MAX(F138+0,G138+0,H138+0,I138+0))</f>
        <v/>
      </c>
      <c r="P138" s="0" t="str">
        <f aca="true">IF(A138="","",IF(OR(J138="Approved",J138="Approved as Noted"),"",TODAY()-O138))</f>
        <v/>
      </c>
    </row>
    <row r="139" customFormat="false" ht="15" hidden="false" customHeight="false" outlineLevel="0" collapsed="false">
      <c r="K139" s="0" t="str">
        <f aca="true">IF(A139="","",IF(I139&lt;&gt;"",I139-G139,IF(G139&lt;&gt;"",TODAY()-G139,"")))</f>
        <v/>
      </c>
      <c r="O139" s="13" t="str">
        <f aca="false">IF(A139="","",MAX(F139+0,G139+0,H139+0,I139+0))</f>
        <v/>
      </c>
      <c r="P139" s="0" t="str">
        <f aca="true">IF(A139="","",IF(OR(J139="Approved",J139="Approved as Noted"),"",TODAY()-O139))</f>
        <v/>
      </c>
    </row>
    <row r="140" customFormat="false" ht="15" hidden="false" customHeight="false" outlineLevel="0" collapsed="false">
      <c r="K140" s="0" t="str">
        <f aca="true">IF(A140="","",IF(I140&lt;&gt;"",I140-G140,IF(G140&lt;&gt;"",TODAY()-G140,"")))</f>
        <v/>
      </c>
      <c r="O140" s="13" t="str">
        <f aca="false">IF(A140="","",MAX(F140+0,G140+0,H140+0,I140+0))</f>
        <v/>
      </c>
      <c r="P140" s="0" t="str">
        <f aca="true">IF(A140="","",IF(OR(J140="Approved",J140="Approved as Noted"),"",TODAY()-O140))</f>
        <v/>
      </c>
    </row>
    <row r="141" customFormat="false" ht="15" hidden="false" customHeight="false" outlineLevel="0" collapsed="false">
      <c r="K141" s="0" t="str">
        <f aca="true">IF(A141="","",IF(I141&lt;&gt;"",I141-G141,IF(G141&lt;&gt;"",TODAY()-G141,"")))</f>
        <v/>
      </c>
      <c r="O141" s="13" t="str">
        <f aca="false">IF(A141="","",MAX(F141+0,G141+0,H141+0,I141+0))</f>
        <v/>
      </c>
      <c r="P141" s="0" t="str">
        <f aca="true">IF(A141="","",IF(OR(J141="Approved",J141="Approved as Noted"),"",TODAY()-O141))</f>
        <v/>
      </c>
    </row>
    <row r="142" customFormat="false" ht="15" hidden="false" customHeight="false" outlineLevel="0" collapsed="false">
      <c r="K142" s="0" t="str">
        <f aca="true">IF(A142="","",IF(I142&lt;&gt;"",I142-G142,IF(G142&lt;&gt;"",TODAY()-G142,"")))</f>
        <v/>
      </c>
      <c r="O142" s="13" t="str">
        <f aca="false">IF(A142="","",MAX(F142+0,G142+0,H142+0,I142+0))</f>
        <v/>
      </c>
      <c r="P142" s="0" t="str">
        <f aca="true">IF(A142="","",IF(OR(J142="Approved",J142="Approved as Noted"),"",TODAY()-O142))</f>
        <v/>
      </c>
    </row>
    <row r="143" customFormat="false" ht="15" hidden="false" customHeight="false" outlineLevel="0" collapsed="false">
      <c r="K143" s="0" t="str">
        <f aca="true">IF(A143="","",IF(I143&lt;&gt;"",I143-G143,IF(G143&lt;&gt;"",TODAY()-G143,"")))</f>
        <v/>
      </c>
      <c r="O143" s="13" t="str">
        <f aca="false">IF(A143="","",MAX(F143+0,G143+0,H143+0,I143+0))</f>
        <v/>
      </c>
      <c r="P143" s="0" t="str">
        <f aca="true">IF(A143="","",IF(OR(J143="Approved",J143="Approved as Noted"),"",TODAY()-O143))</f>
        <v/>
      </c>
    </row>
    <row r="144" customFormat="false" ht="15" hidden="false" customHeight="false" outlineLevel="0" collapsed="false">
      <c r="K144" s="0" t="str">
        <f aca="true">IF(A144="","",IF(I144&lt;&gt;"",I144-G144,IF(G144&lt;&gt;"",TODAY()-G144,"")))</f>
        <v/>
      </c>
      <c r="O144" s="13" t="str">
        <f aca="false">IF(A144="","",MAX(F144+0,G144+0,H144+0,I144+0))</f>
        <v/>
      </c>
      <c r="P144" s="0" t="str">
        <f aca="true">IF(A144="","",IF(OR(J144="Approved",J144="Approved as Noted"),"",TODAY()-O144))</f>
        <v/>
      </c>
    </row>
    <row r="145" customFormat="false" ht="15" hidden="false" customHeight="false" outlineLevel="0" collapsed="false">
      <c r="K145" s="0" t="str">
        <f aca="true">IF(A145="","",IF(I145&lt;&gt;"",I145-G145,IF(G145&lt;&gt;"",TODAY()-G145,"")))</f>
        <v/>
      </c>
      <c r="O145" s="13" t="str">
        <f aca="false">IF(A145="","",MAX(F145+0,G145+0,H145+0,I145+0))</f>
        <v/>
      </c>
      <c r="P145" s="0" t="str">
        <f aca="true">IF(A145="","",IF(OR(J145="Approved",J145="Approved as Noted"),"",TODAY()-O145))</f>
        <v/>
      </c>
    </row>
    <row r="146" customFormat="false" ht="15" hidden="false" customHeight="false" outlineLevel="0" collapsed="false">
      <c r="K146" s="0" t="str">
        <f aca="true">IF(A146="","",IF(I146&lt;&gt;"",I146-G146,IF(G146&lt;&gt;"",TODAY()-G146,"")))</f>
        <v/>
      </c>
      <c r="O146" s="13" t="str">
        <f aca="false">IF(A146="","",MAX(F146+0,G146+0,H146+0,I146+0))</f>
        <v/>
      </c>
      <c r="P146" s="0" t="str">
        <f aca="true">IF(A146="","",IF(OR(J146="Approved",J146="Approved as Noted"),"",TODAY()-O146))</f>
        <v/>
      </c>
    </row>
    <row r="147" customFormat="false" ht="15" hidden="false" customHeight="false" outlineLevel="0" collapsed="false">
      <c r="K147" s="0" t="str">
        <f aca="true">IF(A147="","",IF(I147&lt;&gt;"",I147-G147,IF(G147&lt;&gt;"",TODAY()-G147,"")))</f>
        <v/>
      </c>
      <c r="O147" s="13" t="str">
        <f aca="false">IF(A147="","",MAX(F147+0,G147+0,H147+0,I147+0))</f>
        <v/>
      </c>
      <c r="P147" s="0" t="str">
        <f aca="true">IF(A147="","",IF(OR(J147="Approved",J147="Approved as Noted"),"",TODAY()-O147))</f>
        <v/>
      </c>
    </row>
    <row r="148" customFormat="false" ht="15" hidden="false" customHeight="false" outlineLevel="0" collapsed="false">
      <c r="K148" s="0" t="str">
        <f aca="true">IF(A148="","",IF(I148&lt;&gt;"",I148-G148,IF(G148&lt;&gt;"",TODAY()-G148,"")))</f>
        <v/>
      </c>
      <c r="O148" s="13" t="str">
        <f aca="false">IF(A148="","",MAX(F148+0,G148+0,H148+0,I148+0))</f>
        <v/>
      </c>
      <c r="P148" s="0" t="str">
        <f aca="true">IF(A148="","",IF(OR(J148="Approved",J148="Approved as Noted"),"",TODAY()-O148))</f>
        <v/>
      </c>
    </row>
    <row r="149" customFormat="false" ht="15" hidden="false" customHeight="false" outlineLevel="0" collapsed="false">
      <c r="K149" s="0" t="str">
        <f aca="true">IF(A149="","",IF(I149&lt;&gt;"",I149-G149,IF(G149&lt;&gt;"",TODAY()-G149,"")))</f>
        <v/>
      </c>
      <c r="O149" s="13" t="str">
        <f aca="false">IF(A149="","",MAX(F149+0,G149+0,H149+0,I149+0))</f>
        <v/>
      </c>
      <c r="P149" s="0" t="str">
        <f aca="true">IF(A149="","",IF(OR(J149="Approved",J149="Approved as Noted"),"",TODAY()-O149))</f>
        <v/>
      </c>
    </row>
    <row r="150" customFormat="false" ht="15" hidden="false" customHeight="false" outlineLevel="0" collapsed="false">
      <c r="K150" s="0" t="str">
        <f aca="true">IF(A150="","",IF(I150&lt;&gt;"",I150-G150,IF(G150&lt;&gt;"",TODAY()-G150,"")))</f>
        <v/>
      </c>
      <c r="O150" s="13" t="str">
        <f aca="false">IF(A150="","",MAX(F150+0,G150+0,H150+0,I150+0))</f>
        <v/>
      </c>
      <c r="P150" s="0" t="str">
        <f aca="true">IF(A150="","",IF(OR(J150="Approved",J150="Approved as Noted"),"",TODAY()-O150))</f>
        <v/>
      </c>
    </row>
    <row r="151" customFormat="false" ht="15" hidden="false" customHeight="false" outlineLevel="0" collapsed="false">
      <c r="K151" s="0" t="str">
        <f aca="true">IF(A151="","",IF(I151&lt;&gt;"",I151-G151,IF(G151&lt;&gt;"",TODAY()-G151,"")))</f>
        <v/>
      </c>
      <c r="O151" s="13" t="str">
        <f aca="false">IF(A151="","",MAX(F151+0,G151+0,H151+0,I151+0))</f>
        <v/>
      </c>
      <c r="P151" s="0" t="str">
        <f aca="true">IF(A151="","",IF(OR(J151="Approved",J151="Approved as Noted"),"",TODAY()-O151))</f>
        <v/>
      </c>
    </row>
    <row r="152" customFormat="false" ht="15" hidden="false" customHeight="false" outlineLevel="0" collapsed="false">
      <c r="K152" s="0" t="str">
        <f aca="true">IF(A152="","",IF(I152&lt;&gt;"",I152-G152,IF(G152&lt;&gt;"",TODAY()-G152,"")))</f>
        <v/>
      </c>
      <c r="O152" s="13" t="str">
        <f aca="false">IF(A152="","",MAX(F152+0,G152+0,H152+0,I152+0))</f>
        <v/>
      </c>
      <c r="P152" s="0" t="str">
        <f aca="true">IF(A152="","",IF(OR(J152="Approved",J152="Approved as Noted"),"",TODAY()-O152))</f>
        <v/>
      </c>
    </row>
    <row r="153" customFormat="false" ht="15" hidden="false" customHeight="false" outlineLevel="0" collapsed="false">
      <c r="K153" s="0" t="str">
        <f aca="true">IF(A153="","",IF(I153&lt;&gt;"",I153-G153,IF(G153&lt;&gt;"",TODAY()-G153,"")))</f>
        <v/>
      </c>
      <c r="O153" s="13" t="str">
        <f aca="false">IF(A153="","",MAX(F153+0,G153+0,H153+0,I153+0))</f>
        <v/>
      </c>
      <c r="P153" s="0" t="str">
        <f aca="true">IF(A153="","",IF(OR(J153="Approved",J153="Approved as Noted"),"",TODAY()-O153))</f>
        <v/>
      </c>
    </row>
    <row r="154" customFormat="false" ht="15" hidden="false" customHeight="false" outlineLevel="0" collapsed="false">
      <c r="K154" s="0" t="str">
        <f aca="true">IF(A154="","",IF(I154&lt;&gt;"",I154-G154,IF(G154&lt;&gt;"",TODAY()-G154,"")))</f>
        <v/>
      </c>
      <c r="O154" s="13" t="str">
        <f aca="false">IF(A154="","",MAX(F154+0,G154+0,H154+0,I154+0))</f>
        <v/>
      </c>
      <c r="P154" s="0" t="str">
        <f aca="true">IF(A154="","",IF(OR(J154="Approved",J154="Approved as Noted"),"",TODAY()-O154))</f>
        <v/>
      </c>
    </row>
    <row r="155" customFormat="false" ht="15" hidden="false" customHeight="false" outlineLevel="0" collapsed="false">
      <c r="K155" s="0" t="str">
        <f aca="true">IF(A155="","",IF(I155&lt;&gt;"",I155-G155,IF(G155&lt;&gt;"",TODAY()-G155,"")))</f>
        <v/>
      </c>
      <c r="O155" s="13" t="str">
        <f aca="false">IF(A155="","",MAX(F155+0,G155+0,H155+0,I155+0))</f>
        <v/>
      </c>
      <c r="P155" s="0" t="str">
        <f aca="true">IF(A155="","",IF(OR(J155="Approved",J155="Approved as Noted"),"",TODAY()-O155))</f>
        <v/>
      </c>
    </row>
    <row r="156" customFormat="false" ht="15" hidden="false" customHeight="false" outlineLevel="0" collapsed="false">
      <c r="K156" s="0" t="str">
        <f aca="true">IF(A156="","",IF(I156&lt;&gt;"",I156-G156,IF(G156&lt;&gt;"",TODAY()-G156,"")))</f>
        <v/>
      </c>
      <c r="O156" s="13" t="str">
        <f aca="false">IF(A156="","",MAX(F156+0,G156+0,H156+0,I156+0))</f>
        <v/>
      </c>
      <c r="P156" s="0" t="str">
        <f aca="true">IF(A156="","",IF(OR(J156="Approved",J156="Approved as Noted"),"",TODAY()-O156))</f>
        <v/>
      </c>
    </row>
    <row r="157" customFormat="false" ht="15" hidden="false" customHeight="false" outlineLevel="0" collapsed="false">
      <c r="K157" s="0" t="str">
        <f aca="true">IF(A157="","",IF(I157&lt;&gt;"",I157-G157,IF(G157&lt;&gt;"",TODAY()-G157,"")))</f>
        <v/>
      </c>
      <c r="O157" s="13" t="str">
        <f aca="false">IF(A157="","",MAX(F157+0,G157+0,H157+0,I157+0))</f>
        <v/>
      </c>
      <c r="P157" s="0" t="str">
        <f aca="true">IF(A157="","",IF(OR(J157="Approved",J157="Approved as Noted"),"",TODAY()-O157))</f>
        <v/>
      </c>
    </row>
    <row r="158" customFormat="false" ht="15" hidden="false" customHeight="false" outlineLevel="0" collapsed="false">
      <c r="K158" s="0" t="str">
        <f aca="true">IF(A158="","",IF(I158&lt;&gt;"",I158-G158,IF(G158&lt;&gt;"",TODAY()-G158,"")))</f>
        <v/>
      </c>
      <c r="O158" s="13" t="str">
        <f aca="false">IF(A158="","",MAX(F158+0,G158+0,H158+0,I158+0))</f>
        <v/>
      </c>
      <c r="P158" s="0" t="str">
        <f aca="true">IF(A158="","",IF(OR(J158="Approved",J158="Approved as Noted"),"",TODAY()-O158))</f>
        <v/>
      </c>
    </row>
    <row r="159" customFormat="false" ht="15" hidden="false" customHeight="false" outlineLevel="0" collapsed="false">
      <c r="K159" s="0" t="str">
        <f aca="true">IF(A159="","",IF(I159&lt;&gt;"",I159-G159,IF(G159&lt;&gt;"",TODAY()-G159,"")))</f>
        <v/>
      </c>
      <c r="O159" s="13" t="str">
        <f aca="false">IF(A159="","",MAX(F159+0,G159+0,H159+0,I159+0))</f>
        <v/>
      </c>
      <c r="P159" s="0" t="str">
        <f aca="true">IF(A159="","",IF(OR(J159="Approved",J159="Approved as Noted"),"",TODAY()-O159))</f>
        <v/>
      </c>
    </row>
    <row r="160" customFormat="false" ht="15" hidden="false" customHeight="false" outlineLevel="0" collapsed="false">
      <c r="K160" s="0" t="str">
        <f aca="true">IF(A160="","",IF(I160&lt;&gt;"",I160-G160,IF(G160&lt;&gt;"",TODAY()-G160,"")))</f>
        <v/>
      </c>
      <c r="O160" s="13" t="str">
        <f aca="false">IF(A160="","",MAX(F160+0,G160+0,H160+0,I160+0))</f>
        <v/>
      </c>
      <c r="P160" s="0" t="str">
        <f aca="true">IF(A160="","",IF(OR(J160="Approved",J160="Approved as Noted"),"",TODAY()-O160))</f>
        <v/>
      </c>
    </row>
    <row r="161" customFormat="false" ht="15" hidden="false" customHeight="false" outlineLevel="0" collapsed="false">
      <c r="K161" s="0" t="str">
        <f aca="true">IF(A161="","",IF(I161&lt;&gt;"",I161-G161,IF(G161&lt;&gt;"",TODAY()-G161,"")))</f>
        <v/>
      </c>
      <c r="O161" s="13" t="str">
        <f aca="false">IF(A161="","",MAX(F161+0,G161+0,H161+0,I161+0))</f>
        <v/>
      </c>
      <c r="P161" s="0" t="str">
        <f aca="true">IF(A161="","",IF(OR(J161="Approved",J161="Approved as Noted"),"",TODAY()-O161))</f>
        <v/>
      </c>
    </row>
    <row r="162" customFormat="false" ht="15" hidden="false" customHeight="false" outlineLevel="0" collapsed="false">
      <c r="K162" s="0" t="str">
        <f aca="true">IF(A162="","",IF(I162&lt;&gt;"",I162-G162,IF(G162&lt;&gt;"",TODAY()-G162,"")))</f>
        <v/>
      </c>
      <c r="O162" s="13" t="str">
        <f aca="false">IF(A162="","",MAX(F162+0,G162+0,H162+0,I162+0))</f>
        <v/>
      </c>
      <c r="P162" s="0" t="str">
        <f aca="true">IF(A162="","",IF(OR(J162="Approved",J162="Approved as Noted"),"",TODAY()-O162))</f>
        <v/>
      </c>
    </row>
    <row r="163" customFormat="false" ht="15" hidden="false" customHeight="false" outlineLevel="0" collapsed="false">
      <c r="K163" s="0" t="str">
        <f aca="true">IF(A163="","",IF(I163&lt;&gt;"",I163-G163,IF(G163&lt;&gt;"",TODAY()-G163,"")))</f>
        <v/>
      </c>
      <c r="O163" s="13" t="str">
        <f aca="false">IF(A163="","",MAX(F163+0,G163+0,H163+0,I163+0))</f>
        <v/>
      </c>
      <c r="P163" s="0" t="str">
        <f aca="true">IF(A163="","",IF(OR(J163="Approved",J163="Approved as Noted"),"",TODAY()-O163))</f>
        <v/>
      </c>
    </row>
    <row r="164" customFormat="false" ht="15" hidden="false" customHeight="false" outlineLevel="0" collapsed="false">
      <c r="K164" s="0" t="str">
        <f aca="true">IF(A164="","",IF(I164&lt;&gt;"",I164-G164,IF(G164&lt;&gt;"",TODAY()-G164,"")))</f>
        <v/>
      </c>
      <c r="O164" s="13" t="str">
        <f aca="false">IF(A164="","",MAX(F164+0,G164+0,H164+0,I164+0))</f>
        <v/>
      </c>
      <c r="P164" s="0" t="str">
        <f aca="true">IF(A164="","",IF(OR(J164="Approved",J164="Approved as Noted"),"",TODAY()-O164))</f>
        <v/>
      </c>
    </row>
    <row r="165" customFormat="false" ht="15" hidden="false" customHeight="false" outlineLevel="0" collapsed="false">
      <c r="K165" s="0" t="str">
        <f aca="true">IF(A165="","",IF(I165&lt;&gt;"",I165-G165,IF(G165&lt;&gt;"",TODAY()-G165,"")))</f>
        <v/>
      </c>
      <c r="O165" s="13" t="str">
        <f aca="false">IF(A165="","",MAX(F165+0,G165+0,H165+0,I165+0))</f>
        <v/>
      </c>
      <c r="P165" s="0" t="str">
        <f aca="true">IF(A165="","",IF(OR(J165="Approved",J165="Approved as Noted"),"",TODAY()-O165))</f>
        <v/>
      </c>
    </row>
    <row r="166" customFormat="false" ht="15" hidden="false" customHeight="false" outlineLevel="0" collapsed="false">
      <c r="K166" s="0" t="str">
        <f aca="true">IF(A166="","",IF(I166&lt;&gt;"",I166-G166,IF(G166&lt;&gt;"",TODAY()-G166,"")))</f>
        <v/>
      </c>
      <c r="O166" s="13" t="str">
        <f aca="false">IF(A166="","",MAX(F166+0,G166+0,H166+0,I166+0))</f>
        <v/>
      </c>
      <c r="P166" s="0" t="str">
        <f aca="true">IF(A166="","",IF(OR(J166="Approved",J166="Approved as Noted"),"",TODAY()-O166))</f>
        <v/>
      </c>
    </row>
    <row r="167" customFormat="false" ht="15" hidden="false" customHeight="false" outlineLevel="0" collapsed="false">
      <c r="K167" s="0" t="str">
        <f aca="true">IF(A167="","",IF(I167&lt;&gt;"",I167-G167,IF(G167&lt;&gt;"",TODAY()-G167,"")))</f>
        <v/>
      </c>
      <c r="O167" s="13" t="str">
        <f aca="false">IF(A167="","",MAX(F167+0,G167+0,H167+0,I167+0))</f>
        <v/>
      </c>
      <c r="P167" s="0" t="str">
        <f aca="true">IF(A167="","",IF(OR(J167="Approved",J167="Approved as Noted"),"",TODAY()-O167))</f>
        <v/>
      </c>
    </row>
    <row r="168" customFormat="false" ht="15" hidden="false" customHeight="false" outlineLevel="0" collapsed="false">
      <c r="K168" s="0" t="str">
        <f aca="true">IF(A168="","",IF(I168&lt;&gt;"",I168-G168,IF(G168&lt;&gt;"",TODAY()-G168,"")))</f>
        <v/>
      </c>
      <c r="O168" s="13" t="str">
        <f aca="false">IF(A168="","",MAX(F168+0,G168+0,H168+0,I168+0))</f>
        <v/>
      </c>
      <c r="P168" s="0" t="str">
        <f aca="true">IF(A168="","",IF(OR(J168="Approved",J168="Approved as Noted"),"",TODAY()-O168))</f>
        <v/>
      </c>
    </row>
    <row r="169" customFormat="false" ht="15" hidden="false" customHeight="false" outlineLevel="0" collapsed="false">
      <c r="K169" s="0" t="str">
        <f aca="true">IF(A169="","",IF(I169&lt;&gt;"",I169-G169,IF(G169&lt;&gt;"",TODAY()-G169,"")))</f>
        <v/>
      </c>
      <c r="O169" s="13" t="str">
        <f aca="false">IF(A169="","",MAX(F169+0,G169+0,H169+0,I169+0))</f>
        <v/>
      </c>
      <c r="P169" s="0" t="str">
        <f aca="true">IF(A169="","",IF(OR(J169="Approved",J169="Approved as Noted"),"",TODAY()-O169))</f>
        <v/>
      </c>
    </row>
    <row r="170" customFormat="false" ht="15" hidden="false" customHeight="false" outlineLevel="0" collapsed="false">
      <c r="K170" s="0" t="str">
        <f aca="true">IF(A170="","",IF(I170&lt;&gt;"",I170-G170,IF(G170&lt;&gt;"",TODAY()-G170,"")))</f>
        <v/>
      </c>
      <c r="O170" s="13" t="str">
        <f aca="false">IF(A170="","",MAX(F170+0,G170+0,H170+0,I170+0))</f>
        <v/>
      </c>
      <c r="P170" s="0" t="str">
        <f aca="true">IF(A170="","",IF(OR(J170="Approved",J170="Approved as Noted"),"",TODAY()-O170))</f>
        <v/>
      </c>
    </row>
    <row r="171" customFormat="false" ht="15" hidden="false" customHeight="false" outlineLevel="0" collapsed="false">
      <c r="K171" s="0" t="str">
        <f aca="true">IF(A171="","",IF(I171&lt;&gt;"",I171-G171,IF(G171&lt;&gt;"",TODAY()-G171,"")))</f>
        <v/>
      </c>
      <c r="O171" s="13" t="str">
        <f aca="false">IF(A171="","",MAX(F171+0,G171+0,H171+0,I171+0))</f>
        <v/>
      </c>
      <c r="P171" s="0" t="str">
        <f aca="true">IF(A171="","",IF(OR(J171="Approved",J171="Approved as Noted"),"",TODAY()-O171))</f>
        <v/>
      </c>
    </row>
    <row r="172" customFormat="false" ht="15" hidden="false" customHeight="false" outlineLevel="0" collapsed="false">
      <c r="K172" s="0" t="str">
        <f aca="true">IF(A172="","",IF(I172&lt;&gt;"",I172-G172,IF(G172&lt;&gt;"",TODAY()-G172,"")))</f>
        <v/>
      </c>
      <c r="O172" s="13" t="str">
        <f aca="false">IF(A172="","",MAX(F172+0,G172+0,H172+0,I172+0))</f>
        <v/>
      </c>
      <c r="P172" s="0" t="str">
        <f aca="true">IF(A172="","",IF(OR(J172="Approved",J172="Approved as Noted"),"",TODAY()-O172))</f>
        <v/>
      </c>
    </row>
    <row r="173" customFormat="false" ht="15" hidden="false" customHeight="false" outlineLevel="0" collapsed="false">
      <c r="K173" s="0" t="str">
        <f aca="true">IF(A173="","",IF(I173&lt;&gt;"",I173-G173,IF(G173&lt;&gt;"",TODAY()-G173,"")))</f>
        <v/>
      </c>
      <c r="O173" s="13" t="str">
        <f aca="false">IF(A173="","",MAX(F173+0,G173+0,H173+0,I173+0))</f>
        <v/>
      </c>
      <c r="P173" s="0" t="str">
        <f aca="true">IF(A173="","",IF(OR(J173="Approved",J173="Approved as Noted"),"",TODAY()-O173))</f>
        <v/>
      </c>
    </row>
    <row r="174" customFormat="false" ht="15" hidden="false" customHeight="false" outlineLevel="0" collapsed="false">
      <c r="K174" s="0" t="str">
        <f aca="true">IF(A174="","",IF(I174&lt;&gt;"",I174-G174,IF(G174&lt;&gt;"",TODAY()-G174,"")))</f>
        <v/>
      </c>
      <c r="O174" s="13" t="str">
        <f aca="false">IF(A174="","",MAX(F174+0,G174+0,H174+0,I174+0))</f>
        <v/>
      </c>
      <c r="P174" s="0" t="str">
        <f aca="true">IF(A174="","",IF(OR(J174="Approved",J174="Approved as Noted"),"",TODAY()-O174))</f>
        <v/>
      </c>
    </row>
    <row r="175" customFormat="false" ht="15" hidden="false" customHeight="false" outlineLevel="0" collapsed="false">
      <c r="K175" s="0" t="str">
        <f aca="true">IF(A175="","",IF(I175&lt;&gt;"",I175-G175,IF(G175&lt;&gt;"",TODAY()-G175,"")))</f>
        <v/>
      </c>
      <c r="O175" s="13" t="str">
        <f aca="false">IF(A175="","",MAX(F175+0,G175+0,H175+0,I175+0))</f>
        <v/>
      </c>
      <c r="P175" s="0" t="str">
        <f aca="true">IF(A175="","",IF(OR(J175="Approved",J175="Approved as Noted"),"",TODAY()-O175))</f>
        <v/>
      </c>
    </row>
    <row r="176" customFormat="false" ht="15" hidden="false" customHeight="false" outlineLevel="0" collapsed="false">
      <c r="K176" s="0" t="str">
        <f aca="true">IF(A176="","",IF(I176&lt;&gt;"",I176-G176,IF(G176&lt;&gt;"",TODAY()-G176,"")))</f>
        <v/>
      </c>
      <c r="O176" s="13" t="str">
        <f aca="false">IF(A176="","",MAX(F176+0,G176+0,H176+0,I176+0))</f>
        <v/>
      </c>
      <c r="P176" s="0" t="str">
        <f aca="true">IF(A176="","",IF(OR(J176="Approved",J176="Approved as Noted"),"",TODAY()-O176))</f>
        <v/>
      </c>
    </row>
    <row r="177" customFormat="false" ht="15" hidden="false" customHeight="false" outlineLevel="0" collapsed="false">
      <c r="K177" s="0" t="str">
        <f aca="true">IF(A177="","",IF(I177&lt;&gt;"",I177-G177,IF(G177&lt;&gt;"",TODAY()-G177,"")))</f>
        <v/>
      </c>
      <c r="O177" s="13" t="str">
        <f aca="false">IF(A177="","",MAX(F177+0,G177+0,H177+0,I177+0))</f>
        <v/>
      </c>
      <c r="P177" s="0" t="str">
        <f aca="true">IF(A177="","",IF(OR(J177="Approved",J177="Approved as Noted"),"",TODAY()-O177))</f>
        <v/>
      </c>
    </row>
    <row r="178" customFormat="false" ht="15" hidden="false" customHeight="false" outlineLevel="0" collapsed="false">
      <c r="K178" s="0" t="str">
        <f aca="true">IF(A178="","",IF(I178&lt;&gt;"",I178-G178,IF(G178&lt;&gt;"",TODAY()-G178,"")))</f>
        <v/>
      </c>
      <c r="O178" s="13" t="str">
        <f aca="false">IF(A178="","",MAX(F178+0,G178+0,H178+0,I178+0))</f>
        <v/>
      </c>
      <c r="P178" s="0" t="str">
        <f aca="true">IF(A178="","",IF(OR(J178="Approved",J178="Approved as Noted"),"",TODAY()-O178))</f>
        <v/>
      </c>
    </row>
    <row r="179" customFormat="false" ht="15" hidden="false" customHeight="false" outlineLevel="0" collapsed="false">
      <c r="K179" s="0" t="str">
        <f aca="true">IF(A179="","",IF(I179&lt;&gt;"",I179-G179,IF(G179&lt;&gt;"",TODAY()-G179,"")))</f>
        <v/>
      </c>
      <c r="O179" s="13" t="str">
        <f aca="false">IF(A179="","",MAX(F179+0,G179+0,H179+0,I179+0))</f>
        <v/>
      </c>
      <c r="P179" s="0" t="str">
        <f aca="true">IF(A179="","",IF(OR(J179="Approved",J179="Approved as Noted"),"",TODAY()-O179))</f>
        <v/>
      </c>
    </row>
    <row r="180" customFormat="false" ht="15" hidden="false" customHeight="false" outlineLevel="0" collapsed="false">
      <c r="K180" s="0" t="str">
        <f aca="true">IF(A180="","",IF(I180&lt;&gt;"",I180-G180,IF(G180&lt;&gt;"",TODAY()-G180,"")))</f>
        <v/>
      </c>
      <c r="O180" s="13" t="str">
        <f aca="false">IF(A180="","",MAX(F180+0,G180+0,H180+0,I180+0))</f>
        <v/>
      </c>
      <c r="P180" s="0" t="str">
        <f aca="true">IF(A180="","",IF(OR(J180="Approved",J180="Approved as Noted"),"",TODAY()-O180))</f>
        <v/>
      </c>
    </row>
    <row r="181" customFormat="false" ht="15" hidden="false" customHeight="false" outlineLevel="0" collapsed="false">
      <c r="K181" s="0" t="str">
        <f aca="true">IF(A181="","",IF(I181&lt;&gt;"",I181-G181,IF(G181&lt;&gt;"",TODAY()-G181,"")))</f>
        <v/>
      </c>
      <c r="O181" s="13" t="str">
        <f aca="false">IF(A181="","",MAX(F181+0,G181+0,H181+0,I181+0))</f>
        <v/>
      </c>
      <c r="P181" s="0" t="str">
        <f aca="true">IF(A181="","",IF(OR(J181="Approved",J181="Approved as Noted"),"",TODAY()-O181))</f>
        <v/>
      </c>
    </row>
    <row r="182" customFormat="false" ht="15" hidden="false" customHeight="false" outlineLevel="0" collapsed="false">
      <c r="K182" s="0" t="str">
        <f aca="true">IF(A182="","",IF(I182&lt;&gt;"",I182-G182,IF(G182&lt;&gt;"",TODAY()-G182,"")))</f>
        <v/>
      </c>
      <c r="O182" s="13" t="str">
        <f aca="false">IF(A182="","",MAX(F182+0,G182+0,H182+0,I182+0))</f>
        <v/>
      </c>
      <c r="P182" s="0" t="str">
        <f aca="true">IF(A182="","",IF(OR(J182="Approved",J182="Approved as Noted"),"",TODAY()-O182))</f>
        <v/>
      </c>
    </row>
    <row r="183" customFormat="false" ht="15" hidden="false" customHeight="false" outlineLevel="0" collapsed="false">
      <c r="K183" s="0" t="str">
        <f aca="true">IF(A183="","",IF(I183&lt;&gt;"",I183-G183,IF(G183&lt;&gt;"",TODAY()-G183,"")))</f>
        <v/>
      </c>
      <c r="O183" s="13" t="str">
        <f aca="false">IF(A183="","",MAX(F183+0,G183+0,H183+0,I183+0))</f>
        <v/>
      </c>
      <c r="P183" s="0" t="str">
        <f aca="true">IF(A183="","",IF(OR(J183="Approved",J183="Approved as Noted"),"",TODAY()-O183))</f>
        <v/>
      </c>
    </row>
    <row r="184" customFormat="false" ht="15" hidden="false" customHeight="false" outlineLevel="0" collapsed="false">
      <c r="K184" s="0" t="str">
        <f aca="true">IF(A184="","",IF(I184&lt;&gt;"",I184-G184,IF(G184&lt;&gt;"",TODAY()-G184,"")))</f>
        <v/>
      </c>
      <c r="O184" s="13" t="str">
        <f aca="false">IF(A184="","",MAX(F184+0,G184+0,H184+0,I184+0))</f>
        <v/>
      </c>
      <c r="P184" s="0" t="str">
        <f aca="true">IF(A184="","",IF(OR(J184="Approved",J184="Approved as Noted"),"",TODAY()-O184))</f>
        <v/>
      </c>
    </row>
    <row r="185" customFormat="false" ht="15" hidden="false" customHeight="false" outlineLevel="0" collapsed="false">
      <c r="K185" s="0" t="str">
        <f aca="true">IF(A185="","",IF(I185&lt;&gt;"",I185-G185,IF(G185&lt;&gt;"",TODAY()-G185,"")))</f>
        <v/>
      </c>
      <c r="O185" s="13" t="str">
        <f aca="false">IF(A185="","",MAX(F185+0,G185+0,H185+0,I185+0))</f>
        <v/>
      </c>
      <c r="P185" s="0" t="str">
        <f aca="true">IF(A185="","",IF(OR(J185="Approved",J185="Approved as Noted"),"",TODAY()-O185))</f>
        <v/>
      </c>
    </row>
    <row r="186" customFormat="false" ht="15" hidden="false" customHeight="false" outlineLevel="0" collapsed="false">
      <c r="K186" s="0" t="str">
        <f aca="true">IF(A186="","",IF(I186&lt;&gt;"",I186-G186,IF(G186&lt;&gt;"",TODAY()-G186,"")))</f>
        <v/>
      </c>
      <c r="O186" s="13" t="str">
        <f aca="false">IF(A186="","",MAX(F186+0,G186+0,H186+0,I186+0))</f>
        <v/>
      </c>
      <c r="P186" s="0" t="str">
        <f aca="true">IF(A186="","",IF(OR(J186="Approved",J186="Approved as Noted"),"",TODAY()-O186))</f>
        <v/>
      </c>
    </row>
    <row r="187" customFormat="false" ht="15" hidden="false" customHeight="false" outlineLevel="0" collapsed="false">
      <c r="K187" s="0" t="str">
        <f aca="true">IF(A187="","",IF(I187&lt;&gt;"",I187-G187,IF(G187&lt;&gt;"",TODAY()-G187,"")))</f>
        <v/>
      </c>
      <c r="O187" s="13" t="str">
        <f aca="false">IF(A187="","",MAX(F187+0,G187+0,H187+0,I187+0))</f>
        <v/>
      </c>
      <c r="P187" s="0" t="str">
        <f aca="true">IF(A187="","",IF(OR(J187="Approved",J187="Approved as Noted"),"",TODAY()-O187))</f>
        <v/>
      </c>
    </row>
    <row r="188" customFormat="false" ht="15" hidden="false" customHeight="false" outlineLevel="0" collapsed="false">
      <c r="K188" s="0" t="str">
        <f aca="true">IF(A188="","",IF(I188&lt;&gt;"",I188-G188,IF(G188&lt;&gt;"",TODAY()-G188,"")))</f>
        <v/>
      </c>
      <c r="O188" s="13" t="str">
        <f aca="false">IF(A188="","",MAX(F188+0,G188+0,H188+0,I188+0))</f>
        <v/>
      </c>
      <c r="P188" s="0" t="str">
        <f aca="true">IF(A188="","",IF(OR(J188="Approved",J188="Approved as Noted"),"",TODAY()-O188))</f>
        <v/>
      </c>
    </row>
    <row r="189" customFormat="false" ht="15" hidden="false" customHeight="false" outlineLevel="0" collapsed="false">
      <c r="K189" s="0" t="str">
        <f aca="true">IF(A189="","",IF(I189&lt;&gt;"",I189-G189,IF(G189&lt;&gt;"",TODAY()-G189,"")))</f>
        <v/>
      </c>
      <c r="O189" s="13" t="str">
        <f aca="false">IF(A189="","",MAX(F189+0,G189+0,H189+0,I189+0))</f>
        <v/>
      </c>
      <c r="P189" s="0" t="str">
        <f aca="true">IF(A189="","",IF(OR(J189="Approved",J189="Approved as Noted"),"",TODAY()-O189))</f>
        <v/>
      </c>
    </row>
    <row r="190" customFormat="false" ht="15" hidden="false" customHeight="false" outlineLevel="0" collapsed="false">
      <c r="K190" s="0" t="str">
        <f aca="true">IF(A190="","",IF(I190&lt;&gt;"",I190-G190,IF(G190&lt;&gt;"",TODAY()-G190,"")))</f>
        <v/>
      </c>
      <c r="O190" s="13" t="str">
        <f aca="false">IF(A190="","",MAX(F190+0,G190+0,H190+0,I190+0))</f>
        <v/>
      </c>
      <c r="P190" s="0" t="str">
        <f aca="true">IF(A190="","",IF(OR(J190="Approved",J190="Approved as Noted"),"",TODAY()-O190))</f>
        <v/>
      </c>
    </row>
    <row r="191" customFormat="false" ht="15" hidden="false" customHeight="false" outlineLevel="0" collapsed="false">
      <c r="K191" s="0" t="str">
        <f aca="true">IF(A191="","",IF(I191&lt;&gt;"",I191-G191,IF(G191&lt;&gt;"",TODAY()-G191,"")))</f>
        <v/>
      </c>
      <c r="O191" s="13" t="str">
        <f aca="false">IF(A191="","",MAX(F191+0,G191+0,H191+0,I191+0))</f>
        <v/>
      </c>
      <c r="P191" s="0" t="str">
        <f aca="true">IF(A191="","",IF(OR(J191="Approved",J191="Approved as Noted"),"",TODAY()-O191))</f>
        <v/>
      </c>
    </row>
    <row r="192" customFormat="false" ht="15" hidden="false" customHeight="false" outlineLevel="0" collapsed="false">
      <c r="K192" s="0" t="str">
        <f aca="true">IF(A192="","",IF(I192&lt;&gt;"",I192-G192,IF(G192&lt;&gt;"",TODAY()-G192,"")))</f>
        <v/>
      </c>
      <c r="O192" s="13" t="str">
        <f aca="false">IF(A192="","",MAX(F192+0,G192+0,H192+0,I192+0))</f>
        <v/>
      </c>
      <c r="P192" s="0" t="str">
        <f aca="true">IF(A192="","",IF(OR(J192="Approved",J192="Approved as Noted"),"",TODAY()-O192))</f>
        <v/>
      </c>
    </row>
    <row r="193" customFormat="false" ht="15" hidden="false" customHeight="false" outlineLevel="0" collapsed="false">
      <c r="K193" s="0" t="str">
        <f aca="true">IF(A193="","",IF(I193&lt;&gt;"",I193-G193,IF(G193&lt;&gt;"",TODAY()-G193,"")))</f>
        <v/>
      </c>
      <c r="O193" s="13" t="str">
        <f aca="false">IF(A193="","",MAX(F193+0,G193+0,H193+0,I193+0))</f>
        <v/>
      </c>
      <c r="P193" s="0" t="str">
        <f aca="true">IF(A193="","",IF(OR(J193="Approved",J193="Approved as Noted"),"",TODAY()-O193))</f>
        <v/>
      </c>
    </row>
    <row r="194" customFormat="false" ht="15" hidden="false" customHeight="false" outlineLevel="0" collapsed="false">
      <c r="K194" s="0" t="str">
        <f aca="true">IF(A194="","",IF(I194&lt;&gt;"",I194-G194,IF(G194&lt;&gt;"",TODAY()-G194,"")))</f>
        <v/>
      </c>
      <c r="O194" s="13" t="str">
        <f aca="false">IF(A194="","",MAX(F194+0,G194+0,H194+0,I194+0))</f>
        <v/>
      </c>
      <c r="P194" s="0" t="str">
        <f aca="true">IF(A194="","",IF(OR(J194="Approved",J194="Approved as Noted"),"",TODAY()-O194))</f>
        <v/>
      </c>
    </row>
    <row r="195" customFormat="false" ht="15" hidden="false" customHeight="false" outlineLevel="0" collapsed="false">
      <c r="K195" s="0" t="str">
        <f aca="true">IF(A195="","",IF(I195&lt;&gt;"",I195-G195,IF(G195&lt;&gt;"",TODAY()-G195,"")))</f>
        <v/>
      </c>
      <c r="O195" s="13" t="str">
        <f aca="false">IF(A195="","",MAX(F195+0,G195+0,H195+0,I195+0))</f>
        <v/>
      </c>
      <c r="P195" s="0" t="str">
        <f aca="true">IF(A195="","",IF(OR(J195="Approved",J195="Approved as Noted"),"",TODAY()-O195))</f>
        <v/>
      </c>
    </row>
    <row r="196" customFormat="false" ht="15" hidden="false" customHeight="false" outlineLevel="0" collapsed="false">
      <c r="K196" s="0" t="str">
        <f aca="true">IF(A196="","",IF(I196&lt;&gt;"",I196-G196,IF(G196&lt;&gt;"",TODAY()-G196,"")))</f>
        <v/>
      </c>
      <c r="O196" s="13" t="str">
        <f aca="false">IF(A196="","",MAX(F196+0,G196+0,H196+0,I196+0))</f>
        <v/>
      </c>
      <c r="P196" s="0" t="str">
        <f aca="true">IF(A196="","",IF(OR(J196="Approved",J196="Approved as Noted"),"",TODAY()-O196))</f>
        <v/>
      </c>
    </row>
    <row r="197" customFormat="false" ht="15" hidden="false" customHeight="false" outlineLevel="0" collapsed="false">
      <c r="K197" s="0" t="str">
        <f aca="true">IF(A197="","",IF(I197&lt;&gt;"",I197-G197,IF(G197&lt;&gt;"",TODAY()-G197,"")))</f>
        <v/>
      </c>
      <c r="O197" s="13" t="str">
        <f aca="false">IF(A197="","",MAX(F197+0,G197+0,H197+0,I197+0))</f>
        <v/>
      </c>
      <c r="P197" s="0" t="str">
        <f aca="true">IF(A197="","",IF(OR(J197="Approved",J197="Approved as Noted"),"",TODAY()-O197))</f>
        <v/>
      </c>
    </row>
    <row r="198" customFormat="false" ht="15" hidden="false" customHeight="false" outlineLevel="0" collapsed="false">
      <c r="K198" s="0" t="str">
        <f aca="true">IF(A198="","",IF(I198&lt;&gt;"",I198-G198,IF(G198&lt;&gt;"",TODAY()-G198,"")))</f>
        <v/>
      </c>
      <c r="O198" s="13" t="str">
        <f aca="false">IF(A198="","",MAX(F198+0,G198+0,H198+0,I198+0))</f>
        <v/>
      </c>
      <c r="P198" s="0" t="str">
        <f aca="true">IF(A198="","",IF(OR(J198="Approved",J198="Approved as Noted"),"",TODAY()-O198))</f>
        <v/>
      </c>
    </row>
    <row r="199" customFormat="false" ht="15" hidden="false" customHeight="false" outlineLevel="0" collapsed="false">
      <c r="K199" s="0" t="str">
        <f aca="true">IF(A199="","",IF(I199&lt;&gt;"",I199-G199,IF(G199&lt;&gt;"",TODAY()-G199,"")))</f>
        <v/>
      </c>
      <c r="O199" s="13" t="str">
        <f aca="false">IF(A199="","",MAX(F199+0,G199+0,H199+0,I199+0))</f>
        <v/>
      </c>
      <c r="P199" s="0" t="str">
        <f aca="true">IF(A199="","",IF(OR(J199="Approved",J199="Approved as Noted"),"",TODAY()-O199))</f>
        <v/>
      </c>
    </row>
    <row r="200" customFormat="false" ht="15" hidden="false" customHeight="false" outlineLevel="0" collapsed="false">
      <c r="K200" s="0" t="str">
        <f aca="true">IF(A200="","",IF(I200&lt;&gt;"",I200-G200,IF(G200&lt;&gt;"",TODAY()-G200,"")))</f>
        <v/>
      </c>
      <c r="O200" s="13" t="str">
        <f aca="false">IF(A200="","",MAX(F200+0,G200+0,H200+0,I200+0))</f>
        <v/>
      </c>
      <c r="P200" s="0" t="str">
        <f aca="true">IF(A200="","",IF(OR(J200="Approved",J200="Approved as Noted"),"",TODAY()-O200))</f>
        <v/>
      </c>
    </row>
    <row r="201" customFormat="false" ht="15" hidden="false" customHeight="false" outlineLevel="0" collapsed="false">
      <c r="K201" s="0" t="str">
        <f aca="true">IF(A201="","",IF(I201&lt;&gt;"",I201-G201,IF(G201&lt;&gt;"",TODAY()-G201,"")))</f>
        <v/>
      </c>
      <c r="O201" s="13" t="str">
        <f aca="false">IF(A201="","",MAX(F201+0,G201+0,H201+0,I201+0))</f>
        <v/>
      </c>
      <c r="P201" s="0" t="str">
        <f aca="true">IF(A201="","",IF(OR(J201="Approved",J201="Approved as Noted"),"",TODAY()-O201))</f>
        <v/>
      </c>
    </row>
    <row r="202" customFormat="false" ht="15" hidden="false" customHeight="false" outlineLevel="0" collapsed="false">
      <c r="K202" s="0" t="str">
        <f aca="true">IF(A202="","",IF(I202&lt;&gt;"",I202-G202,IF(G202&lt;&gt;"",TODAY()-G202,"")))</f>
        <v/>
      </c>
      <c r="O202" s="13" t="str">
        <f aca="false">IF(A202="","",MAX(F202+0,G202+0,H202+0,I202+0))</f>
        <v/>
      </c>
      <c r="P202" s="0" t="str">
        <f aca="true">IF(A202="","",IF(OR(J202="Approved",J202="Approved as Noted"),"",TODAY()-O202))</f>
        <v/>
      </c>
    </row>
    <row r="203" customFormat="false" ht="15" hidden="false" customHeight="false" outlineLevel="0" collapsed="false">
      <c r="K203" s="0" t="str">
        <f aca="true">IF(A203="","",IF(I203&lt;&gt;"",I203-G203,IF(G203&lt;&gt;"",TODAY()-G203,"")))</f>
        <v/>
      </c>
      <c r="O203" s="13" t="str">
        <f aca="false">IF(A203="","",MAX(F203+0,G203+0,H203+0,I203+0))</f>
        <v/>
      </c>
      <c r="P203" s="0" t="str">
        <f aca="true">IF(A203="","",IF(OR(J203="Approved",J203="Approved as Noted"),"",TODAY()-O203))</f>
        <v/>
      </c>
    </row>
    <row r="204" customFormat="false" ht="15" hidden="false" customHeight="false" outlineLevel="0" collapsed="false">
      <c r="K204" s="0" t="str">
        <f aca="true">IF(A204="","",IF(I204&lt;&gt;"",I204-G204,IF(G204&lt;&gt;"",TODAY()-G204,"")))</f>
        <v/>
      </c>
      <c r="O204" s="13" t="str">
        <f aca="false">IF(A204="","",MAX(F204+0,G204+0,H204+0,I204+0))</f>
        <v/>
      </c>
      <c r="P204" s="0" t="str">
        <f aca="true">IF(A204="","",IF(OR(J204="Approved",J204="Approved as Noted"),"",TODAY()-O204))</f>
        <v/>
      </c>
    </row>
    <row r="205" customFormat="false" ht="15" hidden="false" customHeight="false" outlineLevel="0" collapsed="false">
      <c r="K205" s="0" t="str">
        <f aca="true">IF(A205="","",IF(I205&lt;&gt;"",I205-G205,IF(G205&lt;&gt;"",TODAY()-G205,"")))</f>
        <v/>
      </c>
      <c r="O205" s="13" t="str">
        <f aca="false">IF(A205="","",MAX(F205+0,G205+0,H205+0,I205+0))</f>
        <v/>
      </c>
      <c r="P205" s="0" t="str">
        <f aca="true">IF(A205="","",IF(OR(J205="Approved",J205="Approved as Noted"),"",TODAY()-O205))</f>
        <v/>
      </c>
    </row>
    <row r="206" customFormat="false" ht="15" hidden="false" customHeight="false" outlineLevel="0" collapsed="false">
      <c r="K206" s="0" t="str">
        <f aca="true">IF(A206="","",IF(I206&lt;&gt;"",I206-G206,IF(G206&lt;&gt;"",TODAY()-G206,"")))</f>
        <v/>
      </c>
      <c r="O206" s="13" t="str">
        <f aca="false">IF(A206="","",MAX(F206+0,G206+0,H206+0,I206+0))</f>
        <v/>
      </c>
      <c r="P206" s="0" t="str">
        <f aca="true">IF(A206="","",IF(OR(J206="Approved",J206="Approved as Noted"),"",TODAY()-O206))</f>
        <v/>
      </c>
    </row>
    <row r="207" customFormat="false" ht="15" hidden="false" customHeight="false" outlineLevel="0" collapsed="false">
      <c r="K207" s="0" t="str">
        <f aca="true">IF(A207="","",IF(I207&lt;&gt;"",I207-G207,IF(G207&lt;&gt;"",TODAY()-G207,"")))</f>
        <v/>
      </c>
      <c r="O207" s="13" t="str">
        <f aca="false">IF(A207="","",MAX(F207+0,G207+0,H207+0,I207+0))</f>
        <v/>
      </c>
      <c r="P207" s="0" t="str">
        <f aca="true">IF(A207="","",IF(OR(J207="Approved",J207="Approved as Noted"),"",TODAY()-O207))</f>
        <v/>
      </c>
    </row>
    <row r="208" customFormat="false" ht="15" hidden="false" customHeight="false" outlineLevel="0" collapsed="false">
      <c r="K208" s="0" t="str">
        <f aca="true">IF(A208="","",IF(I208&lt;&gt;"",I208-G208,IF(G208&lt;&gt;"",TODAY()-G208,"")))</f>
        <v/>
      </c>
      <c r="O208" s="13" t="str">
        <f aca="false">IF(A208="","",MAX(F208+0,G208+0,H208+0,I208+0))</f>
        <v/>
      </c>
      <c r="P208" s="0" t="str">
        <f aca="true">IF(A208="","",IF(OR(J208="Approved",J208="Approved as Noted"),"",TODAY()-O208))</f>
        <v/>
      </c>
    </row>
    <row r="209" customFormat="false" ht="15" hidden="false" customHeight="false" outlineLevel="0" collapsed="false">
      <c r="K209" s="0" t="str">
        <f aca="true">IF(A209="","",IF(I209&lt;&gt;"",I209-G209,IF(G209&lt;&gt;"",TODAY()-G209,"")))</f>
        <v/>
      </c>
      <c r="O209" s="13" t="str">
        <f aca="false">IF(A209="","",MAX(F209+0,G209+0,H209+0,I209+0))</f>
        <v/>
      </c>
      <c r="P209" s="0" t="str">
        <f aca="true">IF(A209="","",IF(OR(J209="Approved",J209="Approved as Noted"),"",TODAY()-O209))</f>
        <v/>
      </c>
    </row>
    <row r="210" customFormat="false" ht="15" hidden="false" customHeight="false" outlineLevel="0" collapsed="false">
      <c r="K210" s="0" t="str">
        <f aca="true">IF(A210="","",IF(I210&lt;&gt;"",I210-G210,IF(G210&lt;&gt;"",TODAY()-G210,"")))</f>
        <v/>
      </c>
      <c r="O210" s="13" t="str">
        <f aca="false">IF(A210="","",MAX(F210+0,G210+0,H210+0,I210+0))</f>
        <v/>
      </c>
      <c r="P210" s="0" t="str">
        <f aca="true">IF(A210="","",IF(OR(J210="Approved",J210="Approved as Noted"),"",TODAY()-O210))</f>
        <v/>
      </c>
    </row>
    <row r="211" customFormat="false" ht="15" hidden="false" customHeight="false" outlineLevel="0" collapsed="false">
      <c r="K211" s="0" t="str">
        <f aca="true">IF(A211="","",IF(I211&lt;&gt;"",I211-G211,IF(G211&lt;&gt;"",TODAY()-G211,"")))</f>
        <v/>
      </c>
      <c r="O211" s="13" t="str">
        <f aca="false">IF(A211="","",MAX(F211+0,G211+0,H211+0,I211+0))</f>
        <v/>
      </c>
      <c r="P211" s="0" t="str">
        <f aca="true">IF(A211="","",IF(OR(J211="Approved",J211="Approved as Noted"),"",TODAY()-O211))</f>
        <v/>
      </c>
    </row>
    <row r="212" customFormat="false" ht="15" hidden="false" customHeight="false" outlineLevel="0" collapsed="false">
      <c r="K212" s="0" t="str">
        <f aca="true">IF(A212="","",IF(I212&lt;&gt;"",I212-G212,IF(G212&lt;&gt;"",TODAY()-G212,"")))</f>
        <v/>
      </c>
      <c r="O212" s="13" t="str">
        <f aca="false">IF(A212="","",MAX(F212+0,G212+0,H212+0,I212+0))</f>
        <v/>
      </c>
      <c r="P212" s="0" t="str">
        <f aca="true">IF(A212="","",IF(OR(J212="Approved",J212="Approved as Noted"),"",TODAY()-O212))</f>
        <v/>
      </c>
    </row>
    <row r="213" customFormat="false" ht="15" hidden="false" customHeight="false" outlineLevel="0" collapsed="false">
      <c r="K213" s="0" t="str">
        <f aca="true">IF(A213="","",IF(I213&lt;&gt;"",I213-G213,IF(G213&lt;&gt;"",TODAY()-G213,"")))</f>
        <v/>
      </c>
      <c r="O213" s="13" t="str">
        <f aca="false">IF(A213="","",MAX(F213+0,G213+0,H213+0,I213+0))</f>
        <v/>
      </c>
      <c r="P213" s="0" t="str">
        <f aca="true">IF(A213="","",IF(OR(J213="Approved",J213="Approved as Noted"),"",TODAY()-O213))</f>
        <v/>
      </c>
    </row>
    <row r="214" customFormat="false" ht="15" hidden="false" customHeight="false" outlineLevel="0" collapsed="false">
      <c r="K214" s="0" t="str">
        <f aca="true">IF(A214="","",IF(I214&lt;&gt;"",I214-G214,IF(G214&lt;&gt;"",TODAY()-G214,"")))</f>
        <v/>
      </c>
      <c r="O214" s="13" t="str">
        <f aca="false">IF(A214="","",MAX(F214+0,G214+0,H214+0,I214+0))</f>
        <v/>
      </c>
      <c r="P214" s="0" t="str">
        <f aca="true">IF(A214="","",IF(OR(J214="Approved",J214="Approved as Noted"),"",TODAY()-O214))</f>
        <v/>
      </c>
    </row>
    <row r="215" customFormat="false" ht="15" hidden="false" customHeight="false" outlineLevel="0" collapsed="false">
      <c r="K215" s="0" t="str">
        <f aca="true">IF(A215="","",IF(I215&lt;&gt;"",I215-G215,IF(G215&lt;&gt;"",TODAY()-G215,"")))</f>
        <v/>
      </c>
      <c r="O215" s="13" t="str">
        <f aca="false">IF(A215="","",MAX(F215+0,G215+0,H215+0,I215+0))</f>
        <v/>
      </c>
      <c r="P215" s="0" t="str">
        <f aca="true">IF(A215="","",IF(OR(J215="Approved",J215="Approved as Noted"),"",TODAY()-O215))</f>
        <v/>
      </c>
    </row>
    <row r="216" customFormat="false" ht="15" hidden="false" customHeight="false" outlineLevel="0" collapsed="false">
      <c r="K216" s="0" t="str">
        <f aca="true">IF(A216="","",IF(I216&lt;&gt;"",I216-G216,IF(G216&lt;&gt;"",TODAY()-G216,"")))</f>
        <v/>
      </c>
      <c r="O216" s="13" t="str">
        <f aca="false">IF(A216="","",MAX(F216+0,G216+0,H216+0,I216+0))</f>
        <v/>
      </c>
      <c r="P216" s="0" t="str">
        <f aca="true">IF(A216="","",IF(OR(J216="Approved",J216="Approved as Noted"),"",TODAY()-O216))</f>
        <v/>
      </c>
    </row>
    <row r="217" customFormat="false" ht="15" hidden="false" customHeight="false" outlineLevel="0" collapsed="false">
      <c r="K217" s="0" t="str">
        <f aca="true">IF(A217="","",IF(I217&lt;&gt;"",I217-G217,IF(G217&lt;&gt;"",TODAY()-G217,"")))</f>
        <v/>
      </c>
      <c r="O217" s="13" t="str">
        <f aca="false">IF(A217="","",MAX(F217+0,G217+0,H217+0,I217+0))</f>
        <v/>
      </c>
      <c r="P217" s="0" t="str">
        <f aca="true">IF(A217="","",IF(OR(J217="Approved",J217="Approved as Noted"),"",TODAY()-O217))</f>
        <v/>
      </c>
    </row>
    <row r="218" customFormat="false" ht="15" hidden="false" customHeight="false" outlineLevel="0" collapsed="false">
      <c r="K218" s="0" t="str">
        <f aca="true">IF(A218="","",IF(I218&lt;&gt;"",I218-G218,IF(G218&lt;&gt;"",TODAY()-G218,"")))</f>
        <v/>
      </c>
      <c r="O218" s="13" t="str">
        <f aca="false">IF(A218="","",MAX(F218+0,G218+0,H218+0,I218+0))</f>
        <v/>
      </c>
      <c r="P218" s="0" t="str">
        <f aca="true">IF(A218="","",IF(OR(J218="Approved",J218="Approved as Noted"),"",TODAY()-O218))</f>
        <v/>
      </c>
    </row>
    <row r="219" customFormat="false" ht="15" hidden="false" customHeight="false" outlineLevel="0" collapsed="false">
      <c r="K219" s="0" t="str">
        <f aca="true">IF(A219="","",IF(I219&lt;&gt;"",I219-G219,IF(G219&lt;&gt;"",TODAY()-G219,"")))</f>
        <v/>
      </c>
      <c r="O219" s="13" t="str">
        <f aca="false">IF(A219="","",MAX(F219+0,G219+0,H219+0,I219+0))</f>
        <v/>
      </c>
      <c r="P219" s="0" t="str">
        <f aca="true">IF(A219="","",IF(OR(J219="Approved",J219="Approved as Noted"),"",TODAY()-O219))</f>
        <v/>
      </c>
    </row>
    <row r="220" customFormat="false" ht="15" hidden="false" customHeight="false" outlineLevel="0" collapsed="false">
      <c r="K220" s="0" t="str">
        <f aca="true">IF(A220="","",IF(I220&lt;&gt;"",I220-G220,IF(G220&lt;&gt;"",TODAY()-G220,"")))</f>
        <v/>
      </c>
      <c r="O220" s="13" t="str">
        <f aca="false">IF(A220="","",MAX(F220+0,G220+0,H220+0,I220+0))</f>
        <v/>
      </c>
      <c r="P220" s="0" t="str">
        <f aca="true">IF(A220="","",IF(OR(J220="Approved",J220="Approved as Noted"),"",TODAY()-O220))</f>
        <v/>
      </c>
    </row>
    <row r="221" customFormat="false" ht="15" hidden="false" customHeight="false" outlineLevel="0" collapsed="false">
      <c r="K221" s="0" t="str">
        <f aca="true">IF(A221="","",IF(I221&lt;&gt;"",I221-G221,IF(G221&lt;&gt;"",TODAY()-G221,"")))</f>
        <v/>
      </c>
      <c r="O221" s="13" t="str">
        <f aca="false">IF(A221="","",MAX(F221+0,G221+0,H221+0,I221+0))</f>
        <v/>
      </c>
      <c r="P221" s="0" t="str">
        <f aca="true">IF(A221="","",IF(OR(J221="Approved",J221="Approved as Noted"),"",TODAY()-O221))</f>
        <v/>
      </c>
    </row>
    <row r="222" customFormat="false" ht="15" hidden="false" customHeight="false" outlineLevel="0" collapsed="false">
      <c r="K222" s="0" t="str">
        <f aca="true">IF(A222="","",IF(I222&lt;&gt;"",I222-G222,IF(G222&lt;&gt;"",TODAY()-G222,"")))</f>
        <v/>
      </c>
      <c r="O222" s="13" t="str">
        <f aca="false">IF(A222="","",MAX(F222+0,G222+0,H222+0,I222+0))</f>
        <v/>
      </c>
      <c r="P222" s="0" t="str">
        <f aca="true">IF(A222="","",IF(OR(J222="Approved",J222="Approved as Noted"),"",TODAY()-O222))</f>
        <v/>
      </c>
    </row>
    <row r="223" customFormat="false" ht="15" hidden="false" customHeight="false" outlineLevel="0" collapsed="false">
      <c r="K223" s="0" t="str">
        <f aca="true">IF(A223="","",IF(I223&lt;&gt;"",I223-G223,IF(G223&lt;&gt;"",TODAY()-G223,"")))</f>
        <v/>
      </c>
      <c r="O223" s="13" t="str">
        <f aca="false">IF(A223="","",MAX(F223+0,G223+0,H223+0,I223+0))</f>
        <v/>
      </c>
      <c r="P223" s="0" t="str">
        <f aca="true">IF(A223="","",IF(OR(J223="Approved",J223="Approved as Noted"),"",TODAY()-O223))</f>
        <v/>
      </c>
    </row>
    <row r="224" customFormat="false" ht="15" hidden="false" customHeight="false" outlineLevel="0" collapsed="false">
      <c r="K224" s="0" t="str">
        <f aca="true">IF(A224="","",IF(I224&lt;&gt;"",I224-G224,IF(G224&lt;&gt;"",TODAY()-G224,"")))</f>
        <v/>
      </c>
      <c r="O224" s="13" t="str">
        <f aca="false">IF(A224="","",MAX(F224+0,G224+0,H224+0,I224+0))</f>
        <v/>
      </c>
      <c r="P224" s="0" t="str">
        <f aca="true">IF(A224="","",IF(OR(J224="Approved",J224="Approved as Noted"),"",TODAY()-O224))</f>
        <v/>
      </c>
    </row>
    <row r="225" customFormat="false" ht="15" hidden="false" customHeight="false" outlineLevel="0" collapsed="false">
      <c r="K225" s="0" t="str">
        <f aca="true">IF(A225="","",IF(I225&lt;&gt;"",I225-G225,IF(G225&lt;&gt;"",TODAY()-G225,"")))</f>
        <v/>
      </c>
      <c r="O225" s="13" t="str">
        <f aca="false">IF(A225="","",MAX(F225+0,G225+0,H225+0,I225+0))</f>
        <v/>
      </c>
      <c r="P225" s="0" t="str">
        <f aca="true">IF(A225="","",IF(OR(J225="Approved",J225="Approved as Noted"),"",TODAY()-O225))</f>
        <v/>
      </c>
    </row>
    <row r="226" customFormat="false" ht="15" hidden="false" customHeight="false" outlineLevel="0" collapsed="false">
      <c r="K226" s="0" t="str">
        <f aca="true">IF(A226="","",IF(I226&lt;&gt;"",I226-G226,IF(G226&lt;&gt;"",TODAY()-G226,"")))</f>
        <v/>
      </c>
      <c r="O226" s="13" t="str">
        <f aca="false">IF(A226="","",MAX(F226+0,G226+0,H226+0,I226+0))</f>
        <v/>
      </c>
      <c r="P226" s="0" t="str">
        <f aca="true">IF(A226="","",IF(OR(J226="Approved",J226="Approved as Noted"),"",TODAY()-O226))</f>
        <v/>
      </c>
    </row>
    <row r="227" customFormat="false" ht="15" hidden="false" customHeight="false" outlineLevel="0" collapsed="false">
      <c r="K227" s="0" t="str">
        <f aca="true">IF(A227="","",IF(I227&lt;&gt;"",I227-G227,IF(G227&lt;&gt;"",TODAY()-G227,"")))</f>
        <v/>
      </c>
      <c r="O227" s="13" t="str">
        <f aca="false">IF(A227="","",MAX(F227+0,G227+0,H227+0,I227+0))</f>
        <v/>
      </c>
      <c r="P227" s="0" t="str">
        <f aca="true">IF(A227="","",IF(OR(J227="Approved",J227="Approved as Noted"),"",TODAY()-O227))</f>
        <v/>
      </c>
    </row>
    <row r="228" customFormat="false" ht="15" hidden="false" customHeight="false" outlineLevel="0" collapsed="false">
      <c r="K228" s="0" t="str">
        <f aca="true">IF(A228="","",IF(I228&lt;&gt;"",I228-G228,IF(G228&lt;&gt;"",TODAY()-G228,"")))</f>
        <v/>
      </c>
      <c r="O228" s="13" t="str">
        <f aca="false">IF(A228="","",MAX(F228+0,G228+0,H228+0,I228+0))</f>
        <v/>
      </c>
      <c r="P228" s="0" t="str">
        <f aca="true">IF(A228="","",IF(OR(J228="Approved",J228="Approved as Noted"),"",TODAY()-O228))</f>
        <v/>
      </c>
    </row>
    <row r="229" customFormat="false" ht="15" hidden="false" customHeight="false" outlineLevel="0" collapsed="false">
      <c r="K229" s="0" t="str">
        <f aca="true">IF(A229="","",IF(I229&lt;&gt;"",I229-G229,IF(G229&lt;&gt;"",TODAY()-G229,"")))</f>
        <v/>
      </c>
      <c r="O229" s="13" t="str">
        <f aca="false">IF(A229="","",MAX(F229+0,G229+0,H229+0,I229+0))</f>
        <v/>
      </c>
      <c r="P229" s="0" t="str">
        <f aca="true">IF(A229="","",IF(OR(J229="Approved",J229="Approved as Noted"),"",TODAY()-O229))</f>
        <v/>
      </c>
    </row>
    <row r="230" customFormat="false" ht="15" hidden="false" customHeight="false" outlineLevel="0" collapsed="false">
      <c r="K230" s="0" t="str">
        <f aca="true">IF(A230="","",IF(I230&lt;&gt;"",I230-G230,IF(G230&lt;&gt;"",TODAY()-G230,"")))</f>
        <v/>
      </c>
      <c r="O230" s="13" t="str">
        <f aca="false">IF(A230="","",MAX(F230+0,G230+0,H230+0,I230+0))</f>
        <v/>
      </c>
      <c r="P230" s="0" t="str">
        <f aca="true">IF(A230="","",IF(OR(J230="Approved",J230="Approved as Noted"),"",TODAY()-O230))</f>
        <v/>
      </c>
    </row>
    <row r="231" customFormat="false" ht="15" hidden="false" customHeight="false" outlineLevel="0" collapsed="false">
      <c r="K231" s="0" t="str">
        <f aca="true">IF(A231="","",IF(I231&lt;&gt;"",I231-G231,IF(G231&lt;&gt;"",TODAY()-G231,"")))</f>
        <v/>
      </c>
      <c r="O231" s="13" t="str">
        <f aca="false">IF(A231="","",MAX(F231+0,G231+0,H231+0,I231+0))</f>
        <v/>
      </c>
      <c r="P231" s="0" t="str">
        <f aca="true">IF(A231="","",IF(OR(J231="Approved",J231="Approved as Noted"),"",TODAY()-O231))</f>
        <v/>
      </c>
    </row>
    <row r="232" customFormat="false" ht="15" hidden="false" customHeight="false" outlineLevel="0" collapsed="false">
      <c r="K232" s="0" t="str">
        <f aca="true">IF(A232="","",IF(I232&lt;&gt;"",I232-G232,IF(G232&lt;&gt;"",TODAY()-G232,"")))</f>
        <v/>
      </c>
      <c r="O232" s="13" t="str">
        <f aca="false">IF(A232="","",MAX(F232+0,G232+0,H232+0,I232+0))</f>
        <v/>
      </c>
      <c r="P232" s="0" t="str">
        <f aca="true">IF(A232="","",IF(OR(J232="Approved",J232="Approved as Noted"),"",TODAY()-O232))</f>
        <v/>
      </c>
    </row>
    <row r="233" customFormat="false" ht="15" hidden="false" customHeight="false" outlineLevel="0" collapsed="false">
      <c r="K233" s="0" t="str">
        <f aca="true">IF(A233="","",IF(I233&lt;&gt;"",I233-G233,IF(G233&lt;&gt;"",TODAY()-G233,"")))</f>
        <v/>
      </c>
      <c r="O233" s="13" t="str">
        <f aca="false">IF(A233="","",MAX(F233+0,G233+0,H233+0,I233+0))</f>
        <v/>
      </c>
      <c r="P233" s="0" t="str">
        <f aca="true">IF(A233="","",IF(OR(J233="Approved",J233="Approved as Noted"),"",TODAY()-O233))</f>
        <v/>
      </c>
    </row>
    <row r="234" customFormat="false" ht="15" hidden="false" customHeight="false" outlineLevel="0" collapsed="false">
      <c r="K234" s="0" t="str">
        <f aca="true">IF(A234="","",IF(I234&lt;&gt;"",I234-G234,IF(G234&lt;&gt;"",TODAY()-G234,"")))</f>
        <v/>
      </c>
      <c r="O234" s="13" t="str">
        <f aca="false">IF(A234="","",MAX(F234+0,G234+0,H234+0,I234+0))</f>
        <v/>
      </c>
      <c r="P234" s="0" t="str">
        <f aca="true">IF(A234="","",IF(OR(J234="Approved",J234="Approved as Noted"),"",TODAY()-O234))</f>
        <v/>
      </c>
    </row>
    <row r="235" customFormat="false" ht="15" hidden="false" customHeight="false" outlineLevel="0" collapsed="false">
      <c r="K235" s="0" t="str">
        <f aca="true">IF(A235="","",IF(I235&lt;&gt;"",I235-G235,IF(G235&lt;&gt;"",TODAY()-G235,"")))</f>
        <v/>
      </c>
      <c r="O235" s="13" t="str">
        <f aca="false">IF(A235="","",MAX(F235+0,G235+0,H235+0,I235+0))</f>
        <v/>
      </c>
      <c r="P235" s="0" t="str">
        <f aca="true">IF(A235="","",IF(OR(J235="Approved",J235="Approved as Noted"),"",TODAY()-O235))</f>
        <v/>
      </c>
    </row>
    <row r="236" customFormat="false" ht="15" hidden="false" customHeight="false" outlineLevel="0" collapsed="false">
      <c r="K236" s="0" t="str">
        <f aca="true">IF(A236="","",IF(I236&lt;&gt;"",I236-G236,IF(G236&lt;&gt;"",TODAY()-G236,"")))</f>
        <v/>
      </c>
      <c r="O236" s="13" t="str">
        <f aca="false">IF(A236="","",MAX(F236+0,G236+0,H236+0,I236+0))</f>
        <v/>
      </c>
      <c r="P236" s="0" t="str">
        <f aca="true">IF(A236="","",IF(OR(J236="Approved",J236="Approved as Noted"),"",TODAY()-O236))</f>
        <v/>
      </c>
    </row>
    <row r="237" customFormat="false" ht="15" hidden="false" customHeight="false" outlineLevel="0" collapsed="false">
      <c r="K237" s="0" t="str">
        <f aca="true">IF(A237="","",IF(I237&lt;&gt;"",I237-G237,IF(G237&lt;&gt;"",TODAY()-G237,"")))</f>
        <v/>
      </c>
      <c r="O237" s="13" t="str">
        <f aca="false">IF(A237="","",MAX(F237+0,G237+0,H237+0,I237+0))</f>
        <v/>
      </c>
      <c r="P237" s="0" t="str">
        <f aca="true">IF(A237="","",IF(OR(J237="Approved",J237="Approved as Noted"),"",TODAY()-O237))</f>
        <v/>
      </c>
    </row>
    <row r="238" customFormat="false" ht="15" hidden="false" customHeight="false" outlineLevel="0" collapsed="false">
      <c r="K238" s="0" t="str">
        <f aca="true">IF(A238="","",IF(I238&lt;&gt;"",I238-G238,IF(G238&lt;&gt;"",TODAY()-G238,"")))</f>
        <v/>
      </c>
      <c r="O238" s="13" t="str">
        <f aca="false">IF(A238="","",MAX(F238+0,G238+0,H238+0,I238+0))</f>
        <v/>
      </c>
      <c r="P238" s="0" t="str">
        <f aca="true">IF(A238="","",IF(OR(J238="Approved",J238="Approved as Noted"),"",TODAY()-O238))</f>
        <v/>
      </c>
    </row>
    <row r="239" customFormat="false" ht="15" hidden="false" customHeight="false" outlineLevel="0" collapsed="false">
      <c r="K239" s="0" t="str">
        <f aca="true">IF(A239="","",IF(I239&lt;&gt;"",I239-G239,IF(G239&lt;&gt;"",TODAY()-G239,"")))</f>
        <v/>
      </c>
      <c r="O239" s="13" t="str">
        <f aca="false">IF(A239="","",MAX(F239+0,G239+0,H239+0,I239+0))</f>
        <v/>
      </c>
      <c r="P239" s="0" t="str">
        <f aca="true">IF(A239="","",IF(OR(J239="Approved",J239="Approved as Noted"),"",TODAY()-O239))</f>
        <v/>
      </c>
    </row>
    <row r="240" customFormat="false" ht="15" hidden="false" customHeight="false" outlineLevel="0" collapsed="false">
      <c r="K240" s="0" t="str">
        <f aca="true">IF(A240="","",IF(I240&lt;&gt;"",I240-G240,IF(G240&lt;&gt;"",TODAY()-G240,"")))</f>
        <v/>
      </c>
      <c r="O240" s="13" t="str">
        <f aca="false">IF(A240="","",MAX(F240+0,G240+0,H240+0,I240+0))</f>
        <v/>
      </c>
      <c r="P240" s="0" t="str">
        <f aca="true">IF(A240="","",IF(OR(J240="Approved",J240="Approved as Noted"),"",TODAY()-O240))</f>
        <v/>
      </c>
    </row>
    <row r="241" customFormat="false" ht="15" hidden="false" customHeight="false" outlineLevel="0" collapsed="false">
      <c r="K241" s="0" t="str">
        <f aca="true">IF(A241="","",IF(I241&lt;&gt;"",I241-G241,IF(G241&lt;&gt;"",TODAY()-G241,"")))</f>
        <v/>
      </c>
      <c r="O241" s="13" t="str">
        <f aca="false">IF(A241="","",MAX(F241+0,G241+0,H241+0,I241+0))</f>
        <v/>
      </c>
      <c r="P241" s="0" t="str">
        <f aca="true">IF(A241="","",IF(OR(J241="Approved",J241="Approved as Noted"),"",TODAY()-O241))</f>
        <v/>
      </c>
    </row>
    <row r="242" customFormat="false" ht="15" hidden="false" customHeight="false" outlineLevel="0" collapsed="false">
      <c r="K242" s="0" t="str">
        <f aca="true">IF(A242="","",IF(I242&lt;&gt;"",I242-G242,IF(G242&lt;&gt;"",TODAY()-G242,"")))</f>
        <v/>
      </c>
      <c r="O242" s="13" t="str">
        <f aca="false">IF(A242="","",MAX(F242+0,G242+0,H242+0,I242+0))</f>
        <v/>
      </c>
      <c r="P242" s="0" t="str">
        <f aca="true">IF(A242="","",IF(OR(J242="Approved",J242="Approved as Noted"),"",TODAY()-O242))</f>
        <v/>
      </c>
    </row>
    <row r="243" customFormat="false" ht="15" hidden="false" customHeight="false" outlineLevel="0" collapsed="false">
      <c r="K243" s="0" t="str">
        <f aca="true">IF(A243="","",IF(I243&lt;&gt;"",I243-G243,IF(G243&lt;&gt;"",TODAY()-G243,"")))</f>
        <v/>
      </c>
      <c r="O243" s="13" t="str">
        <f aca="false">IF(A243="","",MAX(F243+0,G243+0,H243+0,I243+0))</f>
        <v/>
      </c>
      <c r="P243" s="0" t="str">
        <f aca="true">IF(A243="","",IF(OR(J243="Approved",J243="Approved as Noted"),"",TODAY()-O243))</f>
        <v/>
      </c>
    </row>
    <row r="244" customFormat="false" ht="15" hidden="false" customHeight="false" outlineLevel="0" collapsed="false">
      <c r="K244" s="0" t="str">
        <f aca="true">IF(A244="","",IF(I244&lt;&gt;"",I244-G244,IF(G244&lt;&gt;"",TODAY()-G244,"")))</f>
        <v/>
      </c>
      <c r="O244" s="13" t="str">
        <f aca="false">IF(A244="","",MAX(F244+0,G244+0,H244+0,I244+0))</f>
        <v/>
      </c>
      <c r="P244" s="0" t="str">
        <f aca="true">IF(A244="","",IF(OR(J244="Approved",J244="Approved as Noted"),"",TODAY()-O244))</f>
        <v/>
      </c>
    </row>
    <row r="245" customFormat="false" ht="15" hidden="false" customHeight="false" outlineLevel="0" collapsed="false">
      <c r="K245" s="0" t="str">
        <f aca="true">IF(A245="","",IF(I245&lt;&gt;"",I245-G245,IF(G245&lt;&gt;"",TODAY()-G245,"")))</f>
        <v/>
      </c>
      <c r="O245" s="13" t="str">
        <f aca="false">IF(A245="","",MAX(F245+0,G245+0,H245+0,I245+0))</f>
        <v/>
      </c>
      <c r="P245" s="0" t="str">
        <f aca="true">IF(A245="","",IF(OR(J245="Approved",J245="Approved as Noted"),"",TODAY()-O245))</f>
        <v/>
      </c>
    </row>
    <row r="246" customFormat="false" ht="15" hidden="false" customHeight="false" outlineLevel="0" collapsed="false">
      <c r="K246" s="0" t="str">
        <f aca="true">IF(A246="","",IF(I246&lt;&gt;"",I246-G246,IF(G246&lt;&gt;"",TODAY()-G246,"")))</f>
        <v/>
      </c>
      <c r="O246" s="13" t="str">
        <f aca="false">IF(A246="","",MAX(F246+0,G246+0,H246+0,I246+0))</f>
        <v/>
      </c>
      <c r="P246" s="0" t="str">
        <f aca="true">IF(A246="","",IF(OR(J246="Approved",J246="Approved as Noted"),"",TODAY()-O246))</f>
        <v/>
      </c>
    </row>
    <row r="247" customFormat="false" ht="15" hidden="false" customHeight="false" outlineLevel="0" collapsed="false">
      <c r="K247" s="0" t="str">
        <f aca="true">IF(A247="","",IF(I247&lt;&gt;"",I247-G247,IF(G247&lt;&gt;"",TODAY()-G247,"")))</f>
        <v/>
      </c>
      <c r="O247" s="13" t="str">
        <f aca="false">IF(A247="","",MAX(F247+0,G247+0,H247+0,I247+0))</f>
        <v/>
      </c>
      <c r="P247" s="0" t="str">
        <f aca="true">IF(A247="","",IF(OR(J247="Approved",J247="Approved as Noted"),"",TODAY()-O247))</f>
        <v/>
      </c>
    </row>
    <row r="248" customFormat="false" ht="15" hidden="false" customHeight="false" outlineLevel="0" collapsed="false">
      <c r="K248" s="0" t="str">
        <f aca="true">IF(A248="","",IF(I248&lt;&gt;"",I248-G248,IF(G248&lt;&gt;"",TODAY()-G248,"")))</f>
        <v/>
      </c>
      <c r="O248" s="13" t="str">
        <f aca="false">IF(A248="","",MAX(F248+0,G248+0,H248+0,I248+0))</f>
        <v/>
      </c>
      <c r="P248" s="0" t="str">
        <f aca="true">IF(A248="","",IF(OR(J248="Approved",J248="Approved as Noted"),"",TODAY()-O248))</f>
        <v/>
      </c>
    </row>
    <row r="249" customFormat="false" ht="15" hidden="false" customHeight="false" outlineLevel="0" collapsed="false">
      <c r="K249" s="0" t="str">
        <f aca="true">IF(A249="","",IF(I249&lt;&gt;"",I249-G249,IF(G249&lt;&gt;"",TODAY()-G249,"")))</f>
        <v/>
      </c>
      <c r="O249" s="13" t="str">
        <f aca="false">IF(A249="","",MAX(F249+0,G249+0,H249+0,I249+0))</f>
        <v/>
      </c>
      <c r="P249" s="0" t="str">
        <f aca="true">IF(A249="","",IF(OR(J249="Approved",J249="Approved as Noted"),"",TODAY()-O249))</f>
        <v/>
      </c>
    </row>
    <row r="250" customFormat="false" ht="15" hidden="false" customHeight="false" outlineLevel="0" collapsed="false">
      <c r="K250" s="0" t="str">
        <f aca="true">IF(A250="","",IF(I250&lt;&gt;"",I250-G250,IF(G250&lt;&gt;"",TODAY()-G250,"")))</f>
        <v/>
      </c>
      <c r="O250" s="13" t="str">
        <f aca="false">IF(A250="","",MAX(F250+0,G250+0,H250+0,I250+0))</f>
        <v/>
      </c>
      <c r="P250" s="0" t="str">
        <f aca="true">IF(A250="","",IF(OR(J250="Approved",J250="Approved as Noted"),"",TODAY()-O250))</f>
        <v/>
      </c>
    </row>
    <row r="251" customFormat="false" ht="15" hidden="false" customHeight="false" outlineLevel="0" collapsed="false">
      <c r="K251" s="0" t="str">
        <f aca="true">IF(A251="","",IF(I251&lt;&gt;"",I251-G251,IF(G251&lt;&gt;"",TODAY()-G251,"")))</f>
        <v/>
      </c>
      <c r="O251" s="13" t="str">
        <f aca="false">IF(A251="","",MAX(F251+0,G251+0,H251+0,I251+0))</f>
        <v/>
      </c>
      <c r="P251" s="0" t="str">
        <f aca="true">IF(A251="","",IF(OR(J251="Approved",J251="Approved as Noted"),"",TODAY()-O251))</f>
        <v/>
      </c>
    </row>
    <row r="252" customFormat="false" ht="15" hidden="false" customHeight="false" outlineLevel="0" collapsed="false">
      <c r="K252" s="0" t="str">
        <f aca="true">IF(A252="","",IF(I252&lt;&gt;"",I252-G252,IF(G252&lt;&gt;"",TODAY()-G252,"")))</f>
        <v/>
      </c>
      <c r="O252" s="13" t="str">
        <f aca="false">IF(A252="","",MAX(F252+0,G252+0,H252+0,I252+0))</f>
        <v/>
      </c>
      <c r="P252" s="0" t="str">
        <f aca="true">IF(A252="","",IF(OR(J252="Approved",J252="Approved as Noted"),"",TODAY()-O252))</f>
        <v/>
      </c>
    </row>
    <row r="253" customFormat="false" ht="15" hidden="false" customHeight="false" outlineLevel="0" collapsed="false">
      <c r="K253" s="0" t="str">
        <f aca="true">IF(A253="","",IF(I253&lt;&gt;"",I253-G253,IF(G253&lt;&gt;"",TODAY()-G253,"")))</f>
        <v/>
      </c>
      <c r="O253" s="13" t="str">
        <f aca="false">IF(A253="","",MAX(F253+0,G253+0,H253+0,I253+0))</f>
        <v/>
      </c>
      <c r="P253" s="0" t="str">
        <f aca="true">IF(A253="","",IF(OR(J253="Approved",J253="Approved as Noted"),"",TODAY()-O253))</f>
        <v/>
      </c>
    </row>
    <row r="254" customFormat="false" ht="15" hidden="false" customHeight="false" outlineLevel="0" collapsed="false">
      <c r="K254" s="0" t="str">
        <f aca="true">IF(A254="","",IF(I254&lt;&gt;"",I254-G254,IF(G254&lt;&gt;"",TODAY()-G254,"")))</f>
        <v/>
      </c>
      <c r="O254" s="13" t="str">
        <f aca="false">IF(A254="","",MAX(F254+0,G254+0,H254+0,I254+0))</f>
        <v/>
      </c>
      <c r="P254" s="0" t="str">
        <f aca="true">IF(A254="","",IF(OR(J254="Approved",J254="Approved as Noted"),"",TODAY()-O254))</f>
        <v/>
      </c>
    </row>
    <row r="255" customFormat="false" ht="15" hidden="false" customHeight="false" outlineLevel="0" collapsed="false">
      <c r="K255" s="0" t="str">
        <f aca="true">IF(A255="","",IF(I255&lt;&gt;"",I255-G255,IF(G255&lt;&gt;"",TODAY()-G255,"")))</f>
        <v/>
      </c>
      <c r="O255" s="13" t="str">
        <f aca="false">IF(A255="","",MAX(F255+0,G255+0,H255+0,I255+0))</f>
        <v/>
      </c>
      <c r="P255" s="0" t="str">
        <f aca="true">IF(A255="","",IF(OR(J255="Approved",J255="Approved as Noted"),"",TODAY()-O255))</f>
        <v/>
      </c>
    </row>
    <row r="256" customFormat="false" ht="15" hidden="false" customHeight="false" outlineLevel="0" collapsed="false">
      <c r="K256" s="0" t="str">
        <f aca="true">IF(A256="","",IF(I256&lt;&gt;"",I256-G256,IF(G256&lt;&gt;"",TODAY()-G256,"")))</f>
        <v/>
      </c>
      <c r="O256" s="13" t="str">
        <f aca="false">IF(A256="","",MAX(F256+0,G256+0,H256+0,I256+0))</f>
        <v/>
      </c>
      <c r="P256" s="0" t="str">
        <f aca="true">IF(A256="","",IF(OR(J256="Approved",J256="Approved as Noted"),"",TODAY()-O256))</f>
        <v/>
      </c>
    </row>
    <row r="257" customFormat="false" ht="15" hidden="false" customHeight="false" outlineLevel="0" collapsed="false">
      <c r="K257" s="0" t="str">
        <f aca="true">IF(A257="","",IF(I257&lt;&gt;"",I257-G257,IF(G257&lt;&gt;"",TODAY()-G257,"")))</f>
        <v/>
      </c>
      <c r="O257" s="13" t="str">
        <f aca="false">IF(A257="","",MAX(F257+0,G257+0,H257+0,I257+0))</f>
        <v/>
      </c>
      <c r="P257" s="0" t="str">
        <f aca="true">IF(A257="","",IF(OR(J257="Approved",J257="Approved as Noted"),"",TODAY()-O257))</f>
        <v/>
      </c>
    </row>
    <row r="258" customFormat="false" ht="15" hidden="false" customHeight="false" outlineLevel="0" collapsed="false">
      <c r="K258" s="0" t="str">
        <f aca="true">IF(A258="","",IF(I258&lt;&gt;"",I258-G258,IF(G258&lt;&gt;"",TODAY()-G258,"")))</f>
        <v/>
      </c>
      <c r="O258" s="13" t="str">
        <f aca="false">IF(A258="","",MAX(F258+0,G258+0,H258+0,I258+0))</f>
        <v/>
      </c>
      <c r="P258" s="0" t="str">
        <f aca="true">IF(A258="","",IF(OR(J258="Approved",J258="Approved as Noted"),"",TODAY()-O258))</f>
        <v/>
      </c>
    </row>
    <row r="259" customFormat="false" ht="15" hidden="false" customHeight="false" outlineLevel="0" collapsed="false">
      <c r="K259" s="0" t="str">
        <f aca="true">IF(A259="","",IF(I259&lt;&gt;"",I259-G259,IF(G259&lt;&gt;"",TODAY()-G259,"")))</f>
        <v/>
      </c>
      <c r="O259" s="13" t="str">
        <f aca="false">IF(A259="","",MAX(F259+0,G259+0,H259+0,I259+0))</f>
        <v/>
      </c>
      <c r="P259" s="0" t="str">
        <f aca="true">IF(A259="","",IF(OR(J259="Approved",J259="Approved as Noted"),"",TODAY()-O259))</f>
        <v/>
      </c>
    </row>
    <row r="260" customFormat="false" ht="15" hidden="false" customHeight="false" outlineLevel="0" collapsed="false">
      <c r="K260" s="0" t="str">
        <f aca="true">IF(A260="","",IF(I260&lt;&gt;"",I260-G260,IF(G260&lt;&gt;"",TODAY()-G260,"")))</f>
        <v/>
      </c>
      <c r="O260" s="13" t="str">
        <f aca="false">IF(A260="","",MAX(F260+0,G260+0,H260+0,I260+0))</f>
        <v/>
      </c>
      <c r="P260" s="0" t="str">
        <f aca="true">IF(A260="","",IF(OR(J260="Approved",J260="Approved as Noted"),"",TODAY()-O260))</f>
        <v/>
      </c>
    </row>
    <row r="261" customFormat="false" ht="15" hidden="false" customHeight="false" outlineLevel="0" collapsed="false">
      <c r="K261" s="0" t="str">
        <f aca="true">IF(A261="","",IF(I261&lt;&gt;"",I261-G261,IF(G261&lt;&gt;"",TODAY()-G261,"")))</f>
        <v/>
      </c>
      <c r="O261" s="13" t="str">
        <f aca="false">IF(A261="","",MAX(F261+0,G261+0,H261+0,I261+0))</f>
        <v/>
      </c>
      <c r="P261" s="0" t="str">
        <f aca="true">IF(A261="","",IF(OR(J261="Approved",J261="Approved as Noted"),"",TODAY()-O261))</f>
        <v/>
      </c>
    </row>
    <row r="262" customFormat="false" ht="15" hidden="false" customHeight="false" outlineLevel="0" collapsed="false">
      <c r="K262" s="0" t="str">
        <f aca="true">IF(A262="","",IF(I262&lt;&gt;"",I262-G262,IF(G262&lt;&gt;"",TODAY()-G262,"")))</f>
        <v/>
      </c>
      <c r="O262" s="13" t="str">
        <f aca="false">IF(A262="","",MAX(F262+0,G262+0,H262+0,I262+0))</f>
        <v/>
      </c>
      <c r="P262" s="0" t="str">
        <f aca="true">IF(A262="","",IF(OR(J262="Approved",J262="Approved as Noted"),"",TODAY()-O262))</f>
        <v/>
      </c>
    </row>
    <row r="263" customFormat="false" ht="15" hidden="false" customHeight="false" outlineLevel="0" collapsed="false">
      <c r="K263" s="0" t="str">
        <f aca="true">IF(A263="","",IF(I263&lt;&gt;"",I263-G263,IF(G263&lt;&gt;"",TODAY()-G263,"")))</f>
        <v/>
      </c>
      <c r="O263" s="13" t="str">
        <f aca="false">IF(A263="","",MAX(F263+0,G263+0,H263+0,I263+0))</f>
        <v/>
      </c>
      <c r="P263" s="0" t="str">
        <f aca="true">IF(A263="","",IF(OR(J263="Approved",J263="Approved as Noted"),"",TODAY()-O263))</f>
        <v/>
      </c>
    </row>
    <row r="264" customFormat="false" ht="15" hidden="false" customHeight="false" outlineLevel="0" collapsed="false">
      <c r="K264" s="0" t="str">
        <f aca="true">IF(A264="","",IF(I264&lt;&gt;"",I264-G264,IF(G264&lt;&gt;"",TODAY()-G264,"")))</f>
        <v/>
      </c>
      <c r="O264" s="13" t="str">
        <f aca="false">IF(A264="","",MAX(F264+0,G264+0,H264+0,I264+0))</f>
        <v/>
      </c>
      <c r="P264" s="0" t="str">
        <f aca="true">IF(A264="","",IF(OR(J264="Approved",J264="Approved as Noted"),"",TODAY()-O264))</f>
        <v/>
      </c>
    </row>
    <row r="265" customFormat="false" ht="15" hidden="false" customHeight="false" outlineLevel="0" collapsed="false">
      <c r="K265" s="0" t="str">
        <f aca="true">IF(A265="","",IF(I265&lt;&gt;"",I265-G265,IF(G265&lt;&gt;"",TODAY()-G265,"")))</f>
        <v/>
      </c>
      <c r="O265" s="13" t="str">
        <f aca="false">IF(A265="","",MAX(F265+0,G265+0,H265+0,I265+0))</f>
        <v/>
      </c>
      <c r="P265" s="0" t="str">
        <f aca="true">IF(A265="","",IF(OR(J265="Approved",J265="Approved as Noted"),"",TODAY()-O265))</f>
        <v/>
      </c>
    </row>
    <row r="266" customFormat="false" ht="15" hidden="false" customHeight="false" outlineLevel="0" collapsed="false">
      <c r="K266" s="0" t="str">
        <f aca="true">IF(A266="","",IF(I266&lt;&gt;"",I266-G266,IF(G266&lt;&gt;"",TODAY()-G266,"")))</f>
        <v/>
      </c>
      <c r="O266" s="13" t="str">
        <f aca="false">IF(A266="","",MAX(F266+0,G266+0,H266+0,I266+0))</f>
        <v/>
      </c>
      <c r="P266" s="0" t="str">
        <f aca="true">IF(A266="","",IF(OR(J266="Approved",J266="Approved as Noted"),"",TODAY()-O266))</f>
        <v/>
      </c>
    </row>
    <row r="267" customFormat="false" ht="15" hidden="false" customHeight="false" outlineLevel="0" collapsed="false">
      <c r="K267" s="0" t="str">
        <f aca="true">IF(A267="","",IF(I267&lt;&gt;"",I267-G267,IF(G267&lt;&gt;"",TODAY()-G267,"")))</f>
        <v/>
      </c>
      <c r="O267" s="13" t="str">
        <f aca="false">IF(A267="","",MAX(F267+0,G267+0,H267+0,I267+0))</f>
        <v/>
      </c>
      <c r="P267" s="0" t="str">
        <f aca="true">IF(A267="","",IF(OR(J267="Approved",J267="Approved as Noted"),"",TODAY()-O267))</f>
        <v/>
      </c>
    </row>
    <row r="268" customFormat="false" ht="15" hidden="false" customHeight="false" outlineLevel="0" collapsed="false">
      <c r="K268" s="0" t="str">
        <f aca="true">IF(A268="","",IF(I268&lt;&gt;"",I268-G268,IF(G268&lt;&gt;"",TODAY()-G268,"")))</f>
        <v/>
      </c>
      <c r="O268" s="13" t="str">
        <f aca="false">IF(A268="","",MAX(F268+0,G268+0,H268+0,I268+0))</f>
        <v/>
      </c>
      <c r="P268" s="0" t="str">
        <f aca="true">IF(A268="","",IF(OR(J268="Approved",J268="Approved as Noted"),"",TODAY()-O268))</f>
        <v/>
      </c>
    </row>
    <row r="269" customFormat="false" ht="15" hidden="false" customHeight="false" outlineLevel="0" collapsed="false">
      <c r="K269" s="0" t="str">
        <f aca="true">IF(A269="","",IF(I269&lt;&gt;"",I269-G269,IF(G269&lt;&gt;"",TODAY()-G269,"")))</f>
        <v/>
      </c>
      <c r="O269" s="13" t="str">
        <f aca="false">IF(A269="","",MAX(F269+0,G269+0,H269+0,I269+0))</f>
        <v/>
      </c>
      <c r="P269" s="0" t="str">
        <f aca="true">IF(A269="","",IF(OR(J269="Approved",J269="Approved as Noted"),"",TODAY()-O269))</f>
        <v/>
      </c>
    </row>
    <row r="270" customFormat="false" ht="15" hidden="false" customHeight="false" outlineLevel="0" collapsed="false">
      <c r="K270" s="0" t="str">
        <f aca="true">IF(A270="","",IF(I270&lt;&gt;"",I270-G270,IF(G270&lt;&gt;"",TODAY()-G270,"")))</f>
        <v/>
      </c>
      <c r="O270" s="13" t="str">
        <f aca="false">IF(A270="","",MAX(F270+0,G270+0,H270+0,I270+0))</f>
        <v/>
      </c>
      <c r="P270" s="0" t="str">
        <f aca="true">IF(A270="","",IF(OR(J270="Approved",J270="Approved as Noted"),"",TODAY()-O270))</f>
        <v/>
      </c>
    </row>
    <row r="271" customFormat="false" ht="15" hidden="false" customHeight="false" outlineLevel="0" collapsed="false">
      <c r="K271" s="0" t="str">
        <f aca="true">IF(A271="","",IF(I271&lt;&gt;"",I271-G271,IF(G271&lt;&gt;"",TODAY()-G271,"")))</f>
        <v/>
      </c>
      <c r="O271" s="13" t="str">
        <f aca="false">IF(A271="","",MAX(F271+0,G271+0,H271+0,I271+0))</f>
        <v/>
      </c>
      <c r="P271" s="0" t="str">
        <f aca="true">IF(A271="","",IF(OR(J271="Approved",J271="Approved as Noted"),"",TODAY()-O271))</f>
        <v/>
      </c>
    </row>
    <row r="272" customFormat="false" ht="15" hidden="false" customHeight="false" outlineLevel="0" collapsed="false">
      <c r="K272" s="0" t="str">
        <f aca="true">IF(A272="","",IF(I272&lt;&gt;"",I272-G272,IF(G272&lt;&gt;"",TODAY()-G272,"")))</f>
        <v/>
      </c>
      <c r="O272" s="13" t="str">
        <f aca="false">IF(A272="","",MAX(F272+0,G272+0,H272+0,I272+0))</f>
        <v/>
      </c>
      <c r="P272" s="0" t="str">
        <f aca="true">IF(A272="","",IF(OR(J272="Approved",J272="Approved as Noted"),"",TODAY()-O272))</f>
        <v/>
      </c>
    </row>
    <row r="273" customFormat="false" ht="15" hidden="false" customHeight="false" outlineLevel="0" collapsed="false">
      <c r="K273" s="0" t="str">
        <f aca="true">IF(A273="","",IF(I273&lt;&gt;"",I273-G273,IF(G273&lt;&gt;"",TODAY()-G273,"")))</f>
        <v/>
      </c>
      <c r="O273" s="13" t="str">
        <f aca="false">IF(A273="","",MAX(F273+0,G273+0,H273+0,I273+0))</f>
        <v/>
      </c>
      <c r="P273" s="0" t="str">
        <f aca="true">IF(A273="","",IF(OR(J273="Approved",J273="Approved as Noted"),"",TODAY()-O273))</f>
        <v/>
      </c>
    </row>
    <row r="274" customFormat="false" ht="15" hidden="false" customHeight="false" outlineLevel="0" collapsed="false">
      <c r="K274" s="0" t="str">
        <f aca="true">IF(A274="","",IF(I274&lt;&gt;"",I274-G274,IF(G274&lt;&gt;"",TODAY()-G274,"")))</f>
        <v/>
      </c>
      <c r="O274" s="13" t="str">
        <f aca="false">IF(A274="","",MAX(F274+0,G274+0,H274+0,I274+0))</f>
        <v/>
      </c>
      <c r="P274" s="0" t="str">
        <f aca="true">IF(A274="","",IF(OR(J274="Approved",J274="Approved as Noted"),"",TODAY()-O274))</f>
        <v/>
      </c>
    </row>
    <row r="275" customFormat="false" ht="15" hidden="false" customHeight="false" outlineLevel="0" collapsed="false">
      <c r="K275" s="0" t="str">
        <f aca="true">IF(A275="","",IF(I275&lt;&gt;"",I275-G275,IF(G275&lt;&gt;"",TODAY()-G275,"")))</f>
        <v/>
      </c>
      <c r="O275" s="13" t="str">
        <f aca="false">IF(A275="","",MAX(F275+0,G275+0,H275+0,I275+0))</f>
        <v/>
      </c>
      <c r="P275" s="0" t="str">
        <f aca="true">IF(A275="","",IF(OR(J275="Approved",J275="Approved as Noted"),"",TODAY()-O275))</f>
        <v/>
      </c>
    </row>
    <row r="276" customFormat="false" ht="15" hidden="false" customHeight="false" outlineLevel="0" collapsed="false">
      <c r="K276" s="0" t="str">
        <f aca="true">IF(A276="","",IF(I276&lt;&gt;"",I276-G276,IF(G276&lt;&gt;"",TODAY()-G276,"")))</f>
        <v/>
      </c>
      <c r="O276" s="13" t="str">
        <f aca="false">IF(A276="","",MAX(F276+0,G276+0,H276+0,I276+0))</f>
        <v/>
      </c>
      <c r="P276" s="0" t="str">
        <f aca="true">IF(A276="","",IF(OR(J276="Approved",J276="Approved as Noted"),"",TODAY()-O276))</f>
        <v/>
      </c>
    </row>
    <row r="277" customFormat="false" ht="15" hidden="false" customHeight="false" outlineLevel="0" collapsed="false">
      <c r="K277" s="0" t="str">
        <f aca="true">IF(A277="","",IF(I277&lt;&gt;"",I277-G277,IF(G277&lt;&gt;"",TODAY()-G277,"")))</f>
        <v/>
      </c>
      <c r="O277" s="13" t="str">
        <f aca="false">IF(A277="","",MAX(F277+0,G277+0,H277+0,I277+0))</f>
        <v/>
      </c>
      <c r="P277" s="0" t="str">
        <f aca="true">IF(A277="","",IF(OR(J277="Approved",J277="Approved as Noted"),"",TODAY()-O277))</f>
        <v/>
      </c>
    </row>
    <row r="278" customFormat="false" ht="15" hidden="false" customHeight="false" outlineLevel="0" collapsed="false">
      <c r="K278" s="0" t="str">
        <f aca="true">IF(A278="","",IF(I278&lt;&gt;"",I278-G278,IF(G278&lt;&gt;"",TODAY()-G278,"")))</f>
        <v/>
      </c>
      <c r="O278" s="13" t="str">
        <f aca="false">IF(A278="","",MAX(F278+0,G278+0,H278+0,I278+0))</f>
        <v/>
      </c>
      <c r="P278" s="0" t="str">
        <f aca="true">IF(A278="","",IF(OR(J278="Approved",J278="Approved as Noted"),"",TODAY()-O278))</f>
        <v/>
      </c>
    </row>
    <row r="279" customFormat="false" ht="15" hidden="false" customHeight="false" outlineLevel="0" collapsed="false">
      <c r="K279" s="0" t="str">
        <f aca="true">IF(A279="","",IF(I279&lt;&gt;"",I279-G279,IF(G279&lt;&gt;"",TODAY()-G279,"")))</f>
        <v/>
      </c>
      <c r="O279" s="13" t="str">
        <f aca="false">IF(A279="","",MAX(F279+0,G279+0,H279+0,I279+0))</f>
        <v/>
      </c>
      <c r="P279" s="0" t="str">
        <f aca="true">IF(A279="","",IF(OR(J279="Approved",J279="Approved as Noted"),"",TODAY()-O279))</f>
        <v/>
      </c>
    </row>
    <row r="280" customFormat="false" ht="15" hidden="false" customHeight="false" outlineLevel="0" collapsed="false">
      <c r="K280" s="0" t="str">
        <f aca="true">IF(A280="","",IF(I280&lt;&gt;"",I280-G280,IF(G280&lt;&gt;"",TODAY()-G280,"")))</f>
        <v/>
      </c>
      <c r="O280" s="13" t="str">
        <f aca="false">IF(A280="","",MAX(F280+0,G280+0,H280+0,I280+0))</f>
        <v/>
      </c>
      <c r="P280" s="0" t="str">
        <f aca="true">IF(A280="","",IF(OR(J280="Approved",J280="Approved as Noted"),"",TODAY()-O280))</f>
        <v/>
      </c>
    </row>
    <row r="281" customFormat="false" ht="15" hidden="false" customHeight="false" outlineLevel="0" collapsed="false">
      <c r="K281" s="0" t="str">
        <f aca="true">IF(A281="","",IF(I281&lt;&gt;"",I281-G281,IF(G281&lt;&gt;"",TODAY()-G281,"")))</f>
        <v/>
      </c>
      <c r="O281" s="13" t="str">
        <f aca="false">IF(A281="","",MAX(F281+0,G281+0,H281+0,I281+0))</f>
        <v/>
      </c>
      <c r="P281" s="0" t="str">
        <f aca="true">IF(A281="","",IF(OR(J281="Approved",J281="Approved as Noted"),"",TODAY()-O281))</f>
        <v/>
      </c>
    </row>
    <row r="282" customFormat="false" ht="15" hidden="false" customHeight="false" outlineLevel="0" collapsed="false">
      <c r="K282" s="0" t="str">
        <f aca="true">IF(A282="","",IF(I282&lt;&gt;"",I282-G282,IF(G282&lt;&gt;"",TODAY()-G282,"")))</f>
        <v/>
      </c>
      <c r="O282" s="13" t="str">
        <f aca="false">IF(A282="","",MAX(F282+0,G282+0,H282+0,I282+0))</f>
        <v/>
      </c>
      <c r="P282" s="0" t="str">
        <f aca="true">IF(A282="","",IF(OR(J282="Approved",J282="Approved as Noted"),"",TODAY()-O282))</f>
        <v/>
      </c>
    </row>
    <row r="283" customFormat="false" ht="15" hidden="false" customHeight="false" outlineLevel="0" collapsed="false">
      <c r="K283" s="0" t="str">
        <f aca="true">IF(A283="","",IF(I283&lt;&gt;"",I283-G283,IF(G283&lt;&gt;"",TODAY()-G283,"")))</f>
        <v/>
      </c>
      <c r="O283" s="13" t="str">
        <f aca="false">IF(A283="","",MAX(F283+0,G283+0,H283+0,I283+0))</f>
        <v/>
      </c>
      <c r="P283" s="0" t="str">
        <f aca="true">IF(A283="","",IF(OR(J283="Approved",J283="Approved as Noted"),"",TODAY()-O283))</f>
        <v/>
      </c>
    </row>
    <row r="284" customFormat="false" ht="15" hidden="false" customHeight="false" outlineLevel="0" collapsed="false">
      <c r="K284" s="0" t="str">
        <f aca="true">IF(A284="","",IF(I284&lt;&gt;"",I284-G284,IF(G284&lt;&gt;"",TODAY()-G284,"")))</f>
        <v/>
      </c>
      <c r="O284" s="13" t="str">
        <f aca="false">IF(A284="","",MAX(F284+0,G284+0,H284+0,I284+0))</f>
        <v/>
      </c>
      <c r="P284" s="0" t="str">
        <f aca="true">IF(A284="","",IF(OR(J284="Approved",J284="Approved as Noted"),"",TODAY()-O284))</f>
        <v/>
      </c>
    </row>
    <row r="285" customFormat="false" ht="15" hidden="false" customHeight="false" outlineLevel="0" collapsed="false">
      <c r="K285" s="0" t="str">
        <f aca="true">IF(A285="","",IF(I285&lt;&gt;"",I285-G285,IF(G285&lt;&gt;"",TODAY()-G285,"")))</f>
        <v/>
      </c>
      <c r="O285" s="13" t="str">
        <f aca="false">IF(A285="","",MAX(F285+0,G285+0,H285+0,I285+0))</f>
        <v/>
      </c>
      <c r="P285" s="0" t="str">
        <f aca="true">IF(A285="","",IF(OR(J285="Approved",J285="Approved as Noted"),"",TODAY()-O285))</f>
        <v/>
      </c>
    </row>
    <row r="286" customFormat="false" ht="15" hidden="false" customHeight="false" outlineLevel="0" collapsed="false">
      <c r="K286" s="0" t="str">
        <f aca="true">IF(A286="","",IF(I286&lt;&gt;"",I286-G286,IF(G286&lt;&gt;"",TODAY()-G286,"")))</f>
        <v/>
      </c>
      <c r="O286" s="13" t="str">
        <f aca="false">IF(A286="","",MAX(F286+0,G286+0,H286+0,I286+0))</f>
        <v/>
      </c>
      <c r="P286" s="0" t="str">
        <f aca="true">IF(A286="","",IF(OR(J286="Approved",J286="Approved as Noted"),"",TODAY()-O286))</f>
        <v/>
      </c>
    </row>
    <row r="287" customFormat="false" ht="15" hidden="false" customHeight="false" outlineLevel="0" collapsed="false">
      <c r="K287" s="0" t="str">
        <f aca="true">IF(A287="","",IF(I287&lt;&gt;"",I287-G287,IF(G287&lt;&gt;"",TODAY()-G287,"")))</f>
        <v/>
      </c>
      <c r="O287" s="13" t="str">
        <f aca="false">IF(A287="","",MAX(F287+0,G287+0,H287+0,I287+0))</f>
        <v/>
      </c>
      <c r="P287" s="0" t="str">
        <f aca="true">IF(A287="","",IF(OR(J287="Approved",J287="Approved as Noted"),"",TODAY()-O287))</f>
        <v/>
      </c>
    </row>
    <row r="288" customFormat="false" ht="15" hidden="false" customHeight="false" outlineLevel="0" collapsed="false">
      <c r="K288" s="0" t="str">
        <f aca="true">IF(A288="","",IF(I288&lt;&gt;"",I288-G288,IF(G288&lt;&gt;"",TODAY()-G288,"")))</f>
        <v/>
      </c>
      <c r="O288" s="13" t="str">
        <f aca="false">IF(A288="","",MAX(F288+0,G288+0,H288+0,I288+0))</f>
        <v/>
      </c>
      <c r="P288" s="0" t="str">
        <f aca="true">IF(A288="","",IF(OR(J288="Approved",J288="Approved as Noted"),"",TODAY()-O288))</f>
        <v/>
      </c>
    </row>
    <row r="289" customFormat="false" ht="15" hidden="false" customHeight="false" outlineLevel="0" collapsed="false">
      <c r="K289" s="0" t="str">
        <f aca="true">IF(A289="","",IF(I289&lt;&gt;"",I289-G289,IF(G289&lt;&gt;"",TODAY()-G289,"")))</f>
        <v/>
      </c>
      <c r="O289" s="13" t="str">
        <f aca="false">IF(A289="","",MAX(F289+0,G289+0,H289+0,I289+0))</f>
        <v/>
      </c>
      <c r="P289" s="0" t="str">
        <f aca="true">IF(A289="","",IF(OR(J289="Approved",J289="Approved as Noted"),"",TODAY()-O289))</f>
        <v/>
      </c>
    </row>
    <row r="290" customFormat="false" ht="15" hidden="false" customHeight="false" outlineLevel="0" collapsed="false">
      <c r="K290" s="0" t="str">
        <f aca="true">IF(A290="","",IF(I290&lt;&gt;"",I290-G290,IF(G290&lt;&gt;"",TODAY()-G290,"")))</f>
        <v/>
      </c>
      <c r="O290" s="13" t="str">
        <f aca="false">IF(A290="","",MAX(F290+0,G290+0,H290+0,I290+0))</f>
        <v/>
      </c>
      <c r="P290" s="0" t="str">
        <f aca="true">IF(A290="","",IF(OR(J290="Approved",J290="Approved as Noted"),"",TODAY()-O290))</f>
        <v/>
      </c>
    </row>
    <row r="291" customFormat="false" ht="15" hidden="false" customHeight="false" outlineLevel="0" collapsed="false">
      <c r="K291" s="0" t="str">
        <f aca="true">IF(A291="","",IF(I291&lt;&gt;"",I291-G291,IF(G291&lt;&gt;"",TODAY()-G291,"")))</f>
        <v/>
      </c>
      <c r="O291" s="13" t="str">
        <f aca="false">IF(A291="","",MAX(F291+0,G291+0,H291+0,I291+0))</f>
        <v/>
      </c>
      <c r="P291" s="0" t="str">
        <f aca="true">IF(A291="","",IF(OR(J291="Approved",J291="Approved as Noted"),"",TODAY()-O291))</f>
        <v/>
      </c>
    </row>
    <row r="292" customFormat="false" ht="15" hidden="false" customHeight="false" outlineLevel="0" collapsed="false">
      <c r="K292" s="0" t="str">
        <f aca="true">IF(A292="","",IF(I292&lt;&gt;"",I292-G292,IF(G292&lt;&gt;"",TODAY()-G292,"")))</f>
        <v/>
      </c>
      <c r="O292" s="13" t="str">
        <f aca="false">IF(A292="","",MAX(F292+0,G292+0,H292+0,I292+0))</f>
        <v/>
      </c>
      <c r="P292" s="0" t="str">
        <f aca="true">IF(A292="","",IF(OR(J292="Approved",J292="Approved as Noted"),"",TODAY()-O292))</f>
        <v/>
      </c>
    </row>
    <row r="293" customFormat="false" ht="15" hidden="false" customHeight="false" outlineLevel="0" collapsed="false">
      <c r="K293" s="0" t="str">
        <f aca="true">IF(A293="","",IF(I293&lt;&gt;"",I293-G293,IF(G293&lt;&gt;"",TODAY()-G293,"")))</f>
        <v/>
      </c>
      <c r="O293" s="13" t="str">
        <f aca="false">IF(A293="","",MAX(F293+0,G293+0,H293+0,I293+0))</f>
        <v/>
      </c>
      <c r="P293" s="0" t="str">
        <f aca="true">IF(A293="","",IF(OR(J293="Approved",J293="Approved as Noted"),"",TODAY()-O293))</f>
        <v/>
      </c>
    </row>
    <row r="294" customFormat="false" ht="15" hidden="false" customHeight="false" outlineLevel="0" collapsed="false">
      <c r="K294" s="0" t="str">
        <f aca="true">IF(A294="","",IF(I294&lt;&gt;"",I294-G294,IF(G294&lt;&gt;"",TODAY()-G294,"")))</f>
        <v/>
      </c>
      <c r="O294" s="13" t="str">
        <f aca="false">IF(A294="","",MAX(F294+0,G294+0,H294+0,I294+0))</f>
        <v/>
      </c>
      <c r="P294" s="0" t="str">
        <f aca="true">IF(A294="","",IF(OR(J294="Approved",J294="Approved as Noted"),"",TODAY()-O294))</f>
        <v/>
      </c>
    </row>
    <row r="295" customFormat="false" ht="15" hidden="false" customHeight="false" outlineLevel="0" collapsed="false">
      <c r="K295" s="0" t="str">
        <f aca="true">IF(A295="","",IF(I295&lt;&gt;"",I295-G295,IF(G295&lt;&gt;"",TODAY()-G295,"")))</f>
        <v/>
      </c>
      <c r="O295" s="13" t="str">
        <f aca="false">IF(A295="","",MAX(F295+0,G295+0,H295+0,I295+0))</f>
        <v/>
      </c>
      <c r="P295" s="0" t="str">
        <f aca="true">IF(A295="","",IF(OR(J295="Approved",J295="Approved as Noted"),"",TODAY()-O295))</f>
        <v/>
      </c>
    </row>
    <row r="296" customFormat="false" ht="15" hidden="false" customHeight="false" outlineLevel="0" collapsed="false">
      <c r="K296" s="0" t="str">
        <f aca="true">IF(A296="","",IF(I296&lt;&gt;"",I296-G296,IF(G296&lt;&gt;"",TODAY()-G296,"")))</f>
        <v/>
      </c>
      <c r="O296" s="13" t="str">
        <f aca="false">IF(A296="","",MAX(F296+0,G296+0,H296+0,I296+0))</f>
        <v/>
      </c>
      <c r="P296" s="0" t="str">
        <f aca="true">IF(A296="","",IF(OR(J296="Approved",J296="Approved as Noted"),"",TODAY()-O296))</f>
        <v/>
      </c>
    </row>
    <row r="297" customFormat="false" ht="15" hidden="false" customHeight="false" outlineLevel="0" collapsed="false">
      <c r="K297" s="0" t="str">
        <f aca="true">IF(A297="","",IF(I297&lt;&gt;"",I297-G297,IF(G297&lt;&gt;"",TODAY()-G297,"")))</f>
        <v/>
      </c>
      <c r="O297" s="13" t="str">
        <f aca="false">IF(A297="","",MAX(F297+0,G297+0,H297+0,I297+0))</f>
        <v/>
      </c>
      <c r="P297" s="0" t="str">
        <f aca="true">IF(A297="","",IF(OR(J297="Approved",J297="Approved as Noted"),"",TODAY()-O297))</f>
        <v/>
      </c>
    </row>
    <row r="298" customFormat="false" ht="15" hidden="false" customHeight="false" outlineLevel="0" collapsed="false">
      <c r="K298" s="0" t="str">
        <f aca="true">IF(A298="","",IF(I298&lt;&gt;"",I298-G298,IF(G298&lt;&gt;"",TODAY()-G298,"")))</f>
        <v/>
      </c>
      <c r="O298" s="13" t="str">
        <f aca="false">IF(A298="","",MAX(F298+0,G298+0,H298+0,I298+0))</f>
        <v/>
      </c>
      <c r="P298" s="0" t="str">
        <f aca="true">IF(A298="","",IF(OR(J298="Approved",J298="Approved as Noted"),"",TODAY()-O298))</f>
        <v/>
      </c>
    </row>
    <row r="299" customFormat="false" ht="15" hidden="false" customHeight="false" outlineLevel="0" collapsed="false">
      <c r="K299" s="0" t="str">
        <f aca="true">IF(A299="","",IF(I299&lt;&gt;"",I299-G299,IF(G299&lt;&gt;"",TODAY()-G299,"")))</f>
        <v/>
      </c>
      <c r="O299" s="13" t="str">
        <f aca="false">IF(A299="","",MAX(F299+0,G299+0,H299+0,I299+0))</f>
        <v/>
      </c>
      <c r="P299" s="0" t="str">
        <f aca="true">IF(A299="","",IF(OR(J299="Approved",J299="Approved as Noted"),"",TODAY()-O299))</f>
        <v/>
      </c>
    </row>
    <row r="302" customFormat="false" ht="15" hidden="false" customHeight="false" outlineLevel="0" collapsed="false">
      <c r="A302" s="3" t="s">
        <v>253</v>
      </c>
    </row>
  </sheetData>
  <conditionalFormatting sqref="H2:H300">
    <cfRule type="expression" priority="2" aboveAverage="0" equalAverage="0" bottom="0" percent="0" rank="0" text="" dxfId="1">
      <formula>AND(H2&lt;&gt;"",I2="",TODAY()&gt;H2)</formula>
    </cfRule>
  </conditionalFormatting>
  <conditionalFormatting sqref="P2:P300">
    <cfRule type="cellIs" priority="3" operator="greaterThanOrEqual" aboveAverage="0" equalAverage="0" bottom="0" percent="0" rank="0" text="" dxfId="0">
      <formula>14</formula>
    </cfRule>
  </conditionalFormatting>
  <dataValidations count="2">
    <dataValidation allowBlank="true" errorStyle="stop" operator="between" showDropDown="false" showErrorMessage="false" showInputMessage="false" sqref="N2:N500" type="list">
      <formula1>"Yes,No"</formula1>
      <formula2>0</formula2>
    </dataValidation>
    <dataValidation allowBlank="true" errorStyle="stop" operator="between" showDropDown="false" showErrorMessage="false" showInputMessage="false" sqref="J2:J500" type="list">
      <formula1>"Pending,Approved,Approved as Noted,Revise &amp; Resubmit,Rejected"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R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9" min="8" style="0" width="14"/>
    <col collapsed="false" customWidth="true" hidden="false" outlineLevel="0" max="12" min="10" style="0" width="16"/>
    <col collapsed="false" customWidth="true" hidden="false" outlineLevel="0" max="13" min="13" style="0" width="18"/>
    <col collapsed="false" customWidth="true" hidden="false" outlineLevel="0" max="14" min="14" style="0" width="26"/>
    <col collapsed="false" customWidth="true" hidden="false" outlineLevel="0" max="17" min="15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19" t="s">
        <v>254</v>
      </c>
      <c r="B1" s="19" t="s">
        <v>255</v>
      </c>
      <c r="C1" s="19" t="s">
        <v>234</v>
      </c>
      <c r="D1" s="19" t="s">
        <v>256</v>
      </c>
      <c r="E1" s="19" t="s">
        <v>257</v>
      </c>
      <c r="F1" s="19" t="s">
        <v>242</v>
      </c>
      <c r="G1" s="19" t="s">
        <v>258</v>
      </c>
      <c r="H1" s="19" t="s">
        <v>259</v>
      </c>
      <c r="I1" s="19" t="s">
        <v>211</v>
      </c>
      <c r="J1" s="19" t="s">
        <v>208</v>
      </c>
      <c r="K1" s="19" t="s">
        <v>260</v>
      </c>
      <c r="L1" s="19" t="s">
        <v>261</v>
      </c>
      <c r="M1" s="19" t="s">
        <v>262</v>
      </c>
      <c r="N1" s="19" t="s">
        <v>214</v>
      </c>
      <c r="O1" s="19" t="s">
        <v>215</v>
      </c>
      <c r="P1" s="19" t="s">
        <v>218</v>
      </c>
      <c r="Q1" s="19" t="s">
        <v>219</v>
      </c>
      <c r="R1" s="19" t="s">
        <v>263</v>
      </c>
    </row>
    <row r="2" customFormat="false" ht="15" hidden="false" customHeight="false" outlineLevel="0" collapsed="false">
      <c r="A2" s="20" t="s">
        <v>264</v>
      </c>
      <c r="B2" s="20" t="s">
        <v>265</v>
      </c>
      <c r="C2" s="20" t="s">
        <v>266</v>
      </c>
      <c r="D2" s="20" t="s">
        <v>267</v>
      </c>
      <c r="E2" s="20" t="s">
        <v>268</v>
      </c>
      <c r="F2" s="20" t="s">
        <v>220</v>
      </c>
      <c r="G2" s="20"/>
      <c r="H2" s="20" t="s">
        <v>269</v>
      </c>
      <c r="I2" s="20" t="s">
        <v>270</v>
      </c>
      <c r="J2" s="20" t="s">
        <v>271</v>
      </c>
      <c r="K2" s="20" t="s">
        <v>272</v>
      </c>
      <c r="L2" s="20"/>
      <c r="M2" s="22" t="n">
        <f aca="false">IF(A2="","",SUMIFS(H$2:H2,J$2:J2,"Approved"))</f>
        <v>0</v>
      </c>
      <c r="N2" s="20" t="s">
        <v>273</v>
      </c>
      <c r="O2" s="20" t="s">
        <v>252</v>
      </c>
      <c r="P2" s="23" t="n">
        <f aca="false">IF(A2="","",MAX(B2+0,K2+0,L2+0))</f>
        <v>46275</v>
      </c>
      <c r="Q2" s="22" t="n">
        <f aca="true">IF(A2="","",IF(OR(J2="Approved",J2="Rejected",J2="Void"),"",TODAY()-P2))</f>
        <v>18</v>
      </c>
      <c r="R2" s="20"/>
    </row>
    <row r="3" customFormat="false" ht="15" hidden="false" customHeight="false" outlineLevel="0" collapsed="false">
      <c r="M3" s="0" t="str">
        <f aca="false">IF(A3="","",SUMIFS(H$2:H3,J$2:J3,"Approved"))</f>
        <v/>
      </c>
      <c r="P3" s="13" t="str">
        <f aca="false">IF(A3="","",MAX(B3+0,K3+0,L3+0))</f>
        <v/>
      </c>
      <c r="Q3" s="0" t="str">
        <f aca="true">IF(A3="","",IF(OR(J3="Approved",J3="Rejected",J3="Void"),"",TODAY()-P3))</f>
        <v/>
      </c>
    </row>
    <row r="4" customFormat="false" ht="15" hidden="false" customHeight="false" outlineLevel="0" collapsed="false">
      <c r="M4" s="0" t="str">
        <f aca="false">IF(A4="","",SUMIFS(H$2:H4,J$2:J4,"Approved"))</f>
        <v/>
      </c>
      <c r="P4" s="13" t="str">
        <f aca="false">IF(A4="","",MAX(B4+0,K4+0,L4+0))</f>
        <v/>
      </c>
      <c r="Q4" s="0" t="str">
        <f aca="true">IF(A4="","",IF(OR(J4="Approved",J4="Rejected",J4="Void"),"",TODAY()-P4))</f>
        <v/>
      </c>
    </row>
    <row r="5" customFormat="false" ht="15" hidden="false" customHeight="false" outlineLevel="0" collapsed="false">
      <c r="M5" s="0" t="str">
        <f aca="false">IF(A5="","",SUMIFS(H$2:H5,J$2:J5,"Approved"))</f>
        <v/>
      </c>
      <c r="P5" s="13" t="str">
        <f aca="false">IF(A5="","",MAX(B5+0,K5+0,L5+0))</f>
        <v/>
      </c>
      <c r="Q5" s="0" t="str">
        <f aca="true">IF(A5="","",IF(OR(J5="Approved",J5="Rejected",J5="Void"),"",TODAY()-P5))</f>
        <v/>
      </c>
    </row>
    <row r="6" customFormat="false" ht="15" hidden="false" customHeight="false" outlineLevel="0" collapsed="false">
      <c r="M6" s="0" t="str">
        <f aca="false">IF(A6="","",SUMIFS(H$2:H6,J$2:J6,"Approved"))</f>
        <v/>
      </c>
      <c r="P6" s="13" t="str">
        <f aca="false">IF(A6="","",MAX(B6+0,K6+0,L6+0))</f>
        <v/>
      </c>
      <c r="Q6" s="0" t="str">
        <f aca="true">IF(A6="","",IF(OR(J6="Approved",J6="Rejected",J6="Void"),"",TODAY()-P6))</f>
        <v/>
      </c>
    </row>
    <row r="7" customFormat="false" ht="15" hidden="false" customHeight="false" outlineLevel="0" collapsed="false">
      <c r="M7" s="0" t="str">
        <f aca="false">IF(A7="","",SUMIFS(H$2:H7,J$2:J7,"Approved"))</f>
        <v/>
      </c>
      <c r="P7" s="13" t="str">
        <f aca="false">IF(A7="","",MAX(B7+0,K7+0,L7+0))</f>
        <v/>
      </c>
      <c r="Q7" s="0" t="str">
        <f aca="true">IF(A7="","",IF(OR(J7="Approved",J7="Rejected",J7="Void"),"",TODAY()-P7))</f>
        <v/>
      </c>
    </row>
    <row r="8" customFormat="false" ht="15" hidden="false" customHeight="false" outlineLevel="0" collapsed="false">
      <c r="M8" s="0" t="str">
        <f aca="false">IF(A8="","",SUMIFS(H$2:H8,J$2:J8,"Approved"))</f>
        <v/>
      </c>
      <c r="P8" s="13" t="str">
        <f aca="false">IF(A8="","",MAX(B8+0,K8+0,L8+0))</f>
        <v/>
      </c>
      <c r="Q8" s="0" t="str">
        <f aca="true">IF(A8="","",IF(OR(J8="Approved",J8="Rejected",J8="Void"),"",TODAY()-P8))</f>
        <v/>
      </c>
    </row>
    <row r="9" customFormat="false" ht="15" hidden="false" customHeight="false" outlineLevel="0" collapsed="false">
      <c r="M9" s="0" t="str">
        <f aca="false">IF(A9="","",SUMIFS(H$2:H9,J$2:J9,"Approved"))</f>
        <v/>
      </c>
      <c r="P9" s="13" t="str">
        <f aca="false">IF(A9="","",MAX(B9+0,K9+0,L9+0))</f>
        <v/>
      </c>
      <c r="Q9" s="0" t="str">
        <f aca="true">IF(A9="","",IF(OR(J9="Approved",J9="Rejected",J9="Void"),"",TODAY()-P9))</f>
        <v/>
      </c>
    </row>
    <row r="10" customFormat="false" ht="15" hidden="false" customHeight="false" outlineLevel="0" collapsed="false">
      <c r="M10" s="0" t="str">
        <f aca="false">IF(A10="","",SUMIFS(H$2:H10,J$2:J10,"Approved"))</f>
        <v/>
      </c>
      <c r="P10" s="13" t="str">
        <f aca="false">IF(A10="","",MAX(B10+0,K10+0,L10+0))</f>
        <v/>
      </c>
      <c r="Q10" s="0" t="str">
        <f aca="true">IF(A10="","",IF(OR(J10="Approved",J10="Rejected",J10="Void"),"",TODAY()-P10))</f>
        <v/>
      </c>
    </row>
    <row r="11" customFormat="false" ht="15" hidden="false" customHeight="false" outlineLevel="0" collapsed="false">
      <c r="M11" s="0" t="str">
        <f aca="false">IF(A11="","",SUMIFS(H$2:H11,J$2:J11,"Approved"))</f>
        <v/>
      </c>
      <c r="P11" s="13" t="str">
        <f aca="false">IF(A11="","",MAX(B11+0,K11+0,L11+0))</f>
        <v/>
      </c>
      <c r="Q11" s="0" t="str">
        <f aca="true">IF(A11="","",IF(OR(J11="Approved",J11="Rejected",J11="Void"),"",TODAY()-P11))</f>
        <v/>
      </c>
    </row>
    <row r="12" customFormat="false" ht="15" hidden="false" customHeight="false" outlineLevel="0" collapsed="false">
      <c r="M12" s="0" t="str">
        <f aca="false">IF(A12="","",SUMIFS(H$2:H12,J$2:J12,"Approved"))</f>
        <v/>
      </c>
      <c r="P12" s="13" t="str">
        <f aca="false">IF(A12="","",MAX(B12+0,K12+0,L12+0))</f>
        <v/>
      </c>
      <c r="Q12" s="0" t="str">
        <f aca="true">IF(A12="","",IF(OR(J12="Approved",J12="Rejected",J12="Void"),"",TODAY()-P12))</f>
        <v/>
      </c>
    </row>
    <row r="13" customFormat="false" ht="15" hidden="false" customHeight="false" outlineLevel="0" collapsed="false">
      <c r="M13" s="0" t="str">
        <f aca="false">IF(A13="","",SUMIFS(H$2:H13,J$2:J13,"Approved"))</f>
        <v/>
      </c>
      <c r="P13" s="13" t="str">
        <f aca="false">IF(A13="","",MAX(B13+0,K13+0,L13+0))</f>
        <v/>
      </c>
      <c r="Q13" s="0" t="str">
        <f aca="true">IF(A13="","",IF(OR(J13="Approved",J13="Rejected",J13="Void"),"",TODAY()-P13))</f>
        <v/>
      </c>
    </row>
    <row r="14" customFormat="false" ht="15" hidden="false" customHeight="false" outlineLevel="0" collapsed="false">
      <c r="M14" s="0" t="str">
        <f aca="false">IF(A14="","",SUMIFS(H$2:H14,J$2:J14,"Approved"))</f>
        <v/>
      </c>
      <c r="P14" s="13" t="str">
        <f aca="false">IF(A14="","",MAX(B14+0,K14+0,L14+0))</f>
        <v/>
      </c>
      <c r="Q14" s="0" t="str">
        <f aca="true">IF(A14="","",IF(OR(J14="Approved",J14="Rejected",J14="Void"),"",TODAY()-P14))</f>
        <v/>
      </c>
    </row>
    <row r="15" customFormat="false" ht="15" hidden="false" customHeight="false" outlineLevel="0" collapsed="false">
      <c r="M15" s="0" t="str">
        <f aca="false">IF(A15="","",SUMIFS(H$2:H15,J$2:J15,"Approved"))</f>
        <v/>
      </c>
      <c r="P15" s="13" t="str">
        <f aca="false">IF(A15="","",MAX(B15+0,K15+0,L15+0))</f>
        <v/>
      </c>
      <c r="Q15" s="0" t="str">
        <f aca="true">IF(A15="","",IF(OR(J15="Approved",J15="Rejected",J15="Void"),"",TODAY()-P15))</f>
        <v/>
      </c>
    </row>
    <row r="16" customFormat="false" ht="15" hidden="false" customHeight="false" outlineLevel="0" collapsed="false">
      <c r="M16" s="0" t="str">
        <f aca="false">IF(A16="","",SUMIFS(H$2:H16,J$2:J16,"Approved"))</f>
        <v/>
      </c>
      <c r="P16" s="13" t="str">
        <f aca="false">IF(A16="","",MAX(B16+0,K16+0,L16+0))</f>
        <v/>
      </c>
      <c r="Q16" s="0" t="str">
        <f aca="true">IF(A16="","",IF(OR(J16="Approved",J16="Rejected",J16="Void"),"",TODAY()-P16))</f>
        <v/>
      </c>
    </row>
    <row r="17" customFormat="false" ht="15" hidden="false" customHeight="false" outlineLevel="0" collapsed="false">
      <c r="M17" s="0" t="str">
        <f aca="false">IF(A17="","",SUMIFS(H$2:H17,J$2:J17,"Approved"))</f>
        <v/>
      </c>
      <c r="P17" s="13" t="str">
        <f aca="false">IF(A17="","",MAX(B17+0,K17+0,L17+0))</f>
        <v/>
      </c>
      <c r="Q17" s="0" t="str">
        <f aca="true">IF(A17="","",IF(OR(J17="Approved",J17="Rejected",J17="Void"),"",TODAY()-P17))</f>
        <v/>
      </c>
    </row>
    <row r="18" customFormat="false" ht="15" hidden="false" customHeight="false" outlineLevel="0" collapsed="false">
      <c r="M18" s="0" t="str">
        <f aca="false">IF(A18="","",SUMIFS(H$2:H18,J$2:J18,"Approved"))</f>
        <v/>
      </c>
      <c r="P18" s="13" t="str">
        <f aca="false">IF(A18="","",MAX(B18+0,K18+0,L18+0))</f>
        <v/>
      </c>
      <c r="Q18" s="0" t="str">
        <f aca="true">IF(A18="","",IF(OR(J18="Approved",J18="Rejected",J18="Void"),"",TODAY()-P18))</f>
        <v/>
      </c>
    </row>
    <row r="19" customFormat="false" ht="15" hidden="false" customHeight="false" outlineLevel="0" collapsed="false">
      <c r="M19" s="0" t="str">
        <f aca="false">IF(A19="","",SUMIFS(H$2:H19,J$2:J19,"Approved"))</f>
        <v/>
      </c>
      <c r="P19" s="13" t="str">
        <f aca="false">IF(A19="","",MAX(B19+0,K19+0,L19+0))</f>
        <v/>
      </c>
      <c r="Q19" s="0" t="str">
        <f aca="true">IF(A19="","",IF(OR(J19="Approved",J19="Rejected",J19="Void"),"",TODAY()-P19))</f>
        <v/>
      </c>
    </row>
    <row r="20" customFormat="false" ht="15" hidden="false" customHeight="false" outlineLevel="0" collapsed="false">
      <c r="M20" s="0" t="str">
        <f aca="false">IF(A20="","",SUMIFS(H$2:H20,J$2:J20,"Approved"))</f>
        <v/>
      </c>
      <c r="P20" s="13" t="str">
        <f aca="false">IF(A20="","",MAX(B20+0,K20+0,L20+0))</f>
        <v/>
      </c>
      <c r="Q20" s="0" t="str">
        <f aca="true">IF(A20="","",IF(OR(J20="Approved",J20="Rejected",J20="Void"),"",TODAY()-P20))</f>
        <v/>
      </c>
    </row>
    <row r="21" customFormat="false" ht="15" hidden="false" customHeight="false" outlineLevel="0" collapsed="false">
      <c r="M21" s="0" t="str">
        <f aca="false">IF(A21="","",SUMIFS(H$2:H21,J$2:J21,"Approved"))</f>
        <v/>
      </c>
      <c r="P21" s="13" t="str">
        <f aca="false">IF(A21="","",MAX(B21+0,K21+0,L21+0))</f>
        <v/>
      </c>
      <c r="Q21" s="0" t="str">
        <f aca="true">IF(A21="","",IF(OR(J21="Approved",J21="Rejected",J21="Void"),"",TODAY()-P21))</f>
        <v/>
      </c>
    </row>
    <row r="22" customFormat="false" ht="15" hidden="false" customHeight="false" outlineLevel="0" collapsed="false">
      <c r="M22" s="0" t="str">
        <f aca="false">IF(A22="","",SUMIFS(H$2:H22,J$2:J22,"Approved"))</f>
        <v/>
      </c>
      <c r="P22" s="13" t="str">
        <f aca="false">IF(A22="","",MAX(B22+0,K22+0,L22+0))</f>
        <v/>
      </c>
      <c r="Q22" s="0" t="str">
        <f aca="true">IF(A22="","",IF(OR(J22="Approved",J22="Rejected",J22="Void"),"",TODAY()-P22))</f>
        <v/>
      </c>
    </row>
    <row r="23" customFormat="false" ht="15" hidden="false" customHeight="false" outlineLevel="0" collapsed="false">
      <c r="M23" s="0" t="str">
        <f aca="false">IF(A23="","",SUMIFS(H$2:H23,J$2:J23,"Approved"))</f>
        <v/>
      </c>
      <c r="P23" s="13" t="str">
        <f aca="false">IF(A23="","",MAX(B23+0,K23+0,L23+0))</f>
        <v/>
      </c>
      <c r="Q23" s="0" t="str">
        <f aca="true">IF(A23="","",IF(OR(J23="Approved",J23="Rejected",J23="Void"),"",TODAY()-P23))</f>
        <v/>
      </c>
    </row>
    <row r="24" customFormat="false" ht="15" hidden="false" customHeight="false" outlineLevel="0" collapsed="false">
      <c r="M24" s="0" t="str">
        <f aca="false">IF(A24="","",SUMIFS(H$2:H24,J$2:J24,"Approved"))</f>
        <v/>
      </c>
      <c r="P24" s="13" t="str">
        <f aca="false">IF(A24="","",MAX(B24+0,K24+0,L24+0))</f>
        <v/>
      </c>
      <c r="Q24" s="0" t="str">
        <f aca="true">IF(A24="","",IF(OR(J24="Approved",J24="Rejected",J24="Void"),"",TODAY()-P24))</f>
        <v/>
      </c>
    </row>
    <row r="25" customFormat="false" ht="15" hidden="false" customHeight="false" outlineLevel="0" collapsed="false">
      <c r="M25" s="0" t="str">
        <f aca="false">IF(A25="","",SUMIFS(H$2:H25,J$2:J25,"Approved"))</f>
        <v/>
      </c>
      <c r="P25" s="13" t="str">
        <f aca="false">IF(A25="","",MAX(B25+0,K25+0,L25+0))</f>
        <v/>
      </c>
      <c r="Q25" s="0" t="str">
        <f aca="true">IF(A25="","",IF(OR(J25="Approved",J25="Rejected",J25="Void"),"",TODAY()-P25))</f>
        <v/>
      </c>
    </row>
    <row r="26" customFormat="false" ht="15" hidden="false" customHeight="false" outlineLevel="0" collapsed="false">
      <c r="M26" s="0" t="str">
        <f aca="false">IF(A26="","",SUMIFS(H$2:H26,J$2:J26,"Approved"))</f>
        <v/>
      </c>
      <c r="P26" s="13" t="str">
        <f aca="false">IF(A26="","",MAX(B26+0,K26+0,L26+0))</f>
        <v/>
      </c>
      <c r="Q26" s="0" t="str">
        <f aca="true">IF(A26="","",IF(OR(J26="Approved",J26="Rejected",J26="Void"),"",TODAY()-P26))</f>
        <v/>
      </c>
    </row>
    <row r="27" customFormat="false" ht="15" hidden="false" customHeight="false" outlineLevel="0" collapsed="false">
      <c r="M27" s="0" t="str">
        <f aca="false">IF(A27="","",SUMIFS(H$2:H27,J$2:J27,"Approved"))</f>
        <v/>
      </c>
      <c r="P27" s="13" t="str">
        <f aca="false">IF(A27="","",MAX(B27+0,K27+0,L27+0))</f>
        <v/>
      </c>
      <c r="Q27" s="0" t="str">
        <f aca="true">IF(A27="","",IF(OR(J27="Approved",J27="Rejected",J27="Void"),"",TODAY()-P27))</f>
        <v/>
      </c>
    </row>
    <row r="28" customFormat="false" ht="15" hidden="false" customHeight="false" outlineLevel="0" collapsed="false">
      <c r="M28" s="0" t="str">
        <f aca="false">IF(A28="","",SUMIFS(H$2:H28,J$2:J28,"Approved"))</f>
        <v/>
      </c>
      <c r="P28" s="13" t="str">
        <f aca="false">IF(A28="","",MAX(B28+0,K28+0,L28+0))</f>
        <v/>
      </c>
      <c r="Q28" s="0" t="str">
        <f aca="true">IF(A28="","",IF(OR(J28="Approved",J28="Rejected",J28="Void"),"",TODAY()-P28))</f>
        <v/>
      </c>
    </row>
    <row r="29" customFormat="false" ht="15" hidden="false" customHeight="false" outlineLevel="0" collapsed="false">
      <c r="M29" s="0" t="str">
        <f aca="false">IF(A29="","",SUMIFS(H$2:H29,J$2:J29,"Approved"))</f>
        <v/>
      </c>
      <c r="P29" s="13" t="str">
        <f aca="false">IF(A29="","",MAX(B29+0,K29+0,L29+0))</f>
        <v/>
      </c>
      <c r="Q29" s="0" t="str">
        <f aca="true">IF(A29="","",IF(OR(J29="Approved",J29="Rejected",J29="Void"),"",TODAY()-P29))</f>
        <v/>
      </c>
    </row>
    <row r="30" customFormat="false" ht="15" hidden="false" customHeight="false" outlineLevel="0" collapsed="false">
      <c r="M30" s="0" t="str">
        <f aca="false">IF(A30="","",SUMIFS(H$2:H30,J$2:J30,"Approved"))</f>
        <v/>
      </c>
      <c r="P30" s="13" t="str">
        <f aca="false">IF(A30="","",MAX(B30+0,K30+0,L30+0))</f>
        <v/>
      </c>
      <c r="Q30" s="0" t="str">
        <f aca="true">IF(A30="","",IF(OR(J30="Approved",J30="Rejected",J30="Void"),"",TODAY()-P30))</f>
        <v/>
      </c>
    </row>
    <row r="31" customFormat="false" ht="15" hidden="false" customHeight="false" outlineLevel="0" collapsed="false">
      <c r="M31" s="0" t="str">
        <f aca="false">IF(A31="","",SUMIFS(H$2:H31,J$2:J31,"Approved"))</f>
        <v/>
      </c>
      <c r="P31" s="13" t="str">
        <f aca="false">IF(A31="","",MAX(B31+0,K31+0,L31+0))</f>
        <v/>
      </c>
      <c r="Q31" s="0" t="str">
        <f aca="true">IF(A31="","",IF(OR(J31="Approved",J31="Rejected",J31="Void"),"",TODAY()-P31))</f>
        <v/>
      </c>
    </row>
    <row r="32" customFormat="false" ht="15" hidden="false" customHeight="false" outlineLevel="0" collapsed="false">
      <c r="M32" s="0" t="str">
        <f aca="false">IF(A32="","",SUMIFS(H$2:H32,J$2:J32,"Approved"))</f>
        <v/>
      </c>
      <c r="P32" s="13" t="str">
        <f aca="false">IF(A32="","",MAX(B32+0,K32+0,L32+0))</f>
        <v/>
      </c>
      <c r="Q32" s="0" t="str">
        <f aca="true">IF(A32="","",IF(OR(J32="Approved",J32="Rejected",J32="Void"),"",TODAY()-P32))</f>
        <v/>
      </c>
    </row>
    <row r="33" customFormat="false" ht="15" hidden="false" customHeight="false" outlineLevel="0" collapsed="false">
      <c r="M33" s="0" t="str">
        <f aca="false">IF(A33="","",SUMIFS(H$2:H33,J$2:J33,"Approved"))</f>
        <v/>
      </c>
      <c r="P33" s="13" t="str">
        <f aca="false">IF(A33="","",MAX(B33+0,K33+0,L33+0))</f>
        <v/>
      </c>
      <c r="Q33" s="0" t="str">
        <f aca="true">IF(A33="","",IF(OR(J33="Approved",J33="Rejected",J33="Void"),"",TODAY()-P33))</f>
        <v/>
      </c>
    </row>
    <row r="34" customFormat="false" ht="15" hidden="false" customHeight="false" outlineLevel="0" collapsed="false">
      <c r="M34" s="0" t="str">
        <f aca="false">IF(A34="","",SUMIFS(H$2:H34,J$2:J34,"Approved"))</f>
        <v/>
      </c>
      <c r="P34" s="13" t="str">
        <f aca="false">IF(A34="","",MAX(B34+0,K34+0,L34+0))</f>
        <v/>
      </c>
      <c r="Q34" s="0" t="str">
        <f aca="true">IF(A34="","",IF(OR(J34="Approved",J34="Rejected",J34="Void"),"",TODAY()-P34))</f>
        <v/>
      </c>
    </row>
    <row r="35" customFormat="false" ht="15" hidden="false" customHeight="false" outlineLevel="0" collapsed="false">
      <c r="M35" s="0" t="str">
        <f aca="false">IF(A35="","",SUMIFS(H$2:H35,J$2:J35,"Approved"))</f>
        <v/>
      </c>
      <c r="P35" s="13" t="str">
        <f aca="false">IF(A35="","",MAX(B35+0,K35+0,L35+0))</f>
        <v/>
      </c>
      <c r="Q35" s="0" t="str">
        <f aca="true">IF(A35="","",IF(OR(J35="Approved",J35="Rejected",J35="Void"),"",TODAY()-P35))</f>
        <v/>
      </c>
    </row>
    <row r="36" customFormat="false" ht="15" hidden="false" customHeight="false" outlineLevel="0" collapsed="false">
      <c r="M36" s="0" t="str">
        <f aca="false">IF(A36="","",SUMIFS(H$2:H36,J$2:J36,"Approved"))</f>
        <v/>
      </c>
      <c r="P36" s="13" t="str">
        <f aca="false">IF(A36="","",MAX(B36+0,K36+0,L36+0))</f>
        <v/>
      </c>
      <c r="Q36" s="0" t="str">
        <f aca="true">IF(A36="","",IF(OR(J36="Approved",J36="Rejected",J36="Void"),"",TODAY()-P36))</f>
        <v/>
      </c>
    </row>
    <row r="37" customFormat="false" ht="15" hidden="false" customHeight="false" outlineLevel="0" collapsed="false">
      <c r="M37" s="0" t="str">
        <f aca="false">IF(A37="","",SUMIFS(H$2:H37,J$2:J37,"Approved"))</f>
        <v/>
      </c>
      <c r="P37" s="13" t="str">
        <f aca="false">IF(A37="","",MAX(B37+0,K37+0,L37+0))</f>
        <v/>
      </c>
      <c r="Q37" s="0" t="str">
        <f aca="true">IF(A37="","",IF(OR(J37="Approved",J37="Rejected",J37="Void"),"",TODAY()-P37))</f>
        <v/>
      </c>
    </row>
    <row r="38" customFormat="false" ht="15" hidden="false" customHeight="false" outlineLevel="0" collapsed="false">
      <c r="M38" s="0" t="str">
        <f aca="false">IF(A38="","",SUMIFS(H$2:H38,J$2:J38,"Approved"))</f>
        <v/>
      </c>
      <c r="P38" s="13" t="str">
        <f aca="false">IF(A38="","",MAX(B38+0,K38+0,L38+0))</f>
        <v/>
      </c>
      <c r="Q38" s="0" t="str">
        <f aca="true">IF(A38="","",IF(OR(J38="Approved",J38="Rejected",J38="Void"),"",TODAY()-P38))</f>
        <v/>
      </c>
    </row>
    <row r="39" customFormat="false" ht="15" hidden="false" customHeight="false" outlineLevel="0" collapsed="false">
      <c r="M39" s="0" t="str">
        <f aca="false">IF(A39="","",SUMIFS(H$2:H39,J$2:J39,"Approved"))</f>
        <v/>
      </c>
      <c r="P39" s="13" t="str">
        <f aca="false">IF(A39="","",MAX(B39+0,K39+0,L39+0))</f>
        <v/>
      </c>
      <c r="Q39" s="0" t="str">
        <f aca="true">IF(A39="","",IF(OR(J39="Approved",J39="Rejected",J39="Void"),"",TODAY()-P39))</f>
        <v/>
      </c>
    </row>
    <row r="40" customFormat="false" ht="15" hidden="false" customHeight="false" outlineLevel="0" collapsed="false">
      <c r="M40" s="0" t="str">
        <f aca="false">IF(A40="","",SUMIFS(H$2:H40,J$2:J40,"Approved"))</f>
        <v/>
      </c>
      <c r="P40" s="13" t="str">
        <f aca="false">IF(A40="","",MAX(B40+0,K40+0,L40+0))</f>
        <v/>
      </c>
      <c r="Q40" s="0" t="str">
        <f aca="true">IF(A40="","",IF(OR(J40="Approved",J40="Rejected",J40="Void"),"",TODAY()-P40))</f>
        <v/>
      </c>
    </row>
    <row r="41" customFormat="false" ht="15" hidden="false" customHeight="false" outlineLevel="0" collapsed="false">
      <c r="M41" s="0" t="str">
        <f aca="false">IF(A41="","",SUMIFS(H$2:H41,J$2:J41,"Approved"))</f>
        <v/>
      </c>
      <c r="P41" s="13" t="str">
        <f aca="false">IF(A41="","",MAX(B41+0,K41+0,L41+0))</f>
        <v/>
      </c>
      <c r="Q41" s="0" t="str">
        <f aca="true">IF(A41="","",IF(OR(J41="Approved",J41="Rejected",J41="Void"),"",TODAY()-P41))</f>
        <v/>
      </c>
    </row>
    <row r="42" customFormat="false" ht="15" hidden="false" customHeight="false" outlineLevel="0" collapsed="false">
      <c r="M42" s="0" t="str">
        <f aca="false">IF(A42="","",SUMIFS(H$2:H42,J$2:J42,"Approved"))</f>
        <v/>
      </c>
      <c r="P42" s="13" t="str">
        <f aca="false">IF(A42="","",MAX(B42+0,K42+0,L42+0))</f>
        <v/>
      </c>
      <c r="Q42" s="0" t="str">
        <f aca="true">IF(A42="","",IF(OR(J42="Approved",J42="Rejected",J42="Void"),"",TODAY()-P42))</f>
        <v/>
      </c>
    </row>
    <row r="43" customFormat="false" ht="15" hidden="false" customHeight="false" outlineLevel="0" collapsed="false">
      <c r="M43" s="0" t="str">
        <f aca="false">IF(A43="","",SUMIFS(H$2:H43,J$2:J43,"Approved"))</f>
        <v/>
      </c>
      <c r="P43" s="13" t="str">
        <f aca="false">IF(A43="","",MAX(B43+0,K43+0,L43+0))</f>
        <v/>
      </c>
      <c r="Q43" s="0" t="str">
        <f aca="true">IF(A43="","",IF(OR(J43="Approved",J43="Rejected",J43="Void"),"",TODAY()-P43))</f>
        <v/>
      </c>
    </row>
    <row r="44" customFormat="false" ht="15" hidden="false" customHeight="false" outlineLevel="0" collapsed="false">
      <c r="M44" s="0" t="str">
        <f aca="false">IF(A44="","",SUMIFS(H$2:H44,J$2:J44,"Approved"))</f>
        <v/>
      </c>
      <c r="P44" s="13" t="str">
        <f aca="false">IF(A44="","",MAX(B44+0,K44+0,L44+0))</f>
        <v/>
      </c>
      <c r="Q44" s="0" t="str">
        <f aca="true">IF(A44="","",IF(OR(J44="Approved",J44="Rejected",J44="Void"),"",TODAY()-P44))</f>
        <v/>
      </c>
    </row>
    <row r="45" customFormat="false" ht="15" hidden="false" customHeight="false" outlineLevel="0" collapsed="false">
      <c r="M45" s="0" t="str">
        <f aca="false">IF(A45="","",SUMIFS(H$2:H45,J$2:J45,"Approved"))</f>
        <v/>
      </c>
      <c r="P45" s="13" t="str">
        <f aca="false">IF(A45="","",MAX(B45+0,K45+0,L45+0))</f>
        <v/>
      </c>
      <c r="Q45" s="0" t="str">
        <f aca="true">IF(A45="","",IF(OR(J45="Approved",J45="Rejected",J45="Void"),"",TODAY()-P45))</f>
        <v/>
      </c>
    </row>
    <row r="46" customFormat="false" ht="15" hidden="false" customHeight="false" outlineLevel="0" collapsed="false">
      <c r="M46" s="0" t="str">
        <f aca="false">IF(A46="","",SUMIFS(H$2:H46,J$2:J46,"Approved"))</f>
        <v/>
      </c>
      <c r="P46" s="13" t="str">
        <f aca="false">IF(A46="","",MAX(B46+0,K46+0,L46+0))</f>
        <v/>
      </c>
      <c r="Q46" s="0" t="str">
        <f aca="true">IF(A46="","",IF(OR(J46="Approved",J46="Rejected",J46="Void"),"",TODAY()-P46))</f>
        <v/>
      </c>
    </row>
    <row r="47" customFormat="false" ht="15" hidden="false" customHeight="false" outlineLevel="0" collapsed="false">
      <c r="M47" s="0" t="str">
        <f aca="false">IF(A47="","",SUMIFS(H$2:H47,J$2:J47,"Approved"))</f>
        <v/>
      </c>
      <c r="P47" s="13" t="str">
        <f aca="false">IF(A47="","",MAX(B47+0,K47+0,L47+0))</f>
        <v/>
      </c>
      <c r="Q47" s="0" t="str">
        <f aca="true">IF(A47="","",IF(OR(J47="Approved",J47="Rejected",J47="Void"),"",TODAY()-P47))</f>
        <v/>
      </c>
    </row>
    <row r="48" customFormat="false" ht="15" hidden="false" customHeight="false" outlineLevel="0" collapsed="false">
      <c r="M48" s="0" t="str">
        <f aca="false">IF(A48="","",SUMIFS(H$2:H48,J$2:J48,"Approved"))</f>
        <v/>
      </c>
      <c r="P48" s="13" t="str">
        <f aca="false">IF(A48="","",MAX(B48+0,K48+0,L48+0))</f>
        <v/>
      </c>
      <c r="Q48" s="0" t="str">
        <f aca="true">IF(A48="","",IF(OR(J48="Approved",J48="Rejected",J48="Void"),"",TODAY()-P48))</f>
        <v/>
      </c>
    </row>
    <row r="49" customFormat="false" ht="15" hidden="false" customHeight="false" outlineLevel="0" collapsed="false">
      <c r="M49" s="0" t="str">
        <f aca="false">IF(A49="","",SUMIFS(H$2:H49,J$2:J49,"Approved"))</f>
        <v/>
      </c>
      <c r="P49" s="13" t="str">
        <f aca="false">IF(A49="","",MAX(B49+0,K49+0,L49+0))</f>
        <v/>
      </c>
      <c r="Q49" s="0" t="str">
        <f aca="true">IF(A49="","",IF(OR(J49="Approved",J49="Rejected",J49="Void"),"",TODAY()-P49))</f>
        <v/>
      </c>
    </row>
    <row r="50" customFormat="false" ht="15" hidden="false" customHeight="false" outlineLevel="0" collapsed="false">
      <c r="M50" s="0" t="str">
        <f aca="false">IF(A50="","",SUMIFS(H$2:H50,J$2:J50,"Approved"))</f>
        <v/>
      </c>
      <c r="P50" s="13" t="str">
        <f aca="false">IF(A50="","",MAX(B50+0,K50+0,L50+0))</f>
        <v/>
      </c>
      <c r="Q50" s="0" t="str">
        <f aca="true">IF(A50="","",IF(OR(J50="Approved",J50="Rejected",J50="Void"),"",TODAY()-P50))</f>
        <v/>
      </c>
    </row>
    <row r="51" customFormat="false" ht="15" hidden="false" customHeight="false" outlineLevel="0" collapsed="false">
      <c r="M51" s="0" t="str">
        <f aca="false">IF(A51="","",SUMIFS(H$2:H51,J$2:J51,"Approved"))</f>
        <v/>
      </c>
      <c r="P51" s="13" t="str">
        <f aca="false">IF(A51="","",MAX(B51+0,K51+0,L51+0))</f>
        <v/>
      </c>
      <c r="Q51" s="0" t="str">
        <f aca="true">IF(A51="","",IF(OR(J51="Approved",J51="Rejected",J51="Void"),"",TODAY()-P51))</f>
        <v/>
      </c>
    </row>
    <row r="52" customFormat="false" ht="15" hidden="false" customHeight="false" outlineLevel="0" collapsed="false">
      <c r="M52" s="0" t="str">
        <f aca="false">IF(A52="","",SUMIFS(H$2:H52,J$2:J52,"Approved"))</f>
        <v/>
      </c>
      <c r="P52" s="13" t="str">
        <f aca="false">IF(A52="","",MAX(B52+0,K52+0,L52+0))</f>
        <v/>
      </c>
      <c r="Q52" s="0" t="str">
        <f aca="true">IF(A52="","",IF(OR(J52="Approved",J52="Rejected",J52="Void"),"",TODAY()-P52))</f>
        <v/>
      </c>
    </row>
    <row r="53" customFormat="false" ht="15" hidden="false" customHeight="false" outlineLevel="0" collapsed="false">
      <c r="M53" s="0" t="str">
        <f aca="false">IF(A53="","",SUMIFS(H$2:H53,J$2:J53,"Approved"))</f>
        <v/>
      </c>
      <c r="P53" s="13" t="str">
        <f aca="false">IF(A53="","",MAX(B53+0,K53+0,L53+0))</f>
        <v/>
      </c>
      <c r="Q53" s="0" t="str">
        <f aca="true">IF(A53="","",IF(OR(J53="Approved",J53="Rejected",J53="Void"),"",TODAY()-P53))</f>
        <v/>
      </c>
    </row>
    <row r="54" customFormat="false" ht="15" hidden="false" customHeight="false" outlineLevel="0" collapsed="false">
      <c r="M54" s="0" t="str">
        <f aca="false">IF(A54="","",SUMIFS(H$2:H54,J$2:J54,"Approved"))</f>
        <v/>
      </c>
      <c r="P54" s="13" t="str">
        <f aca="false">IF(A54="","",MAX(B54+0,K54+0,L54+0))</f>
        <v/>
      </c>
      <c r="Q54" s="0" t="str">
        <f aca="true">IF(A54="","",IF(OR(J54="Approved",J54="Rejected",J54="Void"),"",TODAY()-P54))</f>
        <v/>
      </c>
    </row>
    <row r="55" customFormat="false" ht="15" hidden="false" customHeight="false" outlineLevel="0" collapsed="false">
      <c r="M55" s="0" t="str">
        <f aca="false">IF(A55="","",SUMIFS(H$2:H55,J$2:J55,"Approved"))</f>
        <v/>
      </c>
      <c r="P55" s="13" t="str">
        <f aca="false">IF(A55="","",MAX(B55+0,K55+0,L55+0))</f>
        <v/>
      </c>
      <c r="Q55" s="0" t="str">
        <f aca="true">IF(A55="","",IF(OR(J55="Approved",J55="Rejected",J55="Void"),"",TODAY()-P55))</f>
        <v/>
      </c>
    </row>
    <row r="56" customFormat="false" ht="15" hidden="false" customHeight="false" outlineLevel="0" collapsed="false">
      <c r="M56" s="0" t="str">
        <f aca="false">IF(A56="","",SUMIFS(H$2:H56,J$2:J56,"Approved"))</f>
        <v/>
      </c>
      <c r="P56" s="13" t="str">
        <f aca="false">IF(A56="","",MAX(B56+0,K56+0,L56+0))</f>
        <v/>
      </c>
      <c r="Q56" s="0" t="str">
        <f aca="true">IF(A56="","",IF(OR(J56="Approved",J56="Rejected",J56="Void"),"",TODAY()-P56))</f>
        <v/>
      </c>
    </row>
    <row r="57" customFormat="false" ht="15" hidden="false" customHeight="false" outlineLevel="0" collapsed="false">
      <c r="M57" s="0" t="str">
        <f aca="false">IF(A57="","",SUMIFS(H$2:H57,J$2:J57,"Approved"))</f>
        <v/>
      </c>
      <c r="P57" s="13" t="str">
        <f aca="false">IF(A57="","",MAX(B57+0,K57+0,L57+0))</f>
        <v/>
      </c>
      <c r="Q57" s="0" t="str">
        <f aca="true">IF(A57="","",IF(OR(J57="Approved",J57="Rejected",J57="Void"),"",TODAY()-P57))</f>
        <v/>
      </c>
    </row>
    <row r="58" customFormat="false" ht="15" hidden="false" customHeight="false" outlineLevel="0" collapsed="false">
      <c r="M58" s="0" t="str">
        <f aca="false">IF(A58="","",SUMIFS(H$2:H58,J$2:J58,"Approved"))</f>
        <v/>
      </c>
      <c r="P58" s="13" t="str">
        <f aca="false">IF(A58="","",MAX(B58+0,K58+0,L58+0))</f>
        <v/>
      </c>
      <c r="Q58" s="0" t="str">
        <f aca="true">IF(A58="","",IF(OR(J58="Approved",J58="Rejected",J58="Void"),"",TODAY()-P58))</f>
        <v/>
      </c>
    </row>
    <row r="59" customFormat="false" ht="15" hidden="false" customHeight="false" outlineLevel="0" collapsed="false">
      <c r="M59" s="0" t="str">
        <f aca="false">IF(A59="","",SUMIFS(H$2:H59,J$2:J59,"Approved"))</f>
        <v/>
      </c>
      <c r="P59" s="13" t="str">
        <f aca="false">IF(A59="","",MAX(B59+0,K59+0,L59+0))</f>
        <v/>
      </c>
      <c r="Q59" s="0" t="str">
        <f aca="true">IF(A59="","",IF(OR(J59="Approved",J59="Rejected",J59="Void"),"",TODAY()-P59))</f>
        <v/>
      </c>
    </row>
    <row r="60" customFormat="false" ht="15" hidden="false" customHeight="false" outlineLevel="0" collapsed="false">
      <c r="M60" s="0" t="str">
        <f aca="false">IF(A60="","",SUMIFS(H$2:H60,J$2:J60,"Approved"))</f>
        <v/>
      </c>
      <c r="P60" s="13" t="str">
        <f aca="false">IF(A60="","",MAX(B60+0,K60+0,L60+0))</f>
        <v/>
      </c>
      <c r="Q60" s="0" t="str">
        <f aca="true">IF(A60="","",IF(OR(J60="Approved",J60="Rejected",J60="Void"),"",TODAY()-P60))</f>
        <v/>
      </c>
    </row>
    <row r="61" customFormat="false" ht="15" hidden="false" customHeight="false" outlineLevel="0" collapsed="false">
      <c r="M61" s="0" t="str">
        <f aca="false">IF(A61="","",SUMIFS(H$2:H61,J$2:J61,"Approved"))</f>
        <v/>
      </c>
      <c r="P61" s="13" t="str">
        <f aca="false">IF(A61="","",MAX(B61+0,K61+0,L61+0))</f>
        <v/>
      </c>
      <c r="Q61" s="0" t="str">
        <f aca="true">IF(A61="","",IF(OR(J61="Approved",J61="Rejected",J61="Void"),"",TODAY()-P61))</f>
        <v/>
      </c>
    </row>
    <row r="62" customFormat="false" ht="15" hidden="false" customHeight="false" outlineLevel="0" collapsed="false">
      <c r="M62" s="0" t="str">
        <f aca="false">IF(A62="","",SUMIFS(H$2:H62,J$2:J62,"Approved"))</f>
        <v/>
      </c>
      <c r="P62" s="13" t="str">
        <f aca="false">IF(A62="","",MAX(B62+0,K62+0,L62+0))</f>
        <v/>
      </c>
      <c r="Q62" s="0" t="str">
        <f aca="true">IF(A62="","",IF(OR(J62="Approved",J62="Rejected",J62="Void"),"",TODAY()-P62))</f>
        <v/>
      </c>
    </row>
    <row r="63" customFormat="false" ht="15" hidden="false" customHeight="false" outlineLevel="0" collapsed="false">
      <c r="M63" s="0" t="str">
        <f aca="false">IF(A63="","",SUMIFS(H$2:H63,J$2:J63,"Approved"))</f>
        <v/>
      </c>
      <c r="P63" s="13" t="str">
        <f aca="false">IF(A63="","",MAX(B63+0,K63+0,L63+0))</f>
        <v/>
      </c>
      <c r="Q63" s="0" t="str">
        <f aca="true">IF(A63="","",IF(OR(J63="Approved",J63="Rejected",J63="Void"),"",TODAY()-P63))</f>
        <v/>
      </c>
    </row>
    <row r="64" customFormat="false" ht="15" hidden="false" customHeight="false" outlineLevel="0" collapsed="false">
      <c r="M64" s="0" t="str">
        <f aca="false">IF(A64="","",SUMIFS(H$2:H64,J$2:J64,"Approved"))</f>
        <v/>
      </c>
      <c r="P64" s="13" t="str">
        <f aca="false">IF(A64="","",MAX(B64+0,K64+0,L64+0))</f>
        <v/>
      </c>
      <c r="Q64" s="0" t="str">
        <f aca="true">IF(A64="","",IF(OR(J64="Approved",J64="Rejected",J64="Void"),"",TODAY()-P64))</f>
        <v/>
      </c>
    </row>
    <row r="65" customFormat="false" ht="15" hidden="false" customHeight="false" outlineLevel="0" collapsed="false">
      <c r="M65" s="0" t="str">
        <f aca="false">IF(A65="","",SUMIFS(H$2:H65,J$2:J65,"Approved"))</f>
        <v/>
      </c>
      <c r="P65" s="13" t="str">
        <f aca="false">IF(A65="","",MAX(B65+0,K65+0,L65+0))</f>
        <v/>
      </c>
      <c r="Q65" s="0" t="str">
        <f aca="true">IF(A65="","",IF(OR(J65="Approved",J65="Rejected",J65="Void"),"",TODAY()-P65))</f>
        <v/>
      </c>
    </row>
    <row r="66" customFormat="false" ht="15" hidden="false" customHeight="false" outlineLevel="0" collapsed="false">
      <c r="M66" s="0" t="str">
        <f aca="false">IF(A66="","",SUMIFS(H$2:H66,J$2:J66,"Approved"))</f>
        <v/>
      </c>
      <c r="P66" s="13" t="str">
        <f aca="false">IF(A66="","",MAX(B66+0,K66+0,L66+0))</f>
        <v/>
      </c>
      <c r="Q66" s="0" t="str">
        <f aca="true">IF(A66="","",IF(OR(J66="Approved",J66="Rejected",J66="Void"),"",TODAY()-P66))</f>
        <v/>
      </c>
    </row>
    <row r="67" customFormat="false" ht="15" hidden="false" customHeight="false" outlineLevel="0" collapsed="false">
      <c r="M67" s="0" t="str">
        <f aca="false">IF(A67="","",SUMIFS(H$2:H67,J$2:J67,"Approved"))</f>
        <v/>
      </c>
      <c r="P67" s="13" t="str">
        <f aca="false">IF(A67="","",MAX(B67+0,K67+0,L67+0))</f>
        <v/>
      </c>
      <c r="Q67" s="0" t="str">
        <f aca="true">IF(A67="","",IF(OR(J67="Approved",J67="Rejected",J67="Void"),"",TODAY()-P67))</f>
        <v/>
      </c>
    </row>
    <row r="68" customFormat="false" ht="15" hidden="false" customHeight="false" outlineLevel="0" collapsed="false">
      <c r="M68" s="0" t="str">
        <f aca="false">IF(A68="","",SUMIFS(H$2:H68,J$2:J68,"Approved"))</f>
        <v/>
      </c>
      <c r="P68" s="13" t="str">
        <f aca="false">IF(A68="","",MAX(B68+0,K68+0,L68+0))</f>
        <v/>
      </c>
      <c r="Q68" s="0" t="str">
        <f aca="true">IF(A68="","",IF(OR(J68="Approved",J68="Rejected",J68="Void"),"",TODAY()-P68))</f>
        <v/>
      </c>
    </row>
    <row r="69" customFormat="false" ht="15" hidden="false" customHeight="false" outlineLevel="0" collapsed="false">
      <c r="M69" s="0" t="str">
        <f aca="false">IF(A69="","",SUMIFS(H$2:H69,J$2:J69,"Approved"))</f>
        <v/>
      </c>
      <c r="P69" s="13" t="str">
        <f aca="false">IF(A69="","",MAX(B69+0,K69+0,L69+0))</f>
        <v/>
      </c>
      <c r="Q69" s="0" t="str">
        <f aca="true">IF(A69="","",IF(OR(J69="Approved",J69="Rejected",J69="Void"),"",TODAY()-P69))</f>
        <v/>
      </c>
    </row>
    <row r="70" customFormat="false" ht="15" hidden="false" customHeight="false" outlineLevel="0" collapsed="false">
      <c r="M70" s="0" t="str">
        <f aca="false">IF(A70="","",SUMIFS(H$2:H70,J$2:J70,"Approved"))</f>
        <v/>
      </c>
      <c r="P70" s="13" t="str">
        <f aca="false">IF(A70="","",MAX(B70+0,K70+0,L70+0))</f>
        <v/>
      </c>
      <c r="Q70" s="0" t="str">
        <f aca="true">IF(A70="","",IF(OR(J70="Approved",J70="Rejected",J70="Void"),"",TODAY()-P70))</f>
        <v/>
      </c>
    </row>
    <row r="71" customFormat="false" ht="15" hidden="false" customHeight="false" outlineLevel="0" collapsed="false">
      <c r="M71" s="0" t="str">
        <f aca="false">IF(A71="","",SUMIFS(H$2:H71,J$2:J71,"Approved"))</f>
        <v/>
      </c>
      <c r="P71" s="13" t="str">
        <f aca="false">IF(A71="","",MAX(B71+0,K71+0,L71+0))</f>
        <v/>
      </c>
      <c r="Q71" s="0" t="str">
        <f aca="true">IF(A71="","",IF(OR(J71="Approved",J71="Rejected",J71="Void"),"",TODAY()-P71))</f>
        <v/>
      </c>
    </row>
    <row r="72" customFormat="false" ht="15" hidden="false" customHeight="false" outlineLevel="0" collapsed="false">
      <c r="M72" s="0" t="str">
        <f aca="false">IF(A72="","",SUMIFS(H$2:H72,J$2:J72,"Approved"))</f>
        <v/>
      </c>
      <c r="P72" s="13" t="str">
        <f aca="false">IF(A72="","",MAX(B72+0,K72+0,L72+0))</f>
        <v/>
      </c>
      <c r="Q72" s="0" t="str">
        <f aca="true">IF(A72="","",IF(OR(J72="Approved",J72="Rejected",J72="Void"),"",TODAY()-P72))</f>
        <v/>
      </c>
    </row>
    <row r="73" customFormat="false" ht="15" hidden="false" customHeight="false" outlineLevel="0" collapsed="false">
      <c r="M73" s="0" t="str">
        <f aca="false">IF(A73="","",SUMIFS(H$2:H73,J$2:J73,"Approved"))</f>
        <v/>
      </c>
      <c r="P73" s="13" t="str">
        <f aca="false">IF(A73="","",MAX(B73+0,K73+0,L73+0))</f>
        <v/>
      </c>
      <c r="Q73" s="0" t="str">
        <f aca="true">IF(A73="","",IF(OR(J73="Approved",J73="Rejected",J73="Void"),"",TODAY()-P73))</f>
        <v/>
      </c>
    </row>
    <row r="74" customFormat="false" ht="15" hidden="false" customHeight="false" outlineLevel="0" collapsed="false">
      <c r="M74" s="0" t="str">
        <f aca="false">IF(A74="","",SUMIFS(H$2:H74,J$2:J74,"Approved"))</f>
        <v/>
      </c>
      <c r="P74" s="13" t="str">
        <f aca="false">IF(A74="","",MAX(B74+0,K74+0,L74+0))</f>
        <v/>
      </c>
      <c r="Q74" s="0" t="str">
        <f aca="true">IF(A74="","",IF(OR(J74="Approved",J74="Rejected",J74="Void"),"",TODAY()-P74))</f>
        <v/>
      </c>
    </row>
    <row r="75" customFormat="false" ht="15" hidden="false" customHeight="false" outlineLevel="0" collapsed="false">
      <c r="M75" s="0" t="str">
        <f aca="false">IF(A75="","",SUMIFS(H$2:H75,J$2:J75,"Approved"))</f>
        <v/>
      </c>
      <c r="P75" s="13" t="str">
        <f aca="false">IF(A75="","",MAX(B75+0,K75+0,L75+0))</f>
        <v/>
      </c>
      <c r="Q75" s="0" t="str">
        <f aca="true">IF(A75="","",IF(OR(J75="Approved",J75="Rejected",J75="Void"),"",TODAY()-P75))</f>
        <v/>
      </c>
    </row>
    <row r="76" customFormat="false" ht="15" hidden="false" customHeight="false" outlineLevel="0" collapsed="false">
      <c r="M76" s="0" t="str">
        <f aca="false">IF(A76="","",SUMIFS(H$2:H76,J$2:J76,"Approved"))</f>
        <v/>
      </c>
      <c r="P76" s="13" t="str">
        <f aca="false">IF(A76="","",MAX(B76+0,K76+0,L76+0))</f>
        <v/>
      </c>
      <c r="Q76" s="0" t="str">
        <f aca="true">IF(A76="","",IF(OR(J76="Approved",J76="Rejected",J76="Void"),"",TODAY()-P76))</f>
        <v/>
      </c>
    </row>
    <row r="77" customFormat="false" ht="15" hidden="false" customHeight="false" outlineLevel="0" collapsed="false">
      <c r="M77" s="0" t="str">
        <f aca="false">IF(A77="","",SUMIFS(H$2:H77,J$2:J77,"Approved"))</f>
        <v/>
      </c>
      <c r="P77" s="13" t="str">
        <f aca="false">IF(A77="","",MAX(B77+0,K77+0,L77+0))</f>
        <v/>
      </c>
      <c r="Q77" s="0" t="str">
        <f aca="true">IF(A77="","",IF(OR(J77="Approved",J77="Rejected",J77="Void"),"",TODAY()-P77))</f>
        <v/>
      </c>
    </row>
    <row r="78" customFormat="false" ht="15" hidden="false" customHeight="false" outlineLevel="0" collapsed="false">
      <c r="M78" s="0" t="str">
        <f aca="false">IF(A78="","",SUMIFS(H$2:H78,J$2:J78,"Approved"))</f>
        <v/>
      </c>
      <c r="P78" s="13" t="str">
        <f aca="false">IF(A78="","",MAX(B78+0,K78+0,L78+0))</f>
        <v/>
      </c>
      <c r="Q78" s="0" t="str">
        <f aca="true">IF(A78="","",IF(OR(J78="Approved",J78="Rejected",J78="Void"),"",TODAY()-P78))</f>
        <v/>
      </c>
    </row>
    <row r="79" customFormat="false" ht="15" hidden="false" customHeight="false" outlineLevel="0" collapsed="false">
      <c r="M79" s="0" t="str">
        <f aca="false">IF(A79="","",SUMIFS(H$2:H79,J$2:J79,"Approved"))</f>
        <v/>
      </c>
      <c r="P79" s="13" t="str">
        <f aca="false">IF(A79="","",MAX(B79+0,K79+0,L79+0))</f>
        <v/>
      </c>
      <c r="Q79" s="0" t="str">
        <f aca="true">IF(A79="","",IF(OR(J79="Approved",J79="Rejected",J79="Void"),"",TODAY()-P79))</f>
        <v/>
      </c>
    </row>
    <row r="80" customFormat="false" ht="15" hidden="false" customHeight="false" outlineLevel="0" collapsed="false">
      <c r="M80" s="0" t="str">
        <f aca="false">IF(A80="","",SUMIFS(H$2:H80,J$2:J80,"Approved"))</f>
        <v/>
      </c>
      <c r="P80" s="13" t="str">
        <f aca="false">IF(A80="","",MAX(B80+0,K80+0,L80+0))</f>
        <v/>
      </c>
      <c r="Q80" s="0" t="str">
        <f aca="true">IF(A80="","",IF(OR(J80="Approved",J80="Rejected",J80="Void"),"",TODAY()-P80))</f>
        <v/>
      </c>
    </row>
    <row r="81" customFormat="false" ht="15" hidden="false" customHeight="false" outlineLevel="0" collapsed="false">
      <c r="M81" s="0" t="str">
        <f aca="false">IF(A81="","",SUMIFS(H$2:H81,J$2:J81,"Approved"))</f>
        <v/>
      </c>
      <c r="P81" s="13" t="str">
        <f aca="false">IF(A81="","",MAX(B81+0,K81+0,L81+0))</f>
        <v/>
      </c>
      <c r="Q81" s="0" t="str">
        <f aca="true">IF(A81="","",IF(OR(J81="Approved",J81="Rejected",J81="Void"),"",TODAY()-P81))</f>
        <v/>
      </c>
    </row>
    <row r="82" customFormat="false" ht="15" hidden="false" customHeight="false" outlineLevel="0" collapsed="false">
      <c r="M82" s="0" t="str">
        <f aca="false">IF(A82="","",SUMIFS(H$2:H82,J$2:J82,"Approved"))</f>
        <v/>
      </c>
      <c r="P82" s="13" t="str">
        <f aca="false">IF(A82="","",MAX(B82+0,K82+0,L82+0))</f>
        <v/>
      </c>
      <c r="Q82" s="0" t="str">
        <f aca="true">IF(A82="","",IF(OR(J82="Approved",J82="Rejected",J82="Void"),"",TODAY()-P82))</f>
        <v/>
      </c>
    </row>
    <row r="83" customFormat="false" ht="15" hidden="false" customHeight="false" outlineLevel="0" collapsed="false">
      <c r="M83" s="0" t="str">
        <f aca="false">IF(A83="","",SUMIFS(H$2:H83,J$2:J83,"Approved"))</f>
        <v/>
      </c>
      <c r="P83" s="13" t="str">
        <f aca="false">IF(A83="","",MAX(B83+0,K83+0,L83+0))</f>
        <v/>
      </c>
      <c r="Q83" s="0" t="str">
        <f aca="true">IF(A83="","",IF(OR(J83="Approved",J83="Rejected",J83="Void"),"",TODAY()-P83))</f>
        <v/>
      </c>
    </row>
    <row r="84" customFormat="false" ht="15" hidden="false" customHeight="false" outlineLevel="0" collapsed="false">
      <c r="M84" s="0" t="str">
        <f aca="false">IF(A84="","",SUMIFS(H$2:H84,J$2:J84,"Approved"))</f>
        <v/>
      </c>
      <c r="P84" s="13" t="str">
        <f aca="false">IF(A84="","",MAX(B84+0,K84+0,L84+0))</f>
        <v/>
      </c>
      <c r="Q84" s="0" t="str">
        <f aca="true">IF(A84="","",IF(OR(J84="Approved",J84="Rejected",J84="Void"),"",TODAY()-P84))</f>
        <v/>
      </c>
    </row>
    <row r="85" customFormat="false" ht="15" hidden="false" customHeight="false" outlineLevel="0" collapsed="false">
      <c r="M85" s="0" t="str">
        <f aca="false">IF(A85="","",SUMIFS(H$2:H85,J$2:J85,"Approved"))</f>
        <v/>
      </c>
      <c r="P85" s="13" t="str">
        <f aca="false">IF(A85="","",MAX(B85+0,K85+0,L85+0))</f>
        <v/>
      </c>
      <c r="Q85" s="0" t="str">
        <f aca="true">IF(A85="","",IF(OR(J85="Approved",J85="Rejected",J85="Void"),"",TODAY()-P85))</f>
        <v/>
      </c>
    </row>
    <row r="86" customFormat="false" ht="15" hidden="false" customHeight="false" outlineLevel="0" collapsed="false">
      <c r="M86" s="0" t="str">
        <f aca="false">IF(A86="","",SUMIFS(H$2:H86,J$2:J86,"Approved"))</f>
        <v/>
      </c>
      <c r="P86" s="13" t="str">
        <f aca="false">IF(A86="","",MAX(B86+0,K86+0,L86+0))</f>
        <v/>
      </c>
      <c r="Q86" s="0" t="str">
        <f aca="true">IF(A86="","",IF(OR(J86="Approved",J86="Rejected",J86="Void"),"",TODAY()-P86))</f>
        <v/>
      </c>
    </row>
    <row r="87" customFormat="false" ht="15" hidden="false" customHeight="false" outlineLevel="0" collapsed="false">
      <c r="M87" s="0" t="str">
        <f aca="false">IF(A87="","",SUMIFS(H$2:H87,J$2:J87,"Approved"))</f>
        <v/>
      </c>
      <c r="P87" s="13" t="str">
        <f aca="false">IF(A87="","",MAX(B87+0,K87+0,L87+0))</f>
        <v/>
      </c>
      <c r="Q87" s="0" t="str">
        <f aca="true">IF(A87="","",IF(OR(J87="Approved",J87="Rejected",J87="Void"),"",TODAY()-P87))</f>
        <v/>
      </c>
    </row>
    <row r="88" customFormat="false" ht="15" hidden="false" customHeight="false" outlineLevel="0" collapsed="false">
      <c r="M88" s="0" t="str">
        <f aca="false">IF(A88="","",SUMIFS(H$2:H88,J$2:J88,"Approved"))</f>
        <v/>
      </c>
      <c r="P88" s="13" t="str">
        <f aca="false">IF(A88="","",MAX(B88+0,K88+0,L88+0))</f>
        <v/>
      </c>
      <c r="Q88" s="0" t="str">
        <f aca="true">IF(A88="","",IF(OR(J88="Approved",J88="Rejected",J88="Void"),"",TODAY()-P88))</f>
        <v/>
      </c>
    </row>
    <row r="89" customFormat="false" ht="15" hidden="false" customHeight="false" outlineLevel="0" collapsed="false">
      <c r="M89" s="0" t="str">
        <f aca="false">IF(A89="","",SUMIFS(H$2:H89,J$2:J89,"Approved"))</f>
        <v/>
      </c>
      <c r="P89" s="13" t="str">
        <f aca="false">IF(A89="","",MAX(B89+0,K89+0,L89+0))</f>
        <v/>
      </c>
      <c r="Q89" s="0" t="str">
        <f aca="true">IF(A89="","",IF(OR(J89="Approved",J89="Rejected",J89="Void"),"",TODAY()-P89))</f>
        <v/>
      </c>
    </row>
    <row r="90" customFormat="false" ht="15" hidden="false" customHeight="false" outlineLevel="0" collapsed="false">
      <c r="M90" s="0" t="str">
        <f aca="false">IF(A90="","",SUMIFS(H$2:H90,J$2:J90,"Approved"))</f>
        <v/>
      </c>
      <c r="P90" s="13" t="str">
        <f aca="false">IF(A90="","",MAX(B90+0,K90+0,L90+0))</f>
        <v/>
      </c>
      <c r="Q90" s="0" t="str">
        <f aca="true">IF(A90="","",IF(OR(J90="Approved",J90="Rejected",J90="Void"),"",TODAY()-P90))</f>
        <v/>
      </c>
    </row>
    <row r="91" customFormat="false" ht="15" hidden="false" customHeight="false" outlineLevel="0" collapsed="false">
      <c r="M91" s="0" t="str">
        <f aca="false">IF(A91="","",SUMIFS(H$2:H91,J$2:J91,"Approved"))</f>
        <v/>
      </c>
      <c r="P91" s="13" t="str">
        <f aca="false">IF(A91="","",MAX(B91+0,K91+0,L91+0))</f>
        <v/>
      </c>
      <c r="Q91" s="0" t="str">
        <f aca="true">IF(A91="","",IF(OR(J91="Approved",J91="Rejected",J91="Void"),"",TODAY()-P91))</f>
        <v/>
      </c>
    </row>
    <row r="92" customFormat="false" ht="15" hidden="false" customHeight="false" outlineLevel="0" collapsed="false">
      <c r="M92" s="0" t="str">
        <f aca="false">IF(A92="","",SUMIFS(H$2:H92,J$2:J92,"Approved"))</f>
        <v/>
      </c>
      <c r="P92" s="13" t="str">
        <f aca="false">IF(A92="","",MAX(B92+0,K92+0,L92+0))</f>
        <v/>
      </c>
      <c r="Q92" s="0" t="str">
        <f aca="true">IF(A92="","",IF(OR(J92="Approved",J92="Rejected",J92="Void"),"",TODAY()-P92))</f>
        <v/>
      </c>
    </row>
    <row r="93" customFormat="false" ht="15" hidden="false" customHeight="false" outlineLevel="0" collapsed="false">
      <c r="M93" s="0" t="str">
        <f aca="false">IF(A93="","",SUMIFS(H$2:H93,J$2:J93,"Approved"))</f>
        <v/>
      </c>
      <c r="P93" s="13" t="str">
        <f aca="false">IF(A93="","",MAX(B93+0,K93+0,L93+0))</f>
        <v/>
      </c>
      <c r="Q93" s="0" t="str">
        <f aca="true">IF(A93="","",IF(OR(J93="Approved",J93="Rejected",J93="Void"),"",TODAY()-P93))</f>
        <v/>
      </c>
    </row>
    <row r="94" customFormat="false" ht="15" hidden="false" customHeight="false" outlineLevel="0" collapsed="false">
      <c r="M94" s="0" t="str">
        <f aca="false">IF(A94="","",SUMIFS(H$2:H94,J$2:J94,"Approved"))</f>
        <v/>
      </c>
      <c r="P94" s="13" t="str">
        <f aca="false">IF(A94="","",MAX(B94+0,K94+0,L94+0))</f>
        <v/>
      </c>
      <c r="Q94" s="0" t="str">
        <f aca="true">IF(A94="","",IF(OR(J94="Approved",J94="Rejected",J94="Void"),"",TODAY()-P94))</f>
        <v/>
      </c>
    </row>
    <row r="95" customFormat="false" ht="15" hidden="false" customHeight="false" outlineLevel="0" collapsed="false">
      <c r="M95" s="0" t="str">
        <f aca="false">IF(A95="","",SUMIFS(H$2:H95,J$2:J95,"Approved"))</f>
        <v/>
      </c>
      <c r="P95" s="13" t="str">
        <f aca="false">IF(A95="","",MAX(B95+0,K95+0,L95+0))</f>
        <v/>
      </c>
      <c r="Q95" s="0" t="str">
        <f aca="true">IF(A95="","",IF(OR(J95="Approved",J95="Rejected",J95="Void"),"",TODAY()-P95))</f>
        <v/>
      </c>
    </row>
    <row r="96" customFormat="false" ht="15" hidden="false" customHeight="false" outlineLevel="0" collapsed="false">
      <c r="M96" s="0" t="str">
        <f aca="false">IF(A96="","",SUMIFS(H$2:H96,J$2:J96,"Approved"))</f>
        <v/>
      </c>
      <c r="P96" s="13" t="str">
        <f aca="false">IF(A96="","",MAX(B96+0,K96+0,L96+0))</f>
        <v/>
      </c>
      <c r="Q96" s="0" t="str">
        <f aca="true">IF(A96="","",IF(OR(J96="Approved",J96="Rejected",J96="Void"),"",TODAY()-P96))</f>
        <v/>
      </c>
    </row>
    <row r="97" customFormat="false" ht="15" hidden="false" customHeight="false" outlineLevel="0" collapsed="false">
      <c r="M97" s="0" t="str">
        <f aca="false">IF(A97="","",SUMIFS(H$2:H97,J$2:J97,"Approved"))</f>
        <v/>
      </c>
      <c r="P97" s="13" t="str">
        <f aca="false">IF(A97="","",MAX(B97+0,K97+0,L97+0))</f>
        <v/>
      </c>
      <c r="Q97" s="0" t="str">
        <f aca="true">IF(A97="","",IF(OR(J97="Approved",J97="Rejected",J97="Void"),"",TODAY()-P97))</f>
        <v/>
      </c>
    </row>
    <row r="98" customFormat="false" ht="15" hidden="false" customHeight="false" outlineLevel="0" collapsed="false">
      <c r="M98" s="0" t="str">
        <f aca="false">IF(A98="","",SUMIFS(H$2:H98,J$2:J98,"Approved"))</f>
        <v/>
      </c>
      <c r="P98" s="13" t="str">
        <f aca="false">IF(A98="","",MAX(B98+0,K98+0,L98+0))</f>
        <v/>
      </c>
      <c r="Q98" s="0" t="str">
        <f aca="true">IF(A98="","",IF(OR(J98="Approved",J98="Rejected",J98="Void"),"",TODAY()-P98))</f>
        <v/>
      </c>
    </row>
    <row r="99" customFormat="false" ht="15" hidden="false" customHeight="false" outlineLevel="0" collapsed="false">
      <c r="M99" s="0" t="str">
        <f aca="false">IF(A99="","",SUMIFS(H$2:H99,J$2:J99,"Approved"))</f>
        <v/>
      </c>
      <c r="P99" s="13" t="str">
        <f aca="false">IF(A99="","",MAX(B99+0,K99+0,L99+0))</f>
        <v/>
      </c>
      <c r="Q99" s="0" t="str">
        <f aca="true">IF(A99="","",IF(OR(J99="Approved",J99="Rejected",J99="Void"),"",TODAY()-P99))</f>
        <v/>
      </c>
    </row>
    <row r="100" customFormat="false" ht="15" hidden="false" customHeight="false" outlineLevel="0" collapsed="false">
      <c r="M100" s="0" t="str">
        <f aca="false">IF(A100="","",SUMIFS(H$2:H100,J$2:J100,"Approved"))</f>
        <v/>
      </c>
      <c r="P100" s="13" t="str">
        <f aca="false">IF(A100="","",MAX(B100+0,K100+0,L100+0))</f>
        <v/>
      </c>
      <c r="Q100" s="0" t="str">
        <f aca="true">IF(A100="","",IF(OR(J100="Approved",J100="Rejected",J100="Void"),"",TODAY()-P100))</f>
        <v/>
      </c>
    </row>
    <row r="101" customFormat="false" ht="15" hidden="false" customHeight="false" outlineLevel="0" collapsed="false">
      <c r="M101" s="0" t="str">
        <f aca="false">IF(A101="","",SUMIFS(H$2:H101,J$2:J101,"Approved"))</f>
        <v/>
      </c>
      <c r="P101" s="13" t="str">
        <f aca="false">IF(A101="","",MAX(B101+0,K101+0,L101+0))</f>
        <v/>
      </c>
      <c r="Q101" s="0" t="str">
        <f aca="true">IF(A101="","",IF(OR(J101="Approved",J101="Rejected",J101="Void"),"",TODAY()-P101))</f>
        <v/>
      </c>
    </row>
    <row r="102" customFormat="false" ht="15" hidden="false" customHeight="false" outlineLevel="0" collapsed="false">
      <c r="M102" s="0" t="str">
        <f aca="false">IF(A102="","",SUMIFS(H$2:H102,J$2:J102,"Approved"))</f>
        <v/>
      </c>
      <c r="P102" s="13" t="str">
        <f aca="false">IF(A102="","",MAX(B102+0,K102+0,L102+0))</f>
        <v/>
      </c>
      <c r="Q102" s="0" t="str">
        <f aca="true">IF(A102="","",IF(OR(J102="Approved",J102="Rejected",J102="Void"),"",TODAY()-P102))</f>
        <v/>
      </c>
    </row>
    <row r="103" customFormat="false" ht="15" hidden="false" customHeight="false" outlineLevel="0" collapsed="false">
      <c r="M103" s="0" t="str">
        <f aca="false">IF(A103="","",SUMIFS(H$2:H103,J$2:J103,"Approved"))</f>
        <v/>
      </c>
      <c r="P103" s="13" t="str">
        <f aca="false">IF(A103="","",MAX(B103+0,K103+0,L103+0))</f>
        <v/>
      </c>
      <c r="Q103" s="0" t="str">
        <f aca="true">IF(A103="","",IF(OR(J103="Approved",J103="Rejected",J103="Void"),"",TODAY()-P103))</f>
        <v/>
      </c>
    </row>
    <row r="104" customFormat="false" ht="15" hidden="false" customHeight="false" outlineLevel="0" collapsed="false">
      <c r="M104" s="0" t="str">
        <f aca="false">IF(A104="","",SUMIFS(H$2:H104,J$2:J104,"Approved"))</f>
        <v/>
      </c>
      <c r="P104" s="13" t="str">
        <f aca="false">IF(A104="","",MAX(B104+0,K104+0,L104+0))</f>
        <v/>
      </c>
      <c r="Q104" s="0" t="str">
        <f aca="true">IF(A104="","",IF(OR(J104="Approved",J104="Rejected",J104="Void"),"",TODAY()-P104))</f>
        <v/>
      </c>
    </row>
    <row r="105" customFormat="false" ht="15" hidden="false" customHeight="false" outlineLevel="0" collapsed="false">
      <c r="M105" s="0" t="str">
        <f aca="false">IF(A105="","",SUMIFS(H$2:H105,J$2:J105,"Approved"))</f>
        <v/>
      </c>
      <c r="P105" s="13" t="str">
        <f aca="false">IF(A105="","",MAX(B105+0,K105+0,L105+0))</f>
        <v/>
      </c>
      <c r="Q105" s="0" t="str">
        <f aca="true">IF(A105="","",IF(OR(J105="Approved",J105="Rejected",J105="Void"),"",TODAY()-P105))</f>
        <v/>
      </c>
    </row>
    <row r="106" customFormat="false" ht="15" hidden="false" customHeight="false" outlineLevel="0" collapsed="false">
      <c r="M106" s="0" t="str">
        <f aca="false">IF(A106="","",SUMIFS(H$2:H106,J$2:J106,"Approved"))</f>
        <v/>
      </c>
      <c r="P106" s="13" t="str">
        <f aca="false">IF(A106="","",MAX(B106+0,K106+0,L106+0))</f>
        <v/>
      </c>
      <c r="Q106" s="0" t="str">
        <f aca="true">IF(A106="","",IF(OR(J106="Approved",J106="Rejected",J106="Void"),"",TODAY()-P106))</f>
        <v/>
      </c>
    </row>
    <row r="107" customFormat="false" ht="15" hidden="false" customHeight="false" outlineLevel="0" collapsed="false">
      <c r="M107" s="0" t="str">
        <f aca="false">IF(A107="","",SUMIFS(H$2:H107,J$2:J107,"Approved"))</f>
        <v/>
      </c>
      <c r="P107" s="13" t="str">
        <f aca="false">IF(A107="","",MAX(B107+0,K107+0,L107+0))</f>
        <v/>
      </c>
      <c r="Q107" s="0" t="str">
        <f aca="true">IF(A107="","",IF(OR(J107="Approved",J107="Rejected",J107="Void"),"",TODAY()-P107))</f>
        <v/>
      </c>
    </row>
    <row r="108" customFormat="false" ht="15" hidden="false" customHeight="false" outlineLevel="0" collapsed="false">
      <c r="M108" s="0" t="str">
        <f aca="false">IF(A108="","",SUMIFS(H$2:H108,J$2:J108,"Approved"))</f>
        <v/>
      </c>
      <c r="P108" s="13" t="str">
        <f aca="false">IF(A108="","",MAX(B108+0,K108+0,L108+0))</f>
        <v/>
      </c>
      <c r="Q108" s="0" t="str">
        <f aca="true">IF(A108="","",IF(OR(J108="Approved",J108="Rejected",J108="Void"),"",TODAY()-P108))</f>
        <v/>
      </c>
    </row>
    <row r="109" customFormat="false" ht="15" hidden="false" customHeight="false" outlineLevel="0" collapsed="false">
      <c r="M109" s="0" t="str">
        <f aca="false">IF(A109="","",SUMIFS(H$2:H109,J$2:J109,"Approved"))</f>
        <v/>
      </c>
      <c r="P109" s="13" t="str">
        <f aca="false">IF(A109="","",MAX(B109+0,K109+0,L109+0))</f>
        <v/>
      </c>
      <c r="Q109" s="0" t="str">
        <f aca="true">IF(A109="","",IF(OR(J109="Approved",J109="Rejected",J109="Void"),"",TODAY()-P109))</f>
        <v/>
      </c>
    </row>
    <row r="110" customFormat="false" ht="15" hidden="false" customHeight="false" outlineLevel="0" collapsed="false">
      <c r="M110" s="0" t="str">
        <f aca="false">IF(A110="","",SUMIFS(H$2:H110,J$2:J110,"Approved"))</f>
        <v/>
      </c>
      <c r="P110" s="13" t="str">
        <f aca="false">IF(A110="","",MAX(B110+0,K110+0,L110+0))</f>
        <v/>
      </c>
      <c r="Q110" s="0" t="str">
        <f aca="true">IF(A110="","",IF(OR(J110="Approved",J110="Rejected",J110="Void"),"",TODAY()-P110))</f>
        <v/>
      </c>
    </row>
    <row r="111" customFormat="false" ht="15" hidden="false" customHeight="false" outlineLevel="0" collapsed="false">
      <c r="M111" s="0" t="str">
        <f aca="false">IF(A111="","",SUMIFS(H$2:H111,J$2:J111,"Approved"))</f>
        <v/>
      </c>
      <c r="P111" s="13" t="str">
        <f aca="false">IF(A111="","",MAX(B111+0,K111+0,L111+0))</f>
        <v/>
      </c>
      <c r="Q111" s="0" t="str">
        <f aca="true">IF(A111="","",IF(OR(J111="Approved",J111="Rejected",J111="Void"),"",TODAY()-P111))</f>
        <v/>
      </c>
    </row>
    <row r="112" customFormat="false" ht="15" hidden="false" customHeight="false" outlineLevel="0" collapsed="false">
      <c r="M112" s="0" t="str">
        <f aca="false">IF(A112="","",SUMIFS(H$2:H112,J$2:J112,"Approved"))</f>
        <v/>
      </c>
      <c r="P112" s="13" t="str">
        <f aca="false">IF(A112="","",MAX(B112+0,K112+0,L112+0))</f>
        <v/>
      </c>
      <c r="Q112" s="0" t="str">
        <f aca="true">IF(A112="","",IF(OR(J112="Approved",J112="Rejected",J112="Void"),"",TODAY()-P112))</f>
        <v/>
      </c>
    </row>
    <row r="113" customFormat="false" ht="15" hidden="false" customHeight="false" outlineLevel="0" collapsed="false">
      <c r="M113" s="0" t="str">
        <f aca="false">IF(A113="","",SUMIFS(H$2:H113,J$2:J113,"Approved"))</f>
        <v/>
      </c>
      <c r="P113" s="13" t="str">
        <f aca="false">IF(A113="","",MAX(B113+0,K113+0,L113+0))</f>
        <v/>
      </c>
      <c r="Q113" s="0" t="str">
        <f aca="true">IF(A113="","",IF(OR(J113="Approved",J113="Rejected",J113="Void"),"",TODAY()-P113))</f>
        <v/>
      </c>
    </row>
    <row r="114" customFormat="false" ht="15" hidden="false" customHeight="false" outlineLevel="0" collapsed="false">
      <c r="M114" s="0" t="str">
        <f aca="false">IF(A114="","",SUMIFS(H$2:H114,J$2:J114,"Approved"))</f>
        <v/>
      </c>
      <c r="P114" s="13" t="str">
        <f aca="false">IF(A114="","",MAX(B114+0,K114+0,L114+0))</f>
        <v/>
      </c>
      <c r="Q114" s="0" t="str">
        <f aca="true">IF(A114="","",IF(OR(J114="Approved",J114="Rejected",J114="Void"),"",TODAY()-P114))</f>
        <v/>
      </c>
    </row>
    <row r="115" customFormat="false" ht="15" hidden="false" customHeight="false" outlineLevel="0" collapsed="false">
      <c r="M115" s="0" t="str">
        <f aca="false">IF(A115="","",SUMIFS(H$2:H115,J$2:J115,"Approved"))</f>
        <v/>
      </c>
      <c r="P115" s="13" t="str">
        <f aca="false">IF(A115="","",MAX(B115+0,K115+0,L115+0))</f>
        <v/>
      </c>
      <c r="Q115" s="0" t="str">
        <f aca="true">IF(A115="","",IF(OR(J115="Approved",J115="Rejected",J115="Void"),"",TODAY()-P115))</f>
        <v/>
      </c>
    </row>
    <row r="116" customFormat="false" ht="15" hidden="false" customHeight="false" outlineLevel="0" collapsed="false">
      <c r="M116" s="0" t="str">
        <f aca="false">IF(A116="","",SUMIFS(H$2:H116,J$2:J116,"Approved"))</f>
        <v/>
      </c>
      <c r="P116" s="13" t="str">
        <f aca="false">IF(A116="","",MAX(B116+0,K116+0,L116+0))</f>
        <v/>
      </c>
      <c r="Q116" s="0" t="str">
        <f aca="true">IF(A116="","",IF(OR(J116="Approved",J116="Rejected",J116="Void"),"",TODAY()-P116))</f>
        <v/>
      </c>
    </row>
    <row r="117" customFormat="false" ht="15" hidden="false" customHeight="false" outlineLevel="0" collapsed="false">
      <c r="M117" s="0" t="str">
        <f aca="false">IF(A117="","",SUMIFS(H$2:H117,J$2:J117,"Approved"))</f>
        <v/>
      </c>
      <c r="P117" s="13" t="str">
        <f aca="false">IF(A117="","",MAX(B117+0,K117+0,L117+0))</f>
        <v/>
      </c>
      <c r="Q117" s="0" t="str">
        <f aca="true">IF(A117="","",IF(OR(J117="Approved",J117="Rejected",J117="Void"),"",TODAY()-P117))</f>
        <v/>
      </c>
    </row>
    <row r="118" customFormat="false" ht="15" hidden="false" customHeight="false" outlineLevel="0" collapsed="false">
      <c r="M118" s="0" t="str">
        <f aca="false">IF(A118="","",SUMIFS(H$2:H118,J$2:J118,"Approved"))</f>
        <v/>
      </c>
      <c r="P118" s="13" t="str">
        <f aca="false">IF(A118="","",MAX(B118+0,K118+0,L118+0))</f>
        <v/>
      </c>
      <c r="Q118" s="0" t="str">
        <f aca="true">IF(A118="","",IF(OR(J118="Approved",J118="Rejected",J118="Void"),"",TODAY()-P118))</f>
        <v/>
      </c>
    </row>
    <row r="119" customFormat="false" ht="15" hidden="false" customHeight="false" outlineLevel="0" collapsed="false">
      <c r="M119" s="0" t="str">
        <f aca="false">IF(A119="","",SUMIFS(H$2:H119,J$2:J119,"Approved"))</f>
        <v/>
      </c>
      <c r="P119" s="13" t="str">
        <f aca="false">IF(A119="","",MAX(B119+0,K119+0,L119+0))</f>
        <v/>
      </c>
      <c r="Q119" s="0" t="str">
        <f aca="true">IF(A119="","",IF(OR(J119="Approved",J119="Rejected",J119="Void"),"",TODAY()-P119))</f>
        <v/>
      </c>
    </row>
    <row r="120" customFormat="false" ht="15" hidden="false" customHeight="false" outlineLevel="0" collapsed="false">
      <c r="M120" s="0" t="str">
        <f aca="false">IF(A120="","",SUMIFS(H$2:H120,J$2:J120,"Approved"))</f>
        <v/>
      </c>
      <c r="P120" s="13" t="str">
        <f aca="false">IF(A120="","",MAX(B120+0,K120+0,L120+0))</f>
        <v/>
      </c>
      <c r="Q120" s="0" t="str">
        <f aca="true">IF(A120="","",IF(OR(J120="Approved",J120="Rejected",J120="Void"),"",TODAY()-P120))</f>
        <v/>
      </c>
    </row>
    <row r="121" customFormat="false" ht="15" hidden="false" customHeight="false" outlineLevel="0" collapsed="false">
      <c r="M121" s="0" t="str">
        <f aca="false">IF(A121="","",SUMIFS(H$2:H121,J$2:J121,"Approved"))</f>
        <v/>
      </c>
      <c r="P121" s="13" t="str">
        <f aca="false">IF(A121="","",MAX(B121+0,K121+0,L121+0))</f>
        <v/>
      </c>
      <c r="Q121" s="0" t="str">
        <f aca="true">IF(A121="","",IF(OR(J121="Approved",J121="Rejected",J121="Void"),"",TODAY()-P121))</f>
        <v/>
      </c>
    </row>
    <row r="122" customFormat="false" ht="15" hidden="false" customHeight="false" outlineLevel="0" collapsed="false">
      <c r="M122" s="0" t="str">
        <f aca="false">IF(A122="","",SUMIFS(H$2:H122,J$2:J122,"Approved"))</f>
        <v/>
      </c>
      <c r="P122" s="13" t="str">
        <f aca="false">IF(A122="","",MAX(B122+0,K122+0,L122+0))</f>
        <v/>
      </c>
      <c r="Q122" s="0" t="str">
        <f aca="true">IF(A122="","",IF(OR(J122="Approved",J122="Rejected",J122="Void"),"",TODAY()-P122))</f>
        <v/>
      </c>
    </row>
    <row r="123" customFormat="false" ht="15" hidden="false" customHeight="false" outlineLevel="0" collapsed="false">
      <c r="M123" s="0" t="str">
        <f aca="false">IF(A123="","",SUMIFS(H$2:H123,J$2:J123,"Approved"))</f>
        <v/>
      </c>
      <c r="P123" s="13" t="str">
        <f aca="false">IF(A123="","",MAX(B123+0,K123+0,L123+0))</f>
        <v/>
      </c>
      <c r="Q123" s="0" t="str">
        <f aca="true">IF(A123="","",IF(OR(J123="Approved",J123="Rejected",J123="Void"),"",TODAY()-P123))</f>
        <v/>
      </c>
    </row>
    <row r="124" customFormat="false" ht="15" hidden="false" customHeight="false" outlineLevel="0" collapsed="false">
      <c r="M124" s="0" t="str">
        <f aca="false">IF(A124="","",SUMIFS(H$2:H124,J$2:J124,"Approved"))</f>
        <v/>
      </c>
      <c r="P124" s="13" t="str">
        <f aca="false">IF(A124="","",MAX(B124+0,K124+0,L124+0))</f>
        <v/>
      </c>
      <c r="Q124" s="0" t="str">
        <f aca="true">IF(A124="","",IF(OR(J124="Approved",J124="Rejected",J124="Void"),"",TODAY()-P124))</f>
        <v/>
      </c>
    </row>
    <row r="125" customFormat="false" ht="15" hidden="false" customHeight="false" outlineLevel="0" collapsed="false">
      <c r="M125" s="0" t="str">
        <f aca="false">IF(A125="","",SUMIFS(H$2:H125,J$2:J125,"Approved"))</f>
        <v/>
      </c>
      <c r="P125" s="13" t="str">
        <f aca="false">IF(A125="","",MAX(B125+0,K125+0,L125+0))</f>
        <v/>
      </c>
      <c r="Q125" s="0" t="str">
        <f aca="true">IF(A125="","",IF(OR(J125="Approved",J125="Rejected",J125="Void"),"",TODAY()-P125))</f>
        <v/>
      </c>
    </row>
    <row r="126" customFormat="false" ht="15" hidden="false" customHeight="false" outlineLevel="0" collapsed="false">
      <c r="M126" s="0" t="str">
        <f aca="false">IF(A126="","",SUMIFS(H$2:H126,J$2:J126,"Approved"))</f>
        <v/>
      </c>
      <c r="P126" s="13" t="str">
        <f aca="false">IF(A126="","",MAX(B126+0,K126+0,L126+0))</f>
        <v/>
      </c>
      <c r="Q126" s="0" t="str">
        <f aca="true">IF(A126="","",IF(OR(J126="Approved",J126="Rejected",J126="Void"),"",TODAY()-P126))</f>
        <v/>
      </c>
    </row>
    <row r="127" customFormat="false" ht="15" hidden="false" customHeight="false" outlineLevel="0" collapsed="false">
      <c r="M127" s="0" t="str">
        <f aca="false">IF(A127="","",SUMIFS(H$2:H127,J$2:J127,"Approved"))</f>
        <v/>
      </c>
      <c r="P127" s="13" t="str">
        <f aca="false">IF(A127="","",MAX(B127+0,K127+0,L127+0))</f>
        <v/>
      </c>
      <c r="Q127" s="0" t="str">
        <f aca="true">IF(A127="","",IF(OR(J127="Approved",J127="Rejected",J127="Void"),"",TODAY()-P127))</f>
        <v/>
      </c>
    </row>
    <row r="128" customFormat="false" ht="15" hidden="false" customHeight="false" outlineLevel="0" collapsed="false">
      <c r="M128" s="0" t="str">
        <f aca="false">IF(A128="","",SUMIFS(H$2:H128,J$2:J128,"Approved"))</f>
        <v/>
      </c>
      <c r="P128" s="13" t="str">
        <f aca="false">IF(A128="","",MAX(B128+0,K128+0,L128+0))</f>
        <v/>
      </c>
      <c r="Q128" s="0" t="str">
        <f aca="true">IF(A128="","",IF(OR(J128="Approved",J128="Rejected",J128="Void"),"",TODAY()-P128))</f>
        <v/>
      </c>
    </row>
    <row r="129" customFormat="false" ht="15" hidden="false" customHeight="false" outlineLevel="0" collapsed="false">
      <c r="M129" s="0" t="str">
        <f aca="false">IF(A129="","",SUMIFS(H$2:H129,J$2:J129,"Approved"))</f>
        <v/>
      </c>
      <c r="P129" s="13" t="str">
        <f aca="false">IF(A129="","",MAX(B129+0,K129+0,L129+0))</f>
        <v/>
      </c>
      <c r="Q129" s="0" t="str">
        <f aca="true">IF(A129="","",IF(OR(J129="Approved",J129="Rejected",J129="Void"),"",TODAY()-P129))</f>
        <v/>
      </c>
    </row>
    <row r="130" customFormat="false" ht="15" hidden="false" customHeight="false" outlineLevel="0" collapsed="false">
      <c r="M130" s="0" t="str">
        <f aca="false">IF(A130="","",SUMIFS(H$2:H130,J$2:J130,"Approved"))</f>
        <v/>
      </c>
      <c r="P130" s="13" t="str">
        <f aca="false">IF(A130="","",MAX(B130+0,K130+0,L130+0))</f>
        <v/>
      </c>
      <c r="Q130" s="0" t="str">
        <f aca="true">IF(A130="","",IF(OR(J130="Approved",J130="Rejected",J130="Void"),"",TODAY()-P130))</f>
        <v/>
      </c>
    </row>
    <row r="131" customFormat="false" ht="15" hidden="false" customHeight="false" outlineLevel="0" collapsed="false">
      <c r="M131" s="0" t="str">
        <f aca="false">IF(A131="","",SUMIFS(H$2:H131,J$2:J131,"Approved"))</f>
        <v/>
      </c>
      <c r="P131" s="13" t="str">
        <f aca="false">IF(A131="","",MAX(B131+0,K131+0,L131+0))</f>
        <v/>
      </c>
      <c r="Q131" s="0" t="str">
        <f aca="true">IF(A131="","",IF(OR(J131="Approved",J131="Rejected",J131="Void"),"",TODAY()-P131))</f>
        <v/>
      </c>
    </row>
    <row r="132" customFormat="false" ht="15" hidden="false" customHeight="false" outlineLevel="0" collapsed="false">
      <c r="M132" s="0" t="str">
        <f aca="false">IF(A132="","",SUMIFS(H$2:H132,J$2:J132,"Approved"))</f>
        <v/>
      </c>
      <c r="P132" s="13" t="str">
        <f aca="false">IF(A132="","",MAX(B132+0,K132+0,L132+0))</f>
        <v/>
      </c>
      <c r="Q132" s="0" t="str">
        <f aca="true">IF(A132="","",IF(OR(J132="Approved",J132="Rejected",J132="Void"),"",TODAY()-P132))</f>
        <v/>
      </c>
    </row>
    <row r="133" customFormat="false" ht="15" hidden="false" customHeight="false" outlineLevel="0" collapsed="false">
      <c r="M133" s="0" t="str">
        <f aca="false">IF(A133="","",SUMIFS(H$2:H133,J$2:J133,"Approved"))</f>
        <v/>
      </c>
      <c r="P133" s="13" t="str">
        <f aca="false">IF(A133="","",MAX(B133+0,K133+0,L133+0))</f>
        <v/>
      </c>
      <c r="Q133" s="0" t="str">
        <f aca="true">IF(A133="","",IF(OR(J133="Approved",J133="Rejected",J133="Void"),"",TODAY()-P133))</f>
        <v/>
      </c>
    </row>
    <row r="134" customFormat="false" ht="15" hidden="false" customHeight="false" outlineLevel="0" collapsed="false">
      <c r="M134" s="0" t="str">
        <f aca="false">IF(A134="","",SUMIFS(H$2:H134,J$2:J134,"Approved"))</f>
        <v/>
      </c>
      <c r="P134" s="13" t="str">
        <f aca="false">IF(A134="","",MAX(B134+0,K134+0,L134+0))</f>
        <v/>
      </c>
      <c r="Q134" s="0" t="str">
        <f aca="true">IF(A134="","",IF(OR(J134="Approved",J134="Rejected",J134="Void"),"",TODAY()-P134))</f>
        <v/>
      </c>
    </row>
    <row r="135" customFormat="false" ht="15" hidden="false" customHeight="false" outlineLevel="0" collapsed="false">
      <c r="M135" s="0" t="str">
        <f aca="false">IF(A135="","",SUMIFS(H$2:H135,J$2:J135,"Approved"))</f>
        <v/>
      </c>
      <c r="P135" s="13" t="str">
        <f aca="false">IF(A135="","",MAX(B135+0,K135+0,L135+0))</f>
        <v/>
      </c>
      <c r="Q135" s="0" t="str">
        <f aca="true">IF(A135="","",IF(OR(J135="Approved",J135="Rejected",J135="Void"),"",TODAY()-P135))</f>
        <v/>
      </c>
    </row>
    <row r="136" customFormat="false" ht="15" hidden="false" customHeight="false" outlineLevel="0" collapsed="false">
      <c r="M136" s="0" t="str">
        <f aca="false">IF(A136="","",SUMIFS(H$2:H136,J$2:J136,"Approved"))</f>
        <v/>
      </c>
      <c r="P136" s="13" t="str">
        <f aca="false">IF(A136="","",MAX(B136+0,K136+0,L136+0))</f>
        <v/>
      </c>
      <c r="Q136" s="0" t="str">
        <f aca="true">IF(A136="","",IF(OR(J136="Approved",J136="Rejected",J136="Void"),"",TODAY()-P136))</f>
        <v/>
      </c>
    </row>
    <row r="137" customFormat="false" ht="15" hidden="false" customHeight="false" outlineLevel="0" collapsed="false">
      <c r="M137" s="0" t="str">
        <f aca="false">IF(A137="","",SUMIFS(H$2:H137,J$2:J137,"Approved"))</f>
        <v/>
      </c>
      <c r="P137" s="13" t="str">
        <f aca="false">IF(A137="","",MAX(B137+0,K137+0,L137+0))</f>
        <v/>
      </c>
      <c r="Q137" s="0" t="str">
        <f aca="true">IF(A137="","",IF(OR(J137="Approved",J137="Rejected",J137="Void"),"",TODAY()-P137))</f>
        <v/>
      </c>
    </row>
    <row r="138" customFormat="false" ht="15" hidden="false" customHeight="false" outlineLevel="0" collapsed="false">
      <c r="M138" s="0" t="str">
        <f aca="false">IF(A138="","",SUMIFS(H$2:H138,J$2:J138,"Approved"))</f>
        <v/>
      </c>
      <c r="P138" s="13" t="str">
        <f aca="false">IF(A138="","",MAX(B138+0,K138+0,L138+0))</f>
        <v/>
      </c>
      <c r="Q138" s="0" t="str">
        <f aca="true">IF(A138="","",IF(OR(J138="Approved",J138="Rejected",J138="Void"),"",TODAY()-P138))</f>
        <v/>
      </c>
    </row>
    <row r="139" customFormat="false" ht="15" hidden="false" customHeight="false" outlineLevel="0" collapsed="false">
      <c r="M139" s="0" t="str">
        <f aca="false">IF(A139="","",SUMIFS(H$2:H139,J$2:J139,"Approved"))</f>
        <v/>
      </c>
      <c r="P139" s="13" t="str">
        <f aca="false">IF(A139="","",MAX(B139+0,K139+0,L139+0))</f>
        <v/>
      </c>
      <c r="Q139" s="0" t="str">
        <f aca="true">IF(A139="","",IF(OR(J139="Approved",J139="Rejected",J139="Void"),"",TODAY()-P139))</f>
        <v/>
      </c>
    </row>
    <row r="140" customFormat="false" ht="15" hidden="false" customHeight="false" outlineLevel="0" collapsed="false">
      <c r="M140" s="0" t="str">
        <f aca="false">IF(A140="","",SUMIFS(H$2:H140,J$2:J140,"Approved"))</f>
        <v/>
      </c>
      <c r="P140" s="13" t="str">
        <f aca="false">IF(A140="","",MAX(B140+0,K140+0,L140+0))</f>
        <v/>
      </c>
      <c r="Q140" s="0" t="str">
        <f aca="true">IF(A140="","",IF(OR(J140="Approved",J140="Rejected",J140="Void"),"",TODAY()-P140))</f>
        <v/>
      </c>
    </row>
    <row r="141" customFormat="false" ht="15" hidden="false" customHeight="false" outlineLevel="0" collapsed="false">
      <c r="M141" s="0" t="str">
        <f aca="false">IF(A141="","",SUMIFS(H$2:H141,J$2:J141,"Approved"))</f>
        <v/>
      </c>
      <c r="P141" s="13" t="str">
        <f aca="false">IF(A141="","",MAX(B141+0,K141+0,L141+0))</f>
        <v/>
      </c>
      <c r="Q141" s="0" t="str">
        <f aca="true">IF(A141="","",IF(OR(J141="Approved",J141="Rejected",J141="Void"),"",TODAY()-P141))</f>
        <v/>
      </c>
    </row>
    <row r="142" customFormat="false" ht="15" hidden="false" customHeight="false" outlineLevel="0" collapsed="false">
      <c r="M142" s="0" t="str">
        <f aca="false">IF(A142="","",SUMIFS(H$2:H142,J$2:J142,"Approved"))</f>
        <v/>
      </c>
      <c r="P142" s="13" t="str">
        <f aca="false">IF(A142="","",MAX(B142+0,K142+0,L142+0))</f>
        <v/>
      </c>
      <c r="Q142" s="0" t="str">
        <f aca="true">IF(A142="","",IF(OR(J142="Approved",J142="Rejected",J142="Void"),"",TODAY()-P142))</f>
        <v/>
      </c>
    </row>
    <row r="143" customFormat="false" ht="15" hidden="false" customHeight="false" outlineLevel="0" collapsed="false">
      <c r="M143" s="0" t="str">
        <f aca="false">IF(A143="","",SUMIFS(H$2:H143,J$2:J143,"Approved"))</f>
        <v/>
      </c>
      <c r="P143" s="13" t="str">
        <f aca="false">IF(A143="","",MAX(B143+0,K143+0,L143+0))</f>
        <v/>
      </c>
      <c r="Q143" s="0" t="str">
        <f aca="true">IF(A143="","",IF(OR(J143="Approved",J143="Rejected",J143="Void"),"",TODAY()-P143))</f>
        <v/>
      </c>
    </row>
    <row r="144" customFormat="false" ht="15" hidden="false" customHeight="false" outlineLevel="0" collapsed="false">
      <c r="M144" s="0" t="str">
        <f aca="false">IF(A144="","",SUMIFS(H$2:H144,J$2:J144,"Approved"))</f>
        <v/>
      </c>
      <c r="P144" s="13" t="str">
        <f aca="false">IF(A144="","",MAX(B144+0,K144+0,L144+0))</f>
        <v/>
      </c>
      <c r="Q144" s="0" t="str">
        <f aca="true">IF(A144="","",IF(OR(J144="Approved",J144="Rejected",J144="Void"),"",TODAY()-P144))</f>
        <v/>
      </c>
    </row>
    <row r="145" customFormat="false" ht="15" hidden="false" customHeight="false" outlineLevel="0" collapsed="false">
      <c r="M145" s="0" t="str">
        <f aca="false">IF(A145="","",SUMIFS(H$2:H145,J$2:J145,"Approved"))</f>
        <v/>
      </c>
      <c r="P145" s="13" t="str">
        <f aca="false">IF(A145="","",MAX(B145+0,K145+0,L145+0))</f>
        <v/>
      </c>
      <c r="Q145" s="0" t="str">
        <f aca="true">IF(A145="","",IF(OR(J145="Approved",J145="Rejected",J145="Void"),"",TODAY()-P145))</f>
        <v/>
      </c>
    </row>
    <row r="146" customFormat="false" ht="15" hidden="false" customHeight="false" outlineLevel="0" collapsed="false">
      <c r="M146" s="0" t="str">
        <f aca="false">IF(A146="","",SUMIFS(H$2:H146,J$2:J146,"Approved"))</f>
        <v/>
      </c>
      <c r="P146" s="13" t="str">
        <f aca="false">IF(A146="","",MAX(B146+0,K146+0,L146+0))</f>
        <v/>
      </c>
      <c r="Q146" s="0" t="str">
        <f aca="true">IF(A146="","",IF(OR(J146="Approved",J146="Rejected",J146="Void"),"",TODAY()-P146))</f>
        <v/>
      </c>
    </row>
    <row r="147" customFormat="false" ht="15" hidden="false" customHeight="false" outlineLevel="0" collapsed="false">
      <c r="M147" s="0" t="str">
        <f aca="false">IF(A147="","",SUMIFS(H$2:H147,J$2:J147,"Approved"))</f>
        <v/>
      </c>
      <c r="P147" s="13" t="str">
        <f aca="false">IF(A147="","",MAX(B147+0,K147+0,L147+0))</f>
        <v/>
      </c>
      <c r="Q147" s="0" t="str">
        <f aca="true">IF(A147="","",IF(OR(J147="Approved",J147="Rejected",J147="Void"),"",TODAY()-P147))</f>
        <v/>
      </c>
    </row>
    <row r="148" customFormat="false" ht="15" hidden="false" customHeight="false" outlineLevel="0" collapsed="false">
      <c r="M148" s="0" t="str">
        <f aca="false">IF(A148="","",SUMIFS(H$2:H148,J$2:J148,"Approved"))</f>
        <v/>
      </c>
      <c r="P148" s="13" t="str">
        <f aca="false">IF(A148="","",MAX(B148+0,K148+0,L148+0))</f>
        <v/>
      </c>
      <c r="Q148" s="0" t="str">
        <f aca="true">IF(A148="","",IF(OR(J148="Approved",J148="Rejected",J148="Void"),"",TODAY()-P148))</f>
        <v/>
      </c>
    </row>
    <row r="149" customFormat="false" ht="15" hidden="false" customHeight="false" outlineLevel="0" collapsed="false">
      <c r="M149" s="0" t="str">
        <f aca="false">IF(A149="","",SUMIFS(H$2:H149,J$2:J149,"Approved"))</f>
        <v/>
      </c>
      <c r="P149" s="13" t="str">
        <f aca="false">IF(A149="","",MAX(B149+0,K149+0,L149+0))</f>
        <v/>
      </c>
      <c r="Q149" s="0" t="str">
        <f aca="true">IF(A149="","",IF(OR(J149="Approved",J149="Rejected",J149="Void"),"",TODAY()-P149))</f>
        <v/>
      </c>
    </row>
    <row r="150" customFormat="false" ht="15" hidden="false" customHeight="false" outlineLevel="0" collapsed="false">
      <c r="M150" s="0" t="str">
        <f aca="false">IF(A150="","",SUMIFS(H$2:H150,J$2:J150,"Approved"))</f>
        <v/>
      </c>
      <c r="P150" s="13" t="str">
        <f aca="false">IF(A150="","",MAX(B150+0,K150+0,L150+0))</f>
        <v/>
      </c>
      <c r="Q150" s="0" t="str">
        <f aca="true">IF(A150="","",IF(OR(J150="Approved",J150="Rejected",J150="Void"),"",TODAY()-P150))</f>
        <v/>
      </c>
    </row>
    <row r="151" customFormat="false" ht="15" hidden="false" customHeight="false" outlineLevel="0" collapsed="false">
      <c r="M151" s="0" t="str">
        <f aca="false">IF(A151="","",SUMIFS(H$2:H151,J$2:J151,"Approved"))</f>
        <v/>
      </c>
      <c r="P151" s="13" t="str">
        <f aca="false">IF(A151="","",MAX(B151+0,K151+0,L151+0))</f>
        <v/>
      </c>
      <c r="Q151" s="0" t="str">
        <f aca="true">IF(A151="","",IF(OR(J151="Approved",J151="Rejected",J151="Void"),"",TODAY()-P151))</f>
        <v/>
      </c>
    </row>
    <row r="152" customFormat="false" ht="15" hidden="false" customHeight="false" outlineLevel="0" collapsed="false">
      <c r="M152" s="0" t="str">
        <f aca="false">IF(A152="","",SUMIFS(H$2:H152,J$2:J152,"Approved"))</f>
        <v/>
      </c>
      <c r="P152" s="13" t="str">
        <f aca="false">IF(A152="","",MAX(B152+0,K152+0,L152+0))</f>
        <v/>
      </c>
      <c r="Q152" s="0" t="str">
        <f aca="true">IF(A152="","",IF(OR(J152="Approved",J152="Rejected",J152="Void"),"",TODAY()-P152))</f>
        <v/>
      </c>
    </row>
    <row r="153" customFormat="false" ht="15" hidden="false" customHeight="false" outlineLevel="0" collapsed="false">
      <c r="M153" s="0" t="str">
        <f aca="false">IF(A153="","",SUMIFS(H$2:H153,J$2:J153,"Approved"))</f>
        <v/>
      </c>
      <c r="P153" s="13" t="str">
        <f aca="false">IF(A153="","",MAX(B153+0,K153+0,L153+0))</f>
        <v/>
      </c>
      <c r="Q153" s="0" t="str">
        <f aca="true">IF(A153="","",IF(OR(J153="Approved",J153="Rejected",J153="Void"),"",TODAY()-P153))</f>
        <v/>
      </c>
    </row>
    <row r="154" customFormat="false" ht="15" hidden="false" customHeight="false" outlineLevel="0" collapsed="false">
      <c r="M154" s="0" t="str">
        <f aca="false">IF(A154="","",SUMIFS(H$2:H154,J$2:J154,"Approved"))</f>
        <v/>
      </c>
      <c r="P154" s="13" t="str">
        <f aca="false">IF(A154="","",MAX(B154+0,K154+0,L154+0))</f>
        <v/>
      </c>
      <c r="Q154" s="0" t="str">
        <f aca="true">IF(A154="","",IF(OR(J154="Approved",J154="Rejected",J154="Void"),"",TODAY()-P154))</f>
        <v/>
      </c>
    </row>
    <row r="155" customFormat="false" ht="15" hidden="false" customHeight="false" outlineLevel="0" collapsed="false">
      <c r="M155" s="0" t="str">
        <f aca="false">IF(A155="","",SUMIFS(H$2:H155,J$2:J155,"Approved"))</f>
        <v/>
      </c>
      <c r="P155" s="13" t="str">
        <f aca="false">IF(A155="","",MAX(B155+0,K155+0,L155+0))</f>
        <v/>
      </c>
      <c r="Q155" s="0" t="str">
        <f aca="true">IF(A155="","",IF(OR(J155="Approved",J155="Rejected",J155="Void"),"",TODAY()-P155))</f>
        <v/>
      </c>
    </row>
    <row r="156" customFormat="false" ht="15" hidden="false" customHeight="false" outlineLevel="0" collapsed="false">
      <c r="M156" s="0" t="str">
        <f aca="false">IF(A156="","",SUMIFS(H$2:H156,J$2:J156,"Approved"))</f>
        <v/>
      </c>
      <c r="P156" s="13" t="str">
        <f aca="false">IF(A156="","",MAX(B156+0,K156+0,L156+0))</f>
        <v/>
      </c>
      <c r="Q156" s="0" t="str">
        <f aca="true">IF(A156="","",IF(OR(J156="Approved",J156="Rejected",J156="Void"),"",TODAY()-P156))</f>
        <v/>
      </c>
    </row>
    <row r="157" customFormat="false" ht="15" hidden="false" customHeight="false" outlineLevel="0" collapsed="false">
      <c r="M157" s="0" t="str">
        <f aca="false">IF(A157="","",SUMIFS(H$2:H157,J$2:J157,"Approved"))</f>
        <v/>
      </c>
      <c r="P157" s="13" t="str">
        <f aca="false">IF(A157="","",MAX(B157+0,K157+0,L157+0))</f>
        <v/>
      </c>
      <c r="Q157" s="0" t="str">
        <f aca="true">IF(A157="","",IF(OR(J157="Approved",J157="Rejected",J157="Void"),"",TODAY()-P157))</f>
        <v/>
      </c>
    </row>
    <row r="158" customFormat="false" ht="15" hidden="false" customHeight="false" outlineLevel="0" collapsed="false">
      <c r="M158" s="0" t="str">
        <f aca="false">IF(A158="","",SUMIFS(H$2:H158,J$2:J158,"Approved"))</f>
        <v/>
      </c>
      <c r="P158" s="13" t="str">
        <f aca="false">IF(A158="","",MAX(B158+0,K158+0,L158+0))</f>
        <v/>
      </c>
      <c r="Q158" s="0" t="str">
        <f aca="true">IF(A158="","",IF(OR(J158="Approved",J158="Rejected",J158="Void"),"",TODAY()-P158))</f>
        <v/>
      </c>
    </row>
    <row r="159" customFormat="false" ht="15" hidden="false" customHeight="false" outlineLevel="0" collapsed="false">
      <c r="M159" s="0" t="str">
        <f aca="false">IF(A159="","",SUMIFS(H$2:H159,J$2:J159,"Approved"))</f>
        <v/>
      </c>
      <c r="P159" s="13" t="str">
        <f aca="false">IF(A159="","",MAX(B159+0,K159+0,L159+0))</f>
        <v/>
      </c>
      <c r="Q159" s="0" t="str">
        <f aca="true">IF(A159="","",IF(OR(J159="Approved",J159="Rejected",J159="Void"),"",TODAY()-P159))</f>
        <v/>
      </c>
    </row>
    <row r="160" customFormat="false" ht="15" hidden="false" customHeight="false" outlineLevel="0" collapsed="false">
      <c r="M160" s="0" t="str">
        <f aca="false">IF(A160="","",SUMIFS(H$2:H160,J$2:J160,"Approved"))</f>
        <v/>
      </c>
      <c r="P160" s="13" t="str">
        <f aca="false">IF(A160="","",MAX(B160+0,K160+0,L160+0))</f>
        <v/>
      </c>
      <c r="Q160" s="0" t="str">
        <f aca="true">IF(A160="","",IF(OR(J160="Approved",J160="Rejected",J160="Void"),"",TODAY()-P160))</f>
        <v/>
      </c>
    </row>
    <row r="161" customFormat="false" ht="15" hidden="false" customHeight="false" outlineLevel="0" collapsed="false">
      <c r="M161" s="0" t="str">
        <f aca="false">IF(A161="","",SUMIFS(H$2:H161,J$2:J161,"Approved"))</f>
        <v/>
      </c>
      <c r="P161" s="13" t="str">
        <f aca="false">IF(A161="","",MAX(B161+0,K161+0,L161+0))</f>
        <v/>
      </c>
      <c r="Q161" s="0" t="str">
        <f aca="true">IF(A161="","",IF(OR(J161="Approved",J161="Rejected",J161="Void"),"",TODAY()-P161))</f>
        <v/>
      </c>
    </row>
    <row r="162" customFormat="false" ht="15" hidden="false" customHeight="false" outlineLevel="0" collapsed="false">
      <c r="M162" s="0" t="str">
        <f aca="false">IF(A162="","",SUMIFS(H$2:H162,J$2:J162,"Approved"))</f>
        <v/>
      </c>
      <c r="P162" s="13" t="str">
        <f aca="false">IF(A162="","",MAX(B162+0,K162+0,L162+0))</f>
        <v/>
      </c>
      <c r="Q162" s="0" t="str">
        <f aca="true">IF(A162="","",IF(OR(J162="Approved",J162="Rejected",J162="Void"),"",TODAY()-P162))</f>
        <v/>
      </c>
    </row>
    <row r="163" customFormat="false" ht="15" hidden="false" customHeight="false" outlineLevel="0" collapsed="false">
      <c r="M163" s="0" t="str">
        <f aca="false">IF(A163="","",SUMIFS(H$2:H163,J$2:J163,"Approved"))</f>
        <v/>
      </c>
      <c r="P163" s="13" t="str">
        <f aca="false">IF(A163="","",MAX(B163+0,K163+0,L163+0))</f>
        <v/>
      </c>
      <c r="Q163" s="0" t="str">
        <f aca="true">IF(A163="","",IF(OR(J163="Approved",J163="Rejected",J163="Void"),"",TODAY()-P163))</f>
        <v/>
      </c>
    </row>
    <row r="164" customFormat="false" ht="15" hidden="false" customHeight="false" outlineLevel="0" collapsed="false">
      <c r="M164" s="0" t="str">
        <f aca="false">IF(A164="","",SUMIFS(H$2:H164,J$2:J164,"Approved"))</f>
        <v/>
      </c>
      <c r="P164" s="13" t="str">
        <f aca="false">IF(A164="","",MAX(B164+0,K164+0,L164+0))</f>
        <v/>
      </c>
      <c r="Q164" s="0" t="str">
        <f aca="true">IF(A164="","",IF(OR(J164="Approved",J164="Rejected",J164="Void"),"",TODAY()-P164))</f>
        <v/>
      </c>
    </row>
    <row r="165" customFormat="false" ht="15" hidden="false" customHeight="false" outlineLevel="0" collapsed="false">
      <c r="M165" s="0" t="str">
        <f aca="false">IF(A165="","",SUMIFS(H$2:H165,J$2:J165,"Approved"))</f>
        <v/>
      </c>
      <c r="P165" s="13" t="str">
        <f aca="false">IF(A165="","",MAX(B165+0,K165+0,L165+0))</f>
        <v/>
      </c>
      <c r="Q165" s="0" t="str">
        <f aca="true">IF(A165="","",IF(OR(J165="Approved",J165="Rejected",J165="Void"),"",TODAY()-P165))</f>
        <v/>
      </c>
    </row>
    <row r="166" customFormat="false" ht="15" hidden="false" customHeight="false" outlineLevel="0" collapsed="false">
      <c r="M166" s="0" t="str">
        <f aca="false">IF(A166="","",SUMIFS(H$2:H166,J$2:J166,"Approved"))</f>
        <v/>
      </c>
      <c r="P166" s="13" t="str">
        <f aca="false">IF(A166="","",MAX(B166+0,K166+0,L166+0))</f>
        <v/>
      </c>
      <c r="Q166" s="0" t="str">
        <f aca="true">IF(A166="","",IF(OR(J166="Approved",J166="Rejected",J166="Void"),"",TODAY()-P166))</f>
        <v/>
      </c>
    </row>
    <row r="167" customFormat="false" ht="15" hidden="false" customHeight="false" outlineLevel="0" collapsed="false">
      <c r="M167" s="0" t="str">
        <f aca="false">IF(A167="","",SUMIFS(H$2:H167,J$2:J167,"Approved"))</f>
        <v/>
      </c>
      <c r="P167" s="13" t="str">
        <f aca="false">IF(A167="","",MAX(B167+0,K167+0,L167+0))</f>
        <v/>
      </c>
      <c r="Q167" s="0" t="str">
        <f aca="true">IF(A167="","",IF(OR(J167="Approved",J167="Rejected",J167="Void"),"",TODAY()-P167))</f>
        <v/>
      </c>
    </row>
    <row r="168" customFormat="false" ht="15" hidden="false" customHeight="false" outlineLevel="0" collapsed="false">
      <c r="M168" s="0" t="str">
        <f aca="false">IF(A168="","",SUMIFS(H$2:H168,J$2:J168,"Approved"))</f>
        <v/>
      </c>
      <c r="P168" s="13" t="str">
        <f aca="false">IF(A168="","",MAX(B168+0,K168+0,L168+0))</f>
        <v/>
      </c>
      <c r="Q168" s="0" t="str">
        <f aca="true">IF(A168="","",IF(OR(J168="Approved",J168="Rejected",J168="Void"),"",TODAY()-P168))</f>
        <v/>
      </c>
    </row>
    <row r="169" customFormat="false" ht="15" hidden="false" customHeight="false" outlineLevel="0" collapsed="false">
      <c r="M169" s="0" t="str">
        <f aca="false">IF(A169="","",SUMIFS(H$2:H169,J$2:J169,"Approved"))</f>
        <v/>
      </c>
      <c r="P169" s="13" t="str">
        <f aca="false">IF(A169="","",MAX(B169+0,K169+0,L169+0))</f>
        <v/>
      </c>
      <c r="Q169" s="0" t="str">
        <f aca="true">IF(A169="","",IF(OR(J169="Approved",J169="Rejected",J169="Void"),"",TODAY()-P169))</f>
        <v/>
      </c>
    </row>
    <row r="170" customFormat="false" ht="15" hidden="false" customHeight="false" outlineLevel="0" collapsed="false">
      <c r="M170" s="0" t="str">
        <f aca="false">IF(A170="","",SUMIFS(H$2:H170,J$2:J170,"Approved"))</f>
        <v/>
      </c>
      <c r="P170" s="13" t="str">
        <f aca="false">IF(A170="","",MAX(B170+0,K170+0,L170+0))</f>
        <v/>
      </c>
      <c r="Q170" s="0" t="str">
        <f aca="true">IF(A170="","",IF(OR(J170="Approved",J170="Rejected",J170="Void"),"",TODAY()-P170))</f>
        <v/>
      </c>
    </row>
    <row r="171" customFormat="false" ht="15" hidden="false" customHeight="false" outlineLevel="0" collapsed="false">
      <c r="M171" s="0" t="str">
        <f aca="false">IF(A171="","",SUMIFS(H$2:H171,J$2:J171,"Approved"))</f>
        <v/>
      </c>
      <c r="P171" s="13" t="str">
        <f aca="false">IF(A171="","",MAX(B171+0,K171+0,L171+0))</f>
        <v/>
      </c>
      <c r="Q171" s="0" t="str">
        <f aca="true">IF(A171="","",IF(OR(J171="Approved",J171="Rejected",J171="Void"),"",TODAY()-P171))</f>
        <v/>
      </c>
    </row>
    <row r="172" customFormat="false" ht="15" hidden="false" customHeight="false" outlineLevel="0" collapsed="false">
      <c r="M172" s="0" t="str">
        <f aca="false">IF(A172="","",SUMIFS(H$2:H172,J$2:J172,"Approved"))</f>
        <v/>
      </c>
      <c r="P172" s="13" t="str">
        <f aca="false">IF(A172="","",MAX(B172+0,K172+0,L172+0))</f>
        <v/>
      </c>
      <c r="Q172" s="0" t="str">
        <f aca="true">IF(A172="","",IF(OR(J172="Approved",J172="Rejected",J172="Void"),"",TODAY()-P172))</f>
        <v/>
      </c>
    </row>
    <row r="173" customFormat="false" ht="15" hidden="false" customHeight="false" outlineLevel="0" collapsed="false">
      <c r="M173" s="0" t="str">
        <f aca="false">IF(A173="","",SUMIFS(H$2:H173,J$2:J173,"Approved"))</f>
        <v/>
      </c>
      <c r="P173" s="13" t="str">
        <f aca="false">IF(A173="","",MAX(B173+0,K173+0,L173+0))</f>
        <v/>
      </c>
      <c r="Q173" s="0" t="str">
        <f aca="true">IF(A173="","",IF(OR(J173="Approved",J173="Rejected",J173="Void"),"",TODAY()-P173))</f>
        <v/>
      </c>
    </row>
    <row r="174" customFormat="false" ht="15" hidden="false" customHeight="false" outlineLevel="0" collapsed="false">
      <c r="M174" s="0" t="str">
        <f aca="false">IF(A174="","",SUMIFS(H$2:H174,J$2:J174,"Approved"))</f>
        <v/>
      </c>
      <c r="P174" s="13" t="str">
        <f aca="false">IF(A174="","",MAX(B174+0,K174+0,L174+0))</f>
        <v/>
      </c>
      <c r="Q174" s="0" t="str">
        <f aca="true">IF(A174="","",IF(OR(J174="Approved",J174="Rejected",J174="Void"),"",TODAY()-P174))</f>
        <v/>
      </c>
    </row>
    <row r="175" customFormat="false" ht="15" hidden="false" customHeight="false" outlineLevel="0" collapsed="false">
      <c r="M175" s="0" t="str">
        <f aca="false">IF(A175="","",SUMIFS(H$2:H175,J$2:J175,"Approved"))</f>
        <v/>
      </c>
      <c r="P175" s="13" t="str">
        <f aca="false">IF(A175="","",MAX(B175+0,K175+0,L175+0))</f>
        <v/>
      </c>
      <c r="Q175" s="0" t="str">
        <f aca="true">IF(A175="","",IF(OR(J175="Approved",J175="Rejected",J175="Void"),"",TODAY()-P175))</f>
        <v/>
      </c>
    </row>
    <row r="176" customFormat="false" ht="15" hidden="false" customHeight="false" outlineLevel="0" collapsed="false">
      <c r="M176" s="0" t="str">
        <f aca="false">IF(A176="","",SUMIFS(H$2:H176,J$2:J176,"Approved"))</f>
        <v/>
      </c>
      <c r="P176" s="13" t="str">
        <f aca="false">IF(A176="","",MAX(B176+0,K176+0,L176+0))</f>
        <v/>
      </c>
      <c r="Q176" s="0" t="str">
        <f aca="true">IF(A176="","",IF(OR(J176="Approved",J176="Rejected",J176="Void"),"",TODAY()-P176))</f>
        <v/>
      </c>
    </row>
    <row r="177" customFormat="false" ht="15" hidden="false" customHeight="false" outlineLevel="0" collapsed="false">
      <c r="M177" s="0" t="str">
        <f aca="false">IF(A177="","",SUMIFS(H$2:H177,J$2:J177,"Approved"))</f>
        <v/>
      </c>
      <c r="P177" s="13" t="str">
        <f aca="false">IF(A177="","",MAX(B177+0,K177+0,L177+0))</f>
        <v/>
      </c>
      <c r="Q177" s="0" t="str">
        <f aca="true">IF(A177="","",IF(OR(J177="Approved",J177="Rejected",J177="Void"),"",TODAY()-P177))</f>
        <v/>
      </c>
    </row>
    <row r="178" customFormat="false" ht="15" hidden="false" customHeight="false" outlineLevel="0" collapsed="false">
      <c r="M178" s="0" t="str">
        <f aca="false">IF(A178="","",SUMIFS(H$2:H178,J$2:J178,"Approved"))</f>
        <v/>
      </c>
      <c r="P178" s="13" t="str">
        <f aca="false">IF(A178="","",MAX(B178+0,K178+0,L178+0))</f>
        <v/>
      </c>
      <c r="Q178" s="0" t="str">
        <f aca="true">IF(A178="","",IF(OR(J178="Approved",J178="Rejected",J178="Void"),"",TODAY()-P178))</f>
        <v/>
      </c>
    </row>
    <row r="179" customFormat="false" ht="15" hidden="false" customHeight="false" outlineLevel="0" collapsed="false">
      <c r="M179" s="0" t="str">
        <f aca="false">IF(A179="","",SUMIFS(H$2:H179,J$2:J179,"Approved"))</f>
        <v/>
      </c>
      <c r="P179" s="13" t="str">
        <f aca="false">IF(A179="","",MAX(B179+0,K179+0,L179+0))</f>
        <v/>
      </c>
      <c r="Q179" s="0" t="str">
        <f aca="true">IF(A179="","",IF(OR(J179="Approved",J179="Rejected",J179="Void"),"",TODAY()-P179))</f>
        <v/>
      </c>
    </row>
    <row r="180" customFormat="false" ht="15" hidden="false" customHeight="false" outlineLevel="0" collapsed="false">
      <c r="M180" s="0" t="str">
        <f aca="false">IF(A180="","",SUMIFS(H$2:H180,J$2:J180,"Approved"))</f>
        <v/>
      </c>
      <c r="P180" s="13" t="str">
        <f aca="false">IF(A180="","",MAX(B180+0,K180+0,L180+0))</f>
        <v/>
      </c>
      <c r="Q180" s="0" t="str">
        <f aca="true">IF(A180="","",IF(OR(J180="Approved",J180="Rejected",J180="Void"),"",TODAY()-P180))</f>
        <v/>
      </c>
    </row>
    <row r="181" customFormat="false" ht="15" hidden="false" customHeight="false" outlineLevel="0" collapsed="false">
      <c r="M181" s="0" t="str">
        <f aca="false">IF(A181="","",SUMIFS(H$2:H181,J$2:J181,"Approved"))</f>
        <v/>
      </c>
      <c r="P181" s="13" t="str">
        <f aca="false">IF(A181="","",MAX(B181+0,K181+0,L181+0))</f>
        <v/>
      </c>
      <c r="Q181" s="0" t="str">
        <f aca="true">IF(A181="","",IF(OR(J181="Approved",J181="Rejected",J181="Void"),"",TODAY()-P181))</f>
        <v/>
      </c>
    </row>
    <row r="182" customFormat="false" ht="15" hidden="false" customHeight="false" outlineLevel="0" collapsed="false">
      <c r="M182" s="0" t="str">
        <f aca="false">IF(A182="","",SUMIFS(H$2:H182,J$2:J182,"Approved"))</f>
        <v/>
      </c>
      <c r="P182" s="13" t="str">
        <f aca="false">IF(A182="","",MAX(B182+0,K182+0,L182+0))</f>
        <v/>
      </c>
      <c r="Q182" s="0" t="str">
        <f aca="true">IF(A182="","",IF(OR(J182="Approved",J182="Rejected",J182="Void"),"",TODAY()-P182))</f>
        <v/>
      </c>
    </row>
    <row r="183" customFormat="false" ht="15" hidden="false" customHeight="false" outlineLevel="0" collapsed="false">
      <c r="M183" s="0" t="str">
        <f aca="false">IF(A183="","",SUMIFS(H$2:H183,J$2:J183,"Approved"))</f>
        <v/>
      </c>
      <c r="P183" s="13" t="str">
        <f aca="false">IF(A183="","",MAX(B183+0,K183+0,L183+0))</f>
        <v/>
      </c>
      <c r="Q183" s="0" t="str">
        <f aca="true">IF(A183="","",IF(OR(J183="Approved",J183="Rejected",J183="Void"),"",TODAY()-P183))</f>
        <v/>
      </c>
    </row>
    <row r="184" customFormat="false" ht="15" hidden="false" customHeight="false" outlineLevel="0" collapsed="false">
      <c r="M184" s="0" t="str">
        <f aca="false">IF(A184="","",SUMIFS(H$2:H184,J$2:J184,"Approved"))</f>
        <v/>
      </c>
      <c r="P184" s="13" t="str">
        <f aca="false">IF(A184="","",MAX(B184+0,K184+0,L184+0))</f>
        <v/>
      </c>
      <c r="Q184" s="0" t="str">
        <f aca="true">IF(A184="","",IF(OR(J184="Approved",J184="Rejected",J184="Void"),"",TODAY()-P184))</f>
        <v/>
      </c>
    </row>
    <row r="185" customFormat="false" ht="15" hidden="false" customHeight="false" outlineLevel="0" collapsed="false">
      <c r="M185" s="0" t="str">
        <f aca="false">IF(A185="","",SUMIFS(H$2:H185,J$2:J185,"Approved"))</f>
        <v/>
      </c>
      <c r="P185" s="13" t="str">
        <f aca="false">IF(A185="","",MAX(B185+0,K185+0,L185+0))</f>
        <v/>
      </c>
      <c r="Q185" s="0" t="str">
        <f aca="true">IF(A185="","",IF(OR(J185="Approved",J185="Rejected",J185="Void"),"",TODAY()-P185))</f>
        <v/>
      </c>
    </row>
    <row r="186" customFormat="false" ht="15" hidden="false" customHeight="false" outlineLevel="0" collapsed="false">
      <c r="M186" s="0" t="str">
        <f aca="false">IF(A186="","",SUMIFS(H$2:H186,J$2:J186,"Approved"))</f>
        <v/>
      </c>
      <c r="P186" s="13" t="str">
        <f aca="false">IF(A186="","",MAX(B186+0,K186+0,L186+0))</f>
        <v/>
      </c>
      <c r="Q186" s="0" t="str">
        <f aca="true">IF(A186="","",IF(OR(J186="Approved",J186="Rejected",J186="Void"),"",TODAY()-P186))</f>
        <v/>
      </c>
    </row>
    <row r="187" customFormat="false" ht="15" hidden="false" customHeight="false" outlineLevel="0" collapsed="false">
      <c r="M187" s="0" t="str">
        <f aca="false">IF(A187="","",SUMIFS(H$2:H187,J$2:J187,"Approved"))</f>
        <v/>
      </c>
      <c r="P187" s="13" t="str">
        <f aca="false">IF(A187="","",MAX(B187+0,K187+0,L187+0))</f>
        <v/>
      </c>
      <c r="Q187" s="0" t="str">
        <f aca="true">IF(A187="","",IF(OR(J187="Approved",J187="Rejected",J187="Void"),"",TODAY()-P187))</f>
        <v/>
      </c>
    </row>
    <row r="188" customFormat="false" ht="15" hidden="false" customHeight="false" outlineLevel="0" collapsed="false">
      <c r="M188" s="0" t="str">
        <f aca="false">IF(A188="","",SUMIFS(H$2:H188,J$2:J188,"Approved"))</f>
        <v/>
      </c>
      <c r="P188" s="13" t="str">
        <f aca="false">IF(A188="","",MAX(B188+0,K188+0,L188+0))</f>
        <v/>
      </c>
      <c r="Q188" s="0" t="str">
        <f aca="true">IF(A188="","",IF(OR(J188="Approved",J188="Rejected",J188="Void"),"",TODAY()-P188))</f>
        <v/>
      </c>
    </row>
    <row r="189" customFormat="false" ht="15" hidden="false" customHeight="false" outlineLevel="0" collapsed="false">
      <c r="M189" s="0" t="str">
        <f aca="false">IF(A189="","",SUMIFS(H$2:H189,J$2:J189,"Approved"))</f>
        <v/>
      </c>
      <c r="P189" s="13" t="str">
        <f aca="false">IF(A189="","",MAX(B189+0,K189+0,L189+0))</f>
        <v/>
      </c>
      <c r="Q189" s="0" t="str">
        <f aca="true">IF(A189="","",IF(OR(J189="Approved",J189="Rejected",J189="Void"),"",TODAY()-P189))</f>
        <v/>
      </c>
    </row>
    <row r="190" customFormat="false" ht="15" hidden="false" customHeight="false" outlineLevel="0" collapsed="false">
      <c r="M190" s="0" t="str">
        <f aca="false">IF(A190="","",SUMIFS(H$2:H190,J$2:J190,"Approved"))</f>
        <v/>
      </c>
      <c r="P190" s="13" t="str">
        <f aca="false">IF(A190="","",MAX(B190+0,K190+0,L190+0))</f>
        <v/>
      </c>
      <c r="Q190" s="0" t="str">
        <f aca="true">IF(A190="","",IF(OR(J190="Approved",J190="Rejected",J190="Void"),"",TODAY()-P190))</f>
        <v/>
      </c>
    </row>
    <row r="191" customFormat="false" ht="15" hidden="false" customHeight="false" outlineLevel="0" collapsed="false">
      <c r="M191" s="0" t="str">
        <f aca="false">IF(A191="","",SUMIFS(H$2:H191,J$2:J191,"Approved"))</f>
        <v/>
      </c>
      <c r="P191" s="13" t="str">
        <f aca="false">IF(A191="","",MAX(B191+0,K191+0,L191+0))</f>
        <v/>
      </c>
      <c r="Q191" s="0" t="str">
        <f aca="true">IF(A191="","",IF(OR(J191="Approved",J191="Rejected",J191="Void"),"",TODAY()-P191))</f>
        <v/>
      </c>
    </row>
    <row r="192" customFormat="false" ht="15" hidden="false" customHeight="false" outlineLevel="0" collapsed="false">
      <c r="M192" s="0" t="str">
        <f aca="false">IF(A192="","",SUMIFS(H$2:H192,J$2:J192,"Approved"))</f>
        <v/>
      </c>
      <c r="P192" s="13" t="str">
        <f aca="false">IF(A192="","",MAX(B192+0,K192+0,L192+0))</f>
        <v/>
      </c>
      <c r="Q192" s="0" t="str">
        <f aca="true">IF(A192="","",IF(OR(J192="Approved",J192="Rejected",J192="Void"),"",TODAY()-P192))</f>
        <v/>
      </c>
    </row>
    <row r="193" customFormat="false" ht="15" hidden="false" customHeight="false" outlineLevel="0" collapsed="false">
      <c r="M193" s="0" t="str">
        <f aca="false">IF(A193="","",SUMIFS(H$2:H193,J$2:J193,"Approved"))</f>
        <v/>
      </c>
      <c r="P193" s="13" t="str">
        <f aca="false">IF(A193="","",MAX(B193+0,K193+0,L193+0))</f>
        <v/>
      </c>
      <c r="Q193" s="0" t="str">
        <f aca="true">IF(A193="","",IF(OR(J193="Approved",J193="Rejected",J193="Void"),"",TODAY()-P193))</f>
        <v/>
      </c>
    </row>
    <row r="194" customFormat="false" ht="15" hidden="false" customHeight="false" outlineLevel="0" collapsed="false">
      <c r="M194" s="0" t="str">
        <f aca="false">IF(A194="","",SUMIFS(H$2:H194,J$2:J194,"Approved"))</f>
        <v/>
      </c>
      <c r="P194" s="13" t="str">
        <f aca="false">IF(A194="","",MAX(B194+0,K194+0,L194+0))</f>
        <v/>
      </c>
      <c r="Q194" s="0" t="str">
        <f aca="true">IF(A194="","",IF(OR(J194="Approved",J194="Rejected",J194="Void"),"",TODAY()-P194))</f>
        <v/>
      </c>
    </row>
    <row r="195" customFormat="false" ht="15" hidden="false" customHeight="false" outlineLevel="0" collapsed="false">
      <c r="M195" s="0" t="str">
        <f aca="false">IF(A195="","",SUMIFS(H$2:H195,J$2:J195,"Approved"))</f>
        <v/>
      </c>
      <c r="P195" s="13" t="str">
        <f aca="false">IF(A195="","",MAX(B195+0,K195+0,L195+0))</f>
        <v/>
      </c>
      <c r="Q195" s="0" t="str">
        <f aca="true">IF(A195="","",IF(OR(J195="Approved",J195="Rejected",J195="Void"),"",TODAY()-P195))</f>
        <v/>
      </c>
    </row>
    <row r="196" customFormat="false" ht="15" hidden="false" customHeight="false" outlineLevel="0" collapsed="false">
      <c r="M196" s="0" t="str">
        <f aca="false">IF(A196="","",SUMIFS(H$2:H196,J$2:J196,"Approved"))</f>
        <v/>
      </c>
      <c r="P196" s="13" t="str">
        <f aca="false">IF(A196="","",MAX(B196+0,K196+0,L196+0))</f>
        <v/>
      </c>
      <c r="Q196" s="0" t="str">
        <f aca="true">IF(A196="","",IF(OR(J196="Approved",J196="Rejected",J196="Void"),"",TODAY()-P196))</f>
        <v/>
      </c>
    </row>
    <row r="197" customFormat="false" ht="15" hidden="false" customHeight="false" outlineLevel="0" collapsed="false">
      <c r="M197" s="0" t="str">
        <f aca="false">IF(A197="","",SUMIFS(H$2:H197,J$2:J197,"Approved"))</f>
        <v/>
      </c>
      <c r="P197" s="13" t="str">
        <f aca="false">IF(A197="","",MAX(B197+0,K197+0,L197+0))</f>
        <v/>
      </c>
      <c r="Q197" s="0" t="str">
        <f aca="true">IF(A197="","",IF(OR(J197="Approved",J197="Rejected",J197="Void"),"",TODAY()-P197))</f>
        <v/>
      </c>
    </row>
    <row r="198" customFormat="false" ht="15" hidden="false" customHeight="false" outlineLevel="0" collapsed="false">
      <c r="M198" s="0" t="str">
        <f aca="false">IF(A198="","",SUMIFS(H$2:H198,J$2:J198,"Approved"))</f>
        <v/>
      </c>
      <c r="P198" s="13" t="str">
        <f aca="false">IF(A198="","",MAX(B198+0,K198+0,L198+0))</f>
        <v/>
      </c>
      <c r="Q198" s="0" t="str">
        <f aca="true">IF(A198="","",IF(OR(J198="Approved",J198="Rejected",J198="Void"),"",TODAY()-P198))</f>
        <v/>
      </c>
    </row>
    <row r="199" customFormat="false" ht="15" hidden="false" customHeight="false" outlineLevel="0" collapsed="false">
      <c r="M199" s="0" t="str">
        <f aca="false">IF(A199="","",SUMIFS(H$2:H199,J$2:J199,"Approved"))</f>
        <v/>
      </c>
      <c r="P199" s="13" t="str">
        <f aca="false">IF(A199="","",MAX(B199+0,K199+0,L199+0))</f>
        <v/>
      </c>
      <c r="Q199" s="0" t="str">
        <f aca="true">IF(A199="","",IF(OR(J199="Approved",J199="Rejected",J199="Void"),"",TODAY()-P199))</f>
        <v/>
      </c>
    </row>
    <row r="200" customFormat="false" ht="15" hidden="false" customHeight="false" outlineLevel="0" collapsed="false">
      <c r="M200" s="0" t="str">
        <f aca="false">IF(A200="","",SUMIFS(H$2:H200,J$2:J200,"Approved"))</f>
        <v/>
      </c>
      <c r="P200" s="13" t="str">
        <f aca="false">IF(A200="","",MAX(B200+0,K200+0,L200+0))</f>
        <v/>
      </c>
      <c r="Q200" s="0" t="str">
        <f aca="true">IF(A200="","",IF(OR(J200="Approved",J200="Rejected",J200="Void"),"",TODAY()-P200))</f>
        <v/>
      </c>
    </row>
    <row r="201" customFormat="false" ht="15" hidden="false" customHeight="false" outlineLevel="0" collapsed="false">
      <c r="M201" s="0" t="str">
        <f aca="false">IF(A201="","",SUMIFS(H$2:H201,J$2:J201,"Approved"))</f>
        <v/>
      </c>
      <c r="P201" s="13" t="str">
        <f aca="false">IF(A201="","",MAX(B201+0,K201+0,L201+0))</f>
        <v/>
      </c>
      <c r="Q201" s="0" t="str">
        <f aca="true">IF(A201="","",IF(OR(J201="Approved",J201="Rejected",J201="Void"),"",TODAY()-P201))</f>
        <v/>
      </c>
    </row>
    <row r="202" customFormat="false" ht="15" hidden="false" customHeight="false" outlineLevel="0" collapsed="false">
      <c r="M202" s="0" t="str">
        <f aca="false">IF(A202="","",SUMIFS(H$2:H202,J$2:J202,"Approved"))</f>
        <v/>
      </c>
      <c r="P202" s="13" t="str">
        <f aca="false">IF(A202="","",MAX(B202+0,K202+0,L202+0))</f>
        <v/>
      </c>
      <c r="Q202" s="0" t="str">
        <f aca="true">IF(A202="","",IF(OR(J202="Approved",J202="Rejected",J202="Void"),"",TODAY()-P202))</f>
        <v/>
      </c>
    </row>
    <row r="203" customFormat="false" ht="15" hidden="false" customHeight="false" outlineLevel="0" collapsed="false">
      <c r="M203" s="0" t="str">
        <f aca="false">IF(A203="","",SUMIFS(H$2:H203,J$2:J203,"Approved"))</f>
        <v/>
      </c>
      <c r="P203" s="13" t="str">
        <f aca="false">IF(A203="","",MAX(B203+0,K203+0,L203+0))</f>
        <v/>
      </c>
      <c r="Q203" s="0" t="str">
        <f aca="true">IF(A203="","",IF(OR(J203="Approved",J203="Rejected",J203="Void"),"",TODAY()-P203))</f>
        <v/>
      </c>
    </row>
    <row r="204" customFormat="false" ht="15" hidden="false" customHeight="false" outlineLevel="0" collapsed="false">
      <c r="M204" s="0" t="str">
        <f aca="false">IF(A204="","",SUMIFS(H$2:H204,J$2:J204,"Approved"))</f>
        <v/>
      </c>
      <c r="P204" s="13" t="str">
        <f aca="false">IF(A204="","",MAX(B204+0,K204+0,L204+0))</f>
        <v/>
      </c>
      <c r="Q204" s="0" t="str">
        <f aca="true">IF(A204="","",IF(OR(J204="Approved",J204="Rejected",J204="Void"),"",TODAY()-P204))</f>
        <v/>
      </c>
    </row>
    <row r="205" customFormat="false" ht="15" hidden="false" customHeight="false" outlineLevel="0" collapsed="false">
      <c r="M205" s="0" t="str">
        <f aca="false">IF(A205="","",SUMIFS(H$2:H205,J$2:J205,"Approved"))</f>
        <v/>
      </c>
      <c r="P205" s="13" t="str">
        <f aca="false">IF(A205="","",MAX(B205+0,K205+0,L205+0))</f>
        <v/>
      </c>
      <c r="Q205" s="0" t="str">
        <f aca="true">IF(A205="","",IF(OR(J205="Approved",J205="Rejected",J205="Void"),"",TODAY()-P205))</f>
        <v/>
      </c>
    </row>
    <row r="206" customFormat="false" ht="15" hidden="false" customHeight="false" outlineLevel="0" collapsed="false">
      <c r="M206" s="0" t="str">
        <f aca="false">IF(A206="","",SUMIFS(H$2:H206,J$2:J206,"Approved"))</f>
        <v/>
      </c>
      <c r="P206" s="13" t="str">
        <f aca="false">IF(A206="","",MAX(B206+0,K206+0,L206+0))</f>
        <v/>
      </c>
      <c r="Q206" s="0" t="str">
        <f aca="true">IF(A206="","",IF(OR(J206="Approved",J206="Rejected",J206="Void"),"",TODAY()-P206))</f>
        <v/>
      </c>
    </row>
    <row r="207" customFormat="false" ht="15" hidden="false" customHeight="false" outlineLevel="0" collapsed="false">
      <c r="M207" s="0" t="str">
        <f aca="false">IF(A207="","",SUMIFS(H$2:H207,J$2:J207,"Approved"))</f>
        <v/>
      </c>
      <c r="P207" s="13" t="str">
        <f aca="false">IF(A207="","",MAX(B207+0,K207+0,L207+0))</f>
        <v/>
      </c>
      <c r="Q207" s="0" t="str">
        <f aca="true">IF(A207="","",IF(OR(J207="Approved",J207="Rejected",J207="Void"),"",TODAY()-P207))</f>
        <v/>
      </c>
    </row>
    <row r="208" customFormat="false" ht="15" hidden="false" customHeight="false" outlineLevel="0" collapsed="false">
      <c r="M208" s="0" t="str">
        <f aca="false">IF(A208="","",SUMIFS(H$2:H208,J$2:J208,"Approved"))</f>
        <v/>
      </c>
      <c r="P208" s="13" t="str">
        <f aca="false">IF(A208="","",MAX(B208+0,K208+0,L208+0))</f>
        <v/>
      </c>
      <c r="Q208" s="0" t="str">
        <f aca="true">IF(A208="","",IF(OR(J208="Approved",J208="Rejected",J208="Void"),"",TODAY()-P208))</f>
        <v/>
      </c>
    </row>
    <row r="209" customFormat="false" ht="15" hidden="false" customHeight="false" outlineLevel="0" collapsed="false">
      <c r="M209" s="0" t="str">
        <f aca="false">IF(A209="","",SUMIFS(H$2:H209,J$2:J209,"Approved"))</f>
        <v/>
      </c>
      <c r="P209" s="13" t="str">
        <f aca="false">IF(A209="","",MAX(B209+0,K209+0,L209+0))</f>
        <v/>
      </c>
      <c r="Q209" s="0" t="str">
        <f aca="true">IF(A209="","",IF(OR(J209="Approved",J209="Rejected",J209="Void"),"",TODAY()-P209))</f>
        <v/>
      </c>
    </row>
    <row r="210" customFormat="false" ht="15" hidden="false" customHeight="false" outlineLevel="0" collapsed="false">
      <c r="M210" s="0" t="str">
        <f aca="false">IF(A210="","",SUMIFS(H$2:H210,J$2:J210,"Approved"))</f>
        <v/>
      </c>
      <c r="P210" s="13" t="str">
        <f aca="false">IF(A210="","",MAX(B210+0,K210+0,L210+0))</f>
        <v/>
      </c>
      <c r="Q210" s="0" t="str">
        <f aca="true">IF(A210="","",IF(OR(J210="Approved",J210="Rejected",J210="Void"),"",TODAY()-P210))</f>
        <v/>
      </c>
    </row>
    <row r="211" customFormat="false" ht="15" hidden="false" customHeight="false" outlineLevel="0" collapsed="false">
      <c r="M211" s="0" t="str">
        <f aca="false">IF(A211="","",SUMIFS(H$2:H211,J$2:J211,"Approved"))</f>
        <v/>
      </c>
      <c r="P211" s="13" t="str">
        <f aca="false">IF(A211="","",MAX(B211+0,K211+0,L211+0))</f>
        <v/>
      </c>
      <c r="Q211" s="0" t="str">
        <f aca="true">IF(A211="","",IF(OR(J211="Approved",J211="Rejected",J211="Void"),"",TODAY()-P211))</f>
        <v/>
      </c>
    </row>
    <row r="212" customFormat="false" ht="15" hidden="false" customHeight="false" outlineLevel="0" collapsed="false">
      <c r="M212" s="0" t="str">
        <f aca="false">IF(A212="","",SUMIFS(H$2:H212,J$2:J212,"Approved"))</f>
        <v/>
      </c>
      <c r="P212" s="13" t="str">
        <f aca="false">IF(A212="","",MAX(B212+0,K212+0,L212+0))</f>
        <v/>
      </c>
      <c r="Q212" s="0" t="str">
        <f aca="true">IF(A212="","",IF(OR(J212="Approved",J212="Rejected",J212="Void"),"",TODAY()-P212))</f>
        <v/>
      </c>
    </row>
    <row r="213" customFormat="false" ht="15" hidden="false" customHeight="false" outlineLevel="0" collapsed="false">
      <c r="M213" s="0" t="str">
        <f aca="false">IF(A213="","",SUMIFS(H$2:H213,J$2:J213,"Approved"))</f>
        <v/>
      </c>
      <c r="P213" s="13" t="str">
        <f aca="false">IF(A213="","",MAX(B213+0,K213+0,L213+0))</f>
        <v/>
      </c>
      <c r="Q213" s="0" t="str">
        <f aca="true">IF(A213="","",IF(OR(J213="Approved",J213="Rejected",J213="Void"),"",TODAY()-P213))</f>
        <v/>
      </c>
    </row>
    <row r="214" customFormat="false" ht="15" hidden="false" customHeight="false" outlineLevel="0" collapsed="false">
      <c r="M214" s="0" t="str">
        <f aca="false">IF(A214="","",SUMIFS(H$2:H214,J$2:J214,"Approved"))</f>
        <v/>
      </c>
      <c r="P214" s="13" t="str">
        <f aca="false">IF(A214="","",MAX(B214+0,K214+0,L214+0))</f>
        <v/>
      </c>
      <c r="Q214" s="0" t="str">
        <f aca="true">IF(A214="","",IF(OR(J214="Approved",J214="Rejected",J214="Void"),"",TODAY()-P214))</f>
        <v/>
      </c>
    </row>
    <row r="215" customFormat="false" ht="15" hidden="false" customHeight="false" outlineLevel="0" collapsed="false">
      <c r="M215" s="0" t="str">
        <f aca="false">IF(A215="","",SUMIFS(H$2:H215,J$2:J215,"Approved"))</f>
        <v/>
      </c>
      <c r="P215" s="13" t="str">
        <f aca="false">IF(A215="","",MAX(B215+0,K215+0,L215+0))</f>
        <v/>
      </c>
      <c r="Q215" s="0" t="str">
        <f aca="true">IF(A215="","",IF(OR(J215="Approved",J215="Rejected",J215="Void"),"",TODAY()-P215))</f>
        <v/>
      </c>
    </row>
    <row r="216" customFormat="false" ht="15" hidden="false" customHeight="false" outlineLevel="0" collapsed="false">
      <c r="M216" s="0" t="str">
        <f aca="false">IF(A216="","",SUMIFS(H$2:H216,J$2:J216,"Approved"))</f>
        <v/>
      </c>
      <c r="P216" s="13" t="str">
        <f aca="false">IF(A216="","",MAX(B216+0,K216+0,L216+0))</f>
        <v/>
      </c>
      <c r="Q216" s="0" t="str">
        <f aca="true">IF(A216="","",IF(OR(J216="Approved",J216="Rejected",J216="Void"),"",TODAY()-P216))</f>
        <v/>
      </c>
    </row>
    <row r="217" customFormat="false" ht="15" hidden="false" customHeight="false" outlineLevel="0" collapsed="false">
      <c r="M217" s="0" t="str">
        <f aca="false">IF(A217="","",SUMIFS(H$2:H217,J$2:J217,"Approved"))</f>
        <v/>
      </c>
      <c r="P217" s="13" t="str">
        <f aca="false">IF(A217="","",MAX(B217+0,K217+0,L217+0))</f>
        <v/>
      </c>
      <c r="Q217" s="0" t="str">
        <f aca="true">IF(A217="","",IF(OR(J217="Approved",J217="Rejected",J217="Void"),"",TODAY()-P217))</f>
        <v/>
      </c>
    </row>
    <row r="218" customFormat="false" ht="15" hidden="false" customHeight="false" outlineLevel="0" collapsed="false">
      <c r="M218" s="0" t="str">
        <f aca="false">IF(A218="","",SUMIFS(H$2:H218,J$2:J218,"Approved"))</f>
        <v/>
      </c>
      <c r="P218" s="13" t="str">
        <f aca="false">IF(A218="","",MAX(B218+0,K218+0,L218+0))</f>
        <v/>
      </c>
      <c r="Q218" s="0" t="str">
        <f aca="true">IF(A218="","",IF(OR(J218="Approved",J218="Rejected",J218="Void"),"",TODAY()-P218))</f>
        <v/>
      </c>
    </row>
    <row r="219" customFormat="false" ht="15" hidden="false" customHeight="false" outlineLevel="0" collapsed="false">
      <c r="M219" s="0" t="str">
        <f aca="false">IF(A219="","",SUMIFS(H$2:H219,J$2:J219,"Approved"))</f>
        <v/>
      </c>
      <c r="P219" s="13" t="str">
        <f aca="false">IF(A219="","",MAX(B219+0,K219+0,L219+0))</f>
        <v/>
      </c>
      <c r="Q219" s="0" t="str">
        <f aca="true">IF(A219="","",IF(OR(J219="Approved",J219="Rejected",J219="Void"),"",TODAY()-P219))</f>
        <v/>
      </c>
    </row>
    <row r="220" customFormat="false" ht="15" hidden="false" customHeight="false" outlineLevel="0" collapsed="false">
      <c r="M220" s="0" t="str">
        <f aca="false">IF(A220="","",SUMIFS(H$2:H220,J$2:J220,"Approved"))</f>
        <v/>
      </c>
      <c r="P220" s="13" t="str">
        <f aca="false">IF(A220="","",MAX(B220+0,K220+0,L220+0))</f>
        <v/>
      </c>
      <c r="Q220" s="0" t="str">
        <f aca="true">IF(A220="","",IF(OR(J220="Approved",J220="Rejected",J220="Void"),"",TODAY()-P220))</f>
        <v/>
      </c>
    </row>
    <row r="221" customFormat="false" ht="15" hidden="false" customHeight="false" outlineLevel="0" collapsed="false">
      <c r="M221" s="0" t="str">
        <f aca="false">IF(A221="","",SUMIFS(H$2:H221,J$2:J221,"Approved"))</f>
        <v/>
      </c>
      <c r="P221" s="13" t="str">
        <f aca="false">IF(A221="","",MAX(B221+0,K221+0,L221+0))</f>
        <v/>
      </c>
      <c r="Q221" s="0" t="str">
        <f aca="true">IF(A221="","",IF(OR(J221="Approved",J221="Rejected",J221="Void"),"",TODAY()-P221))</f>
        <v/>
      </c>
    </row>
    <row r="222" customFormat="false" ht="15" hidden="false" customHeight="false" outlineLevel="0" collapsed="false">
      <c r="M222" s="0" t="str">
        <f aca="false">IF(A222="","",SUMIFS(H$2:H222,J$2:J222,"Approved"))</f>
        <v/>
      </c>
      <c r="P222" s="13" t="str">
        <f aca="false">IF(A222="","",MAX(B222+0,K222+0,L222+0))</f>
        <v/>
      </c>
      <c r="Q222" s="0" t="str">
        <f aca="true">IF(A222="","",IF(OR(J222="Approved",J222="Rejected",J222="Void"),"",TODAY()-P222))</f>
        <v/>
      </c>
    </row>
    <row r="223" customFormat="false" ht="15" hidden="false" customHeight="false" outlineLevel="0" collapsed="false">
      <c r="M223" s="0" t="str">
        <f aca="false">IF(A223="","",SUMIFS(H$2:H223,J$2:J223,"Approved"))</f>
        <v/>
      </c>
      <c r="P223" s="13" t="str">
        <f aca="false">IF(A223="","",MAX(B223+0,K223+0,L223+0))</f>
        <v/>
      </c>
      <c r="Q223" s="0" t="str">
        <f aca="true">IF(A223="","",IF(OR(J223="Approved",J223="Rejected",J223="Void"),"",TODAY()-P223))</f>
        <v/>
      </c>
    </row>
    <row r="224" customFormat="false" ht="15" hidden="false" customHeight="false" outlineLevel="0" collapsed="false">
      <c r="M224" s="0" t="str">
        <f aca="false">IF(A224="","",SUMIFS(H$2:H224,J$2:J224,"Approved"))</f>
        <v/>
      </c>
      <c r="P224" s="13" t="str">
        <f aca="false">IF(A224="","",MAX(B224+0,K224+0,L224+0))</f>
        <v/>
      </c>
      <c r="Q224" s="0" t="str">
        <f aca="true">IF(A224="","",IF(OR(J224="Approved",J224="Rejected",J224="Void"),"",TODAY()-P224))</f>
        <v/>
      </c>
    </row>
    <row r="225" customFormat="false" ht="15" hidden="false" customHeight="false" outlineLevel="0" collapsed="false">
      <c r="M225" s="0" t="str">
        <f aca="false">IF(A225="","",SUMIFS(H$2:H225,J$2:J225,"Approved"))</f>
        <v/>
      </c>
      <c r="P225" s="13" t="str">
        <f aca="false">IF(A225="","",MAX(B225+0,K225+0,L225+0))</f>
        <v/>
      </c>
      <c r="Q225" s="0" t="str">
        <f aca="true">IF(A225="","",IF(OR(J225="Approved",J225="Rejected",J225="Void"),"",TODAY()-P225))</f>
        <v/>
      </c>
    </row>
    <row r="226" customFormat="false" ht="15" hidden="false" customHeight="false" outlineLevel="0" collapsed="false">
      <c r="M226" s="0" t="str">
        <f aca="false">IF(A226="","",SUMIFS(H$2:H226,J$2:J226,"Approved"))</f>
        <v/>
      </c>
      <c r="P226" s="13" t="str">
        <f aca="false">IF(A226="","",MAX(B226+0,K226+0,L226+0))</f>
        <v/>
      </c>
      <c r="Q226" s="0" t="str">
        <f aca="true">IF(A226="","",IF(OR(J226="Approved",J226="Rejected",J226="Void"),"",TODAY()-P226))</f>
        <v/>
      </c>
    </row>
    <row r="227" customFormat="false" ht="15" hidden="false" customHeight="false" outlineLevel="0" collapsed="false">
      <c r="M227" s="0" t="str">
        <f aca="false">IF(A227="","",SUMIFS(H$2:H227,J$2:J227,"Approved"))</f>
        <v/>
      </c>
      <c r="P227" s="13" t="str">
        <f aca="false">IF(A227="","",MAX(B227+0,K227+0,L227+0))</f>
        <v/>
      </c>
      <c r="Q227" s="0" t="str">
        <f aca="true">IF(A227="","",IF(OR(J227="Approved",J227="Rejected",J227="Void"),"",TODAY()-P227))</f>
        <v/>
      </c>
    </row>
    <row r="228" customFormat="false" ht="15" hidden="false" customHeight="false" outlineLevel="0" collapsed="false">
      <c r="M228" s="0" t="str">
        <f aca="false">IF(A228="","",SUMIFS(H$2:H228,J$2:J228,"Approved"))</f>
        <v/>
      </c>
      <c r="P228" s="13" t="str">
        <f aca="false">IF(A228="","",MAX(B228+0,K228+0,L228+0))</f>
        <v/>
      </c>
      <c r="Q228" s="0" t="str">
        <f aca="true">IF(A228="","",IF(OR(J228="Approved",J228="Rejected",J228="Void"),"",TODAY()-P228))</f>
        <v/>
      </c>
    </row>
    <row r="229" customFormat="false" ht="15" hidden="false" customHeight="false" outlineLevel="0" collapsed="false">
      <c r="M229" s="0" t="str">
        <f aca="false">IF(A229="","",SUMIFS(H$2:H229,J$2:J229,"Approved"))</f>
        <v/>
      </c>
      <c r="P229" s="13" t="str">
        <f aca="false">IF(A229="","",MAX(B229+0,K229+0,L229+0))</f>
        <v/>
      </c>
      <c r="Q229" s="0" t="str">
        <f aca="true">IF(A229="","",IF(OR(J229="Approved",J229="Rejected",J229="Void"),"",TODAY()-P229))</f>
        <v/>
      </c>
    </row>
    <row r="230" customFormat="false" ht="15" hidden="false" customHeight="false" outlineLevel="0" collapsed="false">
      <c r="M230" s="0" t="str">
        <f aca="false">IF(A230="","",SUMIFS(H$2:H230,J$2:J230,"Approved"))</f>
        <v/>
      </c>
      <c r="P230" s="13" t="str">
        <f aca="false">IF(A230="","",MAX(B230+0,K230+0,L230+0))</f>
        <v/>
      </c>
      <c r="Q230" s="0" t="str">
        <f aca="true">IF(A230="","",IF(OR(J230="Approved",J230="Rejected",J230="Void"),"",TODAY()-P230))</f>
        <v/>
      </c>
    </row>
    <row r="231" customFormat="false" ht="15" hidden="false" customHeight="false" outlineLevel="0" collapsed="false">
      <c r="M231" s="0" t="str">
        <f aca="false">IF(A231="","",SUMIFS(H$2:H231,J$2:J231,"Approved"))</f>
        <v/>
      </c>
      <c r="P231" s="13" t="str">
        <f aca="false">IF(A231="","",MAX(B231+0,K231+0,L231+0))</f>
        <v/>
      </c>
      <c r="Q231" s="0" t="str">
        <f aca="true">IF(A231="","",IF(OR(J231="Approved",J231="Rejected",J231="Void"),"",TODAY()-P231))</f>
        <v/>
      </c>
    </row>
    <row r="232" customFormat="false" ht="15" hidden="false" customHeight="false" outlineLevel="0" collapsed="false">
      <c r="M232" s="0" t="str">
        <f aca="false">IF(A232="","",SUMIFS(H$2:H232,J$2:J232,"Approved"))</f>
        <v/>
      </c>
      <c r="P232" s="13" t="str">
        <f aca="false">IF(A232="","",MAX(B232+0,K232+0,L232+0))</f>
        <v/>
      </c>
      <c r="Q232" s="0" t="str">
        <f aca="true">IF(A232="","",IF(OR(J232="Approved",J232="Rejected",J232="Void"),"",TODAY()-P232))</f>
        <v/>
      </c>
    </row>
    <row r="233" customFormat="false" ht="15" hidden="false" customHeight="false" outlineLevel="0" collapsed="false">
      <c r="M233" s="0" t="str">
        <f aca="false">IF(A233="","",SUMIFS(H$2:H233,J$2:J233,"Approved"))</f>
        <v/>
      </c>
      <c r="P233" s="13" t="str">
        <f aca="false">IF(A233="","",MAX(B233+0,K233+0,L233+0))</f>
        <v/>
      </c>
      <c r="Q233" s="0" t="str">
        <f aca="true">IF(A233="","",IF(OR(J233="Approved",J233="Rejected",J233="Void"),"",TODAY()-P233))</f>
        <v/>
      </c>
    </row>
    <row r="234" customFormat="false" ht="15" hidden="false" customHeight="false" outlineLevel="0" collapsed="false">
      <c r="M234" s="0" t="str">
        <f aca="false">IF(A234="","",SUMIFS(H$2:H234,J$2:J234,"Approved"))</f>
        <v/>
      </c>
      <c r="P234" s="13" t="str">
        <f aca="false">IF(A234="","",MAX(B234+0,K234+0,L234+0))</f>
        <v/>
      </c>
      <c r="Q234" s="0" t="str">
        <f aca="true">IF(A234="","",IF(OR(J234="Approved",J234="Rejected",J234="Void"),"",TODAY()-P234))</f>
        <v/>
      </c>
    </row>
    <row r="235" customFormat="false" ht="15" hidden="false" customHeight="false" outlineLevel="0" collapsed="false">
      <c r="M235" s="0" t="str">
        <f aca="false">IF(A235="","",SUMIFS(H$2:H235,J$2:J235,"Approved"))</f>
        <v/>
      </c>
      <c r="P235" s="13" t="str">
        <f aca="false">IF(A235="","",MAX(B235+0,K235+0,L235+0))</f>
        <v/>
      </c>
      <c r="Q235" s="0" t="str">
        <f aca="true">IF(A235="","",IF(OR(J235="Approved",J235="Rejected",J235="Void"),"",TODAY()-P235))</f>
        <v/>
      </c>
    </row>
    <row r="236" customFormat="false" ht="15" hidden="false" customHeight="false" outlineLevel="0" collapsed="false">
      <c r="M236" s="0" t="str">
        <f aca="false">IF(A236="","",SUMIFS(H$2:H236,J$2:J236,"Approved"))</f>
        <v/>
      </c>
      <c r="P236" s="13" t="str">
        <f aca="false">IF(A236="","",MAX(B236+0,K236+0,L236+0))</f>
        <v/>
      </c>
      <c r="Q236" s="0" t="str">
        <f aca="true">IF(A236="","",IF(OR(J236="Approved",J236="Rejected",J236="Void"),"",TODAY()-P236))</f>
        <v/>
      </c>
    </row>
    <row r="237" customFormat="false" ht="15" hidden="false" customHeight="false" outlineLevel="0" collapsed="false">
      <c r="M237" s="0" t="str">
        <f aca="false">IF(A237="","",SUMIFS(H$2:H237,J$2:J237,"Approved"))</f>
        <v/>
      </c>
      <c r="P237" s="13" t="str">
        <f aca="false">IF(A237="","",MAX(B237+0,K237+0,L237+0))</f>
        <v/>
      </c>
      <c r="Q237" s="0" t="str">
        <f aca="true">IF(A237="","",IF(OR(J237="Approved",J237="Rejected",J237="Void"),"",TODAY()-P237))</f>
        <v/>
      </c>
    </row>
    <row r="238" customFormat="false" ht="15" hidden="false" customHeight="false" outlineLevel="0" collapsed="false">
      <c r="M238" s="0" t="str">
        <f aca="false">IF(A238="","",SUMIFS(H$2:H238,J$2:J238,"Approved"))</f>
        <v/>
      </c>
      <c r="P238" s="13" t="str">
        <f aca="false">IF(A238="","",MAX(B238+0,K238+0,L238+0))</f>
        <v/>
      </c>
      <c r="Q238" s="0" t="str">
        <f aca="true">IF(A238="","",IF(OR(J238="Approved",J238="Rejected",J238="Void"),"",TODAY()-P238))</f>
        <v/>
      </c>
    </row>
    <row r="239" customFormat="false" ht="15" hidden="false" customHeight="false" outlineLevel="0" collapsed="false">
      <c r="M239" s="0" t="str">
        <f aca="false">IF(A239="","",SUMIFS(H$2:H239,J$2:J239,"Approved"))</f>
        <v/>
      </c>
      <c r="P239" s="13" t="str">
        <f aca="false">IF(A239="","",MAX(B239+0,K239+0,L239+0))</f>
        <v/>
      </c>
      <c r="Q239" s="0" t="str">
        <f aca="true">IF(A239="","",IF(OR(J239="Approved",J239="Rejected",J239="Void"),"",TODAY()-P239))</f>
        <v/>
      </c>
    </row>
    <row r="240" customFormat="false" ht="15" hidden="false" customHeight="false" outlineLevel="0" collapsed="false">
      <c r="M240" s="0" t="str">
        <f aca="false">IF(A240="","",SUMIFS(H$2:H240,J$2:J240,"Approved"))</f>
        <v/>
      </c>
      <c r="P240" s="13" t="str">
        <f aca="false">IF(A240="","",MAX(B240+0,K240+0,L240+0))</f>
        <v/>
      </c>
      <c r="Q240" s="0" t="str">
        <f aca="true">IF(A240="","",IF(OR(J240="Approved",J240="Rejected",J240="Void"),"",TODAY()-P240))</f>
        <v/>
      </c>
    </row>
    <row r="241" customFormat="false" ht="15" hidden="false" customHeight="false" outlineLevel="0" collapsed="false">
      <c r="M241" s="0" t="str">
        <f aca="false">IF(A241="","",SUMIFS(H$2:H241,J$2:J241,"Approved"))</f>
        <v/>
      </c>
      <c r="P241" s="13" t="str">
        <f aca="false">IF(A241="","",MAX(B241+0,K241+0,L241+0))</f>
        <v/>
      </c>
      <c r="Q241" s="0" t="str">
        <f aca="true">IF(A241="","",IF(OR(J241="Approved",J241="Rejected",J241="Void"),"",TODAY()-P241))</f>
        <v/>
      </c>
    </row>
    <row r="242" customFormat="false" ht="15" hidden="false" customHeight="false" outlineLevel="0" collapsed="false">
      <c r="M242" s="0" t="str">
        <f aca="false">IF(A242="","",SUMIFS(H$2:H242,J$2:J242,"Approved"))</f>
        <v/>
      </c>
      <c r="P242" s="13" t="str">
        <f aca="false">IF(A242="","",MAX(B242+0,K242+0,L242+0))</f>
        <v/>
      </c>
      <c r="Q242" s="0" t="str">
        <f aca="true">IF(A242="","",IF(OR(J242="Approved",J242="Rejected",J242="Void"),"",TODAY()-P242))</f>
        <v/>
      </c>
    </row>
    <row r="243" customFormat="false" ht="15" hidden="false" customHeight="false" outlineLevel="0" collapsed="false">
      <c r="M243" s="0" t="str">
        <f aca="false">IF(A243="","",SUMIFS(H$2:H243,J$2:J243,"Approved"))</f>
        <v/>
      </c>
      <c r="P243" s="13" t="str">
        <f aca="false">IF(A243="","",MAX(B243+0,K243+0,L243+0))</f>
        <v/>
      </c>
      <c r="Q243" s="0" t="str">
        <f aca="true">IF(A243="","",IF(OR(J243="Approved",J243="Rejected",J243="Void"),"",TODAY()-P243))</f>
        <v/>
      </c>
    </row>
    <row r="244" customFormat="false" ht="15" hidden="false" customHeight="false" outlineLevel="0" collapsed="false">
      <c r="M244" s="0" t="str">
        <f aca="false">IF(A244="","",SUMIFS(H$2:H244,J$2:J244,"Approved"))</f>
        <v/>
      </c>
      <c r="P244" s="13" t="str">
        <f aca="false">IF(A244="","",MAX(B244+0,K244+0,L244+0))</f>
        <v/>
      </c>
      <c r="Q244" s="0" t="str">
        <f aca="true">IF(A244="","",IF(OR(J244="Approved",J244="Rejected",J244="Void"),"",TODAY()-P244))</f>
        <v/>
      </c>
    </row>
    <row r="245" customFormat="false" ht="15" hidden="false" customHeight="false" outlineLevel="0" collapsed="false">
      <c r="M245" s="0" t="str">
        <f aca="false">IF(A245="","",SUMIFS(H$2:H245,J$2:J245,"Approved"))</f>
        <v/>
      </c>
      <c r="P245" s="13" t="str">
        <f aca="false">IF(A245="","",MAX(B245+0,K245+0,L245+0))</f>
        <v/>
      </c>
      <c r="Q245" s="0" t="str">
        <f aca="true">IF(A245="","",IF(OR(J245="Approved",J245="Rejected",J245="Void"),"",TODAY()-P245))</f>
        <v/>
      </c>
    </row>
    <row r="246" customFormat="false" ht="15" hidden="false" customHeight="false" outlineLevel="0" collapsed="false">
      <c r="M246" s="0" t="str">
        <f aca="false">IF(A246="","",SUMIFS(H$2:H246,J$2:J246,"Approved"))</f>
        <v/>
      </c>
      <c r="P246" s="13" t="str">
        <f aca="false">IF(A246="","",MAX(B246+0,K246+0,L246+0))</f>
        <v/>
      </c>
      <c r="Q246" s="0" t="str">
        <f aca="true">IF(A246="","",IF(OR(J246="Approved",J246="Rejected",J246="Void"),"",TODAY()-P246))</f>
        <v/>
      </c>
    </row>
    <row r="247" customFormat="false" ht="15" hidden="false" customHeight="false" outlineLevel="0" collapsed="false">
      <c r="M247" s="0" t="str">
        <f aca="false">IF(A247="","",SUMIFS(H$2:H247,J$2:J247,"Approved"))</f>
        <v/>
      </c>
      <c r="P247" s="13" t="str">
        <f aca="false">IF(A247="","",MAX(B247+0,K247+0,L247+0))</f>
        <v/>
      </c>
      <c r="Q247" s="0" t="str">
        <f aca="true">IF(A247="","",IF(OR(J247="Approved",J247="Rejected",J247="Void"),"",TODAY()-P247))</f>
        <v/>
      </c>
    </row>
    <row r="248" customFormat="false" ht="15" hidden="false" customHeight="false" outlineLevel="0" collapsed="false">
      <c r="M248" s="0" t="str">
        <f aca="false">IF(A248="","",SUMIFS(H$2:H248,J$2:J248,"Approved"))</f>
        <v/>
      </c>
      <c r="P248" s="13" t="str">
        <f aca="false">IF(A248="","",MAX(B248+0,K248+0,L248+0))</f>
        <v/>
      </c>
      <c r="Q248" s="0" t="str">
        <f aca="true">IF(A248="","",IF(OR(J248="Approved",J248="Rejected",J248="Void"),"",TODAY()-P248))</f>
        <v/>
      </c>
    </row>
    <row r="249" customFormat="false" ht="15" hidden="false" customHeight="false" outlineLevel="0" collapsed="false">
      <c r="M249" s="0" t="str">
        <f aca="false">IF(A249="","",SUMIFS(H$2:H249,J$2:J249,"Approved"))</f>
        <v/>
      </c>
      <c r="P249" s="13" t="str">
        <f aca="false">IF(A249="","",MAX(B249+0,K249+0,L249+0))</f>
        <v/>
      </c>
      <c r="Q249" s="0" t="str">
        <f aca="true">IF(A249="","",IF(OR(J249="Approved",J249="Rejected",J249="Void"),"",TODAY()-P249))</f>
        <v/>
      </c>
    </row>
    <row r="250" customFormat="false" ht="15" hidden="false" customHeight="false" outlineLevel="0" collapsed="false">
      <c r="M250" s="0" t="str">
        <f aca="false">IF(A250="","",SUMIFS(H$2:H250,J$2:J250,"Approved"))</f>
        <v/>
      </c>
      <c r="P250" s="13" t="str">
        <f aca="false">IF(A250="","",MAX(B250+0,K250+0,L250+0))</f>
        <v/>
      </c>
      <c r="Q250" s="0" t="str">
        <f aca="true">IF(A250="","",IF(OR(J250="Approved",J250="Rejected",J250="Void"),"",TODAY()-P250))</f>
        <v/>
      </c>
    </row>
    <row r="251" customFormat="false" ht="15" hidden="false" customHeight="false" outlineLevel="0" collapsed="false">
      <c r="M251" s="0" t="str">
        <f aca="false">IF(A251="","",SUMIFS(H$2:H251,J$2:J251,"Approved"))</f>
        <v/>
      </c>
      <c r="P251" s="13" t="str">
        <f aca="false">IF(A251="","",MAX(B251+0,K251+0,L251+0))</f>
        <v/>
      </c>
      <c r="Q251" s="0" t="str">
        <f aca="true">IF(A251="","",IF(OR(J251="Approved",J251="Rejected",J251="Void"),"",TODAY()-P251))</f>
        <v/>
      </c>
    </row>
    <row r="252" customFormat="false" ht="15" hidden="false" customHeight="false" outlineLevel="0" collapsed="false">
      <c r="M252" s="0" t="str">
        <f aca="false">IF(A252="","",SUMIFS(H$2:H252,J$2:J252,"Approved"))</f>
        <v/>
      </c>
      <c r="P252" s="13" t="str">
        <f aca="false">IF(A252="","",MAX(B252+0,K252+0,L252+0))</f>
        <v/>
      </c>
      <c r="Q252" s="0" t="str">
        <f aca="true">IF(A252="","",IF(OR(J252="Approved",J252="Rejected",J252="Void"),"",TODAY()-P252))</f>
        <v/>
      </c>
    </row>
    <row r="253" customFormat="false" ht="15" hidden="false" customHeight="false" outlineLevel="0" collapsed="false">
      <c r="M253" s="0" t="str">
        <f aca="false">IF(A253="","",SUMIFS(H$2:H253,J$2:J253,"Approved"))</f>
        <v/>
      </c>
      <c r="P253" s="13" t="str">
        <f aca="false">IF(A253="","",MAX(B253+0,K253+0,L253+0))</f>
        <v/>
      </c>
      <c r="Q253" s="0" t="str">
        <f aca="true">IF(A253="","",IF(OR(J253="Approved",J253="Rejected",J253="Void"),"",TODAY()-P253))</f>
        <v/>
      </c>
    </row>
    <row r="254" customFormat="false" ht="15" hidden="false" customHeight="false" outlineLevel="0" collapsed="false">
      <c r="M254" s="0" t="str">
        <f aca="false">IF(A254="","",SUMIFS(H$2:H254,J$2:J254,"Approved"))</f>
        <v/>
      </c>
      <c r="P254" s="13" t="str">
        <f aca="false">IF(A254="","",MAX(B254+0,K254+0,L254+0))</f>
        <v/>
      </c>
      <c r="Q254" s="0" t="str">
        <f aca="true">IF(A254="","",IF(OR(J254="Approved",J254="Rejected",J254="Void"),"",TODAY()-P254))</f>
        <v/>
      </c>
    </row>
    <row r="255" customFormat="false" ht="15" hidden="false" customHeight="false" outlineLevel="0" collapsed="false">
      <c r="M255" s="0" t="str">
        <f aca="false">IF(A255="","",SUMIFS(H$2:H255,J$2:J255,"Approved"))</f>
        <v/>
      </c>
      <c r="P255" s="13" t="str">
        <f aca="false">IF(A255="","",MAX(B255+0,K255+0,L255+0))</f>
        <v/>
      </c>
      <c r="Q255" s="0" t="str">
        <f aca="true">IF(A255="","",IF(OR(J255="Approved",J255="Rejected",J255="Void"),"",TODAY()-P255))</f>
        <v/>
      </c>
    </row>
    <row r="256" customFormat="false" ht="15" hidden="false" customHeight="false" outlineLevel="0" collapsed="false">
      <c r="M256" s="0" t="str">
        <f aca="false">IF(A256="","",SUMIFS(H$2:H256,J$2:J256,"Approved"))</f>
        <v/>
      </c>
      <c r="P256" s="13" t="str">
        <f aca="false">IF(A256="","",MAX(B256+0,K256+0,L256+0))</f>
        <v/>
      </c>
      <c r="Q256" s="0" t="str">
        <f aca="true">IF(A256="","",IF(OR(J256="Approved",J256="Rejected",J256="Void"),"",TODAY()-P256))</f>
        <v/>
      </c>
    </row>
    <row r="257" customFormat="false" ht="15" hidden="false" customHeight="false" outlineLevel="0" collapsed="false">
      <c r="M257" s="0" t="str">
        <f aca="false">IF(A257="","",SUMIFS(H$2:H257,J$2:J257,"Approved"))</f>
        <v/>
      </c>
      <c r="P257" s="13" t="str">
        <f aca="false">IF(A257="","",MAX(B257+0,K257+0,L257+0))</f>
        <v/>
      </c>
      <c r="Q257" s="0" t="str">
        <f aca="true">IF(A257="","",IF(OR(J257="Approved",J257="Rejected",J257="Void"),"",TODAY()-P257))</f>
        <v/>
      </c>
    </row>
    <row r="258" customFormat="false" ht="15" hidden="false" customHeight="false" outlineLevel="0" collapsed="false">
      <c r="M258" s="0" t="str">
        <f aca="false">IF(A258="","",SUMIFS(H$2:H258,J$2:J258,"Approved"))</f>
        <v/>
      </c>
      <c r="P258" s="13" t="str">
        <f aca="false">IF(A258="","",MAX(B258+0,K258+0,L258+0))</f>
        <v/>
      </c>
      <c r="Q258" s="0" t="str">
        <f aca="true">IF(A258="","",IF(OR(J258="Approved",J258="Rejected",J258="Void"),"",TODAY()-P258))</f>
        <v/>
      </c>
    </row>
    <row r="259" customFormat="false" ht="15" hidden="false" customHeight="false" outlineLevel="0" collapsed="false">
      <c r="M259" s="0" t="str">
        <f aca="false">IF(A259="","",SUMIFS(H$2:H259,J$2:J259,"Approved"))</f>
        <v/>
      </c>
      <c r="P259" s="13" t="str">
        <f aca="false">IF(A259="","",MAX(B259+0,K259+0,L259+0))</f>
        <v/>
      </c>
      <c r="Q259" s="0" t="str">
        <f aca="true">IF(A259="","",IF(OR(J259="Approved",J259="Rejected",J259="Void"),"",TODAY()-P259))</f>
        <v/>
      </c>
    </row>
    <row r="260" customFormat="false" ht="15" hidden="false" customHeight="false" outlineLevel="0" collapsed="false">
      <c r="M260" s="0" t="str">
        <f aca="false">IF(A260="","",SUMIFS(H$2:H260,J$2:J260,"Approved"))</f>
        <v/>
      </c>
      <c r="P260" s="13" t="str">
        <f aca="false">IF(A260="","",MAX(B260+0,K260+0,L260+0))</f>
        <v/>
      </c>
      <c r="Q260" s="0" t="str">
        <f aca="true">IF(A260="","",IF(OR(J260="Approved",J260="Rejected",J260="Void"),"",TODAY()-P260))</f>
        <v/>
      </c>
    </row>
    <row r="261" customFormat="false" ht="15" hidden="false" customHeight="false" outlineLevel="0" collapsed="false">
      <c r="M261" s="0" t="str">
        <f aca="false">IF(A261="","",SUMIFS(H$2:H261,J$2:J261,"Approved"))</f>
        <v/>
      </c>
      <c r="P261" s="13" t="str">
        <f aca="false">IF(A261="","",MAX(B261+0,K261+0,L261+0))</f>
        <v/>
      </c>
      <c r="Q261" s="0" t="str">
        <f aca="true">IF(A261="","",IF(OR(J261="Approved",J261="Rejected",J261="Void"),"",TODAY()-P261))</f>
        <v/>
      </c>
    </row>
    <row r="262" customFormat="false" ht="15" hidden="false" customHeight="false" outlineLevel="0" collapsed="false">
      <c r="M262" s="0" t="str">
        <f aca="false">IF(A262="","",SUMIFS(H$2:H262,J$2:J262,"Approved"))</f>
        <v/>
      </c>
      <c r="P262" s="13" t="str">
        <f aca="false">IF(A262="","",MAX(B262+0,K262+0,L262+0))</f>
        <v/>
      </c>
      <c r="Q262" s="0" t="str">
        <f aca="true">IF(A262="","",IF(OR(J262="Approved",J262="Rejected",J262="Void"),"",TODAY()-P262))</f>
        <v/>
      </c>
    </row>
    <row r="263" customFormat="false" ht="15" hidden="false" customHeight="false" outlineLevel="0" collapsed="false">
      <c r="M263" s="0" t="str">
        <f aca="false">IF(A263="","",SUMIFS(H$2:H263,J$2:J263,"Approved"))</f>
        <v/>
      </c>
      <c r="P263" s="13" t="str">
        <f aca="false">IF(A263="","",MAX(B263+0,K263+0,L263+0))</f>
        <v/>
      </c>
      <c r="Q263" s="0" t="str">
        <f aca="true">IF(A263="","",IF(OR(J263="Approved",J263="Rejected",J263="Void"),"",TODAY()-P263))</f>
        <v/>
      </c>
    </row>
    <row r="264" customFormat="false" ht="15" hidden="false" customHeight="false" outlineLevel="0" collapsed="false">
      <c r="M264" s="0" t="str">
        <f aca="false">IF(A264="","",SUMIFS(H$2:H264,J$2:J264,"Approved"))</f>
        <v/>
      </c>
      <c r="P264" s="13" t="str">
        <f aca="false">IF(A264="","",MAX(B264+0,K264+0,L264+0))</f>
        <v/>
      </c>
      <c r="Q264" s="0" t="str">
        <f aca="true">IF(A264="","",IF(OR(J264="Approved",J264="Rejected",J264="Void"),"",TODAY()-P264))</f>
        <v/>
      </c>
    </row>
    <row r="265" customFormat="false" ht="15" hidden="false" customHeight="false" outlineLevel="0" collapsed="false">
      <c r="M265" s="0" t="str">
        <f aca="false">IF(A265="","",SUMIFS(H$2:H265,J$2:J265,"Approved"))</f>
        <v/>
      </c>
      <c r="P265" s="13" t="str">
        <f aca="false">IF(A265="","",MAX(B265+0,K265+0,L265+0))</f>
        <v/>
      </c>
      <c r="Q265" s="0" t="str">
        <f aca="true">IF(A265="","",IF(OR(J265="Approved",J265="Rejected",J265="Void"),"",TODAY()-P265))</f>
        <v/>
      </c>
    </row>
    <row r="266" customFormat="false" ht="15" hidden="false" customHeight="false" outlineLevel="0" collapsed="false">
      <c r="M266" s="0" t="str">
        <f aca="false">IF(A266="","",SUMIFS(H$2:H266,J$2:J266,"Approved"))</f>
        <v/>
      </c>
      <c r="P266" s="13" t="str">
        <f aca="false">IF(A266="","",MAX(B266+0,K266+0,L266+0))</f>
        <v/>
      </c>
      <c r="Q266" s="0" t="str">
        <f aca="true">IF(A266="","",IF(OR(J266="Approved",J266="Rejected",J266="Void"),"",TODAY()-P266))</f>
        <v/>
      </c>
    </row>
    <row r="267" customFormat="false" ht="15" hidden="false" customHeight="false" outlineLevel="0" collapsed="false">
      <c r="M267" s="0" t="str">
        <f aca="false">IF(A267="","",SUMIFS(H$2:H267,J$2:J267,"Approved"))</f>
        <v/>
      </c>
      <c r="P267" s="13" t="str">
        <f aca="false">IF(A267="","",MAX(B267+0,K267+0,L267+0))</f>
        <v/>
      </c>
      <c r="Q267" s="0" t="str">
        <f aca="true">IF(A267="","",IF(OR(J267="Approved",J267="Rejected",J267="Void"),"",TODAY()-P267))</f>
        <v/>
      </c>
    </row>
    <row r="268" customFormat="false" ht="15" hidden="false" customHeight="false" outlineLevel="0" collapsed="false">
      <c r="M268" s="0" t="str">
        <f aca="false">IF(A268="","",SUMIFS(H$2:H268,J$2:J268,"Approved"))</f>
        <v/>
      </c>
      <c r="P268" s="13" t="str">
        <f aca="false">IF(A268="","",MAX(B268+0,K268+0,L268+0))</f>
        <v/>
      </c>
      <c r="Q268" s="0" t="str">
        <f aca="true">IF(A268="","",IF(OR(J268="Approved",J268="Rejected",J268="Void"),"",TODAY()-P268))</f>
        <v/>
      </c>
    </row>
    <row r="269" customFormat="false" ht="15" hidden="false" customHeight="false" outlineLevel="0" collapsed="false">
      <c r="M269" s="0" t="str">
        <f aca="false">IF(A269="","",SUMIFS(H$2:H269,J$2:J269,"Approved"))</f>
        <v/>
      </c>
      <c r="P269" s="13" t="str">
        <f aca="false">IF(A269="","",MAX(B269+0,K269+0,L269+0))</f>
        <v/>
      </c>
      <c r="Q269" s="0" t="str">
        <f aca="true">IF(A269="","",IF(OR(J269="Approved",J269="Rejected",J269="Void"),"",TODAY()-P269))</f>
        <v/>
      </c>
    </row>
    <row r="270" customFormat="false" ht="15" hidden="false" customHeight="false" outlineLevel="0" collapsed="false">
      <c r="M270" s="0" t="str">
        <f aca="false">IF(A270="","",SUMIFS(H$2:H270,J$2:J270,"Approved"))</f>
        <v/>
      </c>
      <c r="P270" s="13" t="str">
        <f aca="false">IF(A270="","",MAX(B270+0,K270+0,L270+0))</f>
        <v/>
      </c>
      <c r="Q270" s="0" t="str">
        <f aca="true">IF(A270="","",IF(OR(J270="Approved",J270="Rejected",J270="Void"),"",TODAY()-P270))</f>
        <v/>
      </c>
    </row>
    <row r="271" customFormat="false" ht="15" hidden="false" customHeight="false" outlineLevel="0" collapsed="false">
      <c r="M271" s="0" t="str">
        <f aca="false">IF(A271="","",SUMIFS(H$2:H271,J$2:J271,"Approved"))</f>
        <v/>
      </c>
      <c r="P271" s="13" t="str">
        <f aca="false">IF(A271="","",MAX(B271+0,K271+0,L271+0))</f>
        <v/>
      </c>
      <c r="Q271" s="0" t="str">
        <f aca="true">IF(A271="","",IF(OR(J271="Approved",J271="Rejected",J271="Void"),"",TODAY()-P271))</f>
        <v/>
      </c>
    </row>
    <row r="272" customFormat="false" ht="15" hidden="false" customHeight="false" outlineLevel="0" collapsed="false">
      <c r="M272" s="0" t="str">
        <f aca="false">IF(A272="","",SUMIFS(H$2:H272,J$2:J272,"Approved"))</f>
        <v/>
      </c>
      <c r="P272" s="13" t="str">
        <f aca="false">IF(A272="","",MAX(B272+0,K272+0,L272+0))</f>
        <v/>
      </c>
      <c r="Q272" s="0" t="str">
        <f aca="true">IF(A272="","",IF(OR(J272="Approved",J272="Rejected",J272="Void"),"",TODAY()-P272))</f>
        <v/>
      </c>
    </row>
    <row r="273" customFormat="false" ht="15" hidden="false" customHeight="false" outlineLevel="0" collapsed="false">
      <c r="M273" s="0" t="str">
        <f aca="false">IF(A273="","",SUMIFS(H$2:H273,J$2:J273,"Approved"))</f>
        <v/>
      </c>
      <c r="P273" s="13" t="str">
        <f aca="false">IF(A273="","",MAX(B273+0,K273+0,L273+0))</f>
        <v/>
      </c>
      <c r="Q273" s="0" t="str">
        <f aca="true">IF(A273="","",IF(OR(J273="Approved",J273="Rejected",J273="Void"),"",TODAY()-P273))</f>
        <v/>
      </c>
    </row>
    <row r="274" customFormat="false" ht="15" hidden="false" customHeight="false" outlineLevel="0" collapsed="false">
      <c r="M274" s="0" t="str">
        <f aca="false">IF(A274="","",SUMIFS(H$2:H274,J$2:J274,"Approved"))</f>
        <v/>
      </c>
      <c r="P274" s="13" t="str">
        <f aca="false">IF(A274="","",MAX(B274+0,K274+0,L274+0))</f>
        <v/>
      </c>
      <c r="Q274" s="0" t="str">
        <f aca="true">IF(A274="","",IF(OR(J274="Approved",J274="Rejected",J274="Void"),"",TODAY()-P274))</f>
        <v/>
      </c>
    </row>
    <row r="275" customFormat="false" ht="15" hidden="false" customHeight="false" outlineLevel="0" collapsed="false">
      <c r="M275" s="0" t="str">
        <f aca="false">IF(A275="","",SUMIFS(H$2:H275,J$2:J275,"Approved"))</f>
        <v/>
      </c>
      <c r="P275" s="13" t="str">
        <f aca="false">IF(A275="","",MAX(B275+0,K275+0,L275+0))</f>
        <v/>
      </c>
      <c r="Q275" s="0" t="str">
        <f aca="true">IF(A275="","",IF(OR(J275="Approved",J275="Rejected",J275="Void"),"",TODAY()-P275))</f>
        <v/>
      </c>
    </row>
    <row r="276" customFormat="false" ht="15" hidden="false" customHeight="false" outlineLevel="0" collapsed="false">
      <c r="M276" s="0" t="str">
        <f aca="false">IF(A276="","",SUMIFS(H$2:H276,J$2:J276,"Approved"))</f>
        <v/>
      </c>
      <c r="P276" s="13" t="str">
        <f aca="false">IF(A276="","",MAX(B276+0,K276+0,L276+0))</f>
        <v/>
      </c>
      <c r="Q276" s="0" t="str">
        <f aca="true">IF(A276="","",IF(OR(J276="Approved",J276="Rejected",J276="Void"),"",TODAY()-P276))</f>
        <v/>
      </c>
    </row>
    <row r="277" customFormat="false" ht="15" hidden="false" customHeight="false" outlineLevel="0" collapsed="false">
      <c r="M277" s="0" t="str">
        <f aca="false">IF(A277="","",SUMIFS(H$2:H277,J$2:J277,"Approved"))</f>
        <v/>
      </c>
      <c r="P277" s="13" t="str">
        <f aca="false">IF(A277="","",MAX(B277+0,K277+0,L277+0))</f>
        <v/>
      </c>
      <c r="Q277" s="0" t="str">
        <f aca="true">IF(A277="","",IF(OR(J277="Approved",J277="Rejected",J277="Void"),"",TODAY()-P277))</f>
        <v/>
      </c>
    </row>
    <row r="278" customFormat="false" ht="15" hidden="false" customHeight="false" outlineLevel="0" collapsed="false">
      <c r="M278" s="0" t="str">
        <f aca="false">IF(A278="","",SUMIFS(H$2:H278,J$2:J278,"Approved"))</f>
        <v/>
      </c>
      <c r="P278" s="13" t="str">
        <f aca="false">IF(A278="","",MAX(B278+0,K278+0,L278+0))</f>
        <v/>
      </c>
      <c r="Q278" s="0" t="str">
        <f aca="true">IF(A278="","",IF(OR(J278="Approved",J278="Rejected",J278="Void"),"",TODAY()-P278))</f>
        <v/>
      </c>
    </row>
    <row r="279" customFormat="false" ht="15" hidden="false" customHeight="false" outlineLevel="0" collapsed="false">
      <c r="M279" s="0" t="str">
        <f aca="false">IF(A279="","",SUMIFS(H$2:H279,J$2:J279,"Approved"))</f>
        <v/>
      </c>
      <c r="P279" s="13" t="str">
        <f aca="false">IF(A279="","",MAX(B279+0,K279+0,L279+0))</f>
        <v/>
      </c>
      <c r="Q279" s="0" t="str">
        <f aca="true">IF(A279="","",IF(OR(J279="Approved",J279="Rejected",J279="Void"),"",TODAY()-P279))</f>
        <v/>
      </c>
    </row>
    <row r="280" customFormat="false" ht="15" hidden="false" customHeight="false" outlineLevel="0" collapsed="false">
      <c r="M280" s="0" t="str">
        <f aca="false">IF(A280="","",SUMIFS(H$2:H280,J$2:J280,"Approved"))</f>
        <v/>
      </c>
      <c r="P280" s="13" t="str">
        <f aca="false">IF(A280="","",MAX(B280+0,K280+0,L280+0))</f>
        <v/>
      </c>
      <c r="Q280" s="0" t="str">
        <f aca="true">IF(A280="","",IF(OR(J280="Approved",J280="Rejected",J280="Void"),"",TODAY()-P280))</f>
        <v/>
      </c>
    </row>
    <row r="281" customFormat="false" ht="15" hidden="false" customHeight="false" outlineLevel="0" collapsed="false">
      <c r="M281" s="0" t="str">
        <f aca="false">IF(A281="","",SUMIFS(H$2:H281,J$2:J281,"Approved"))</f>
        <v/>
      </c>
      <c r="P281" s="13" t="str">
        <f aca="false">IF(A281="","",MAX(B281+0,K281+0,L281+0))</f>
        <v/>
      </c>
      <c r="Q281" s="0" t="str">
        <f aca="true">IF(A281="","",IF(OR(J281="Approved",J281="Rejected",J281="Void"),"",TODAY()-P281))</f>
        <v/>
      </c>
    </row>
    <row r="282" customFormat="false" ht="15" hidden="false" customHeight="false" outlineLevel="0" collapsed="false">
      <c r="M282" s="0" t="str">
        <f aca="false">IF(A282="","",SUMIFS(H$2:H282,J$2:J282,"Approved"))</f>
        <v/>
      </c>
      <c r="P282" s="13" t="str">
        <f aca="false">IF(A282="","",MAX(B282+0,K282+0,L282+0))</f>
        <v/>
      </c>
      <c r="Q282" s="0" t="str">
        <f aca="true">IF(A282="","",IF(OR(J282="Approved",J282="Rejected",J282="Void"),"",TODAY()-P282))</f>
        <v/>
      </c>
    </row>
    <row r="283" customFormat="false" ht="15" hidden="false" customHeight="false" outlineLevel="0" collapsed="false">
      <c r="M283" s="0" t="str">
        <f aca="false">IF(A283="","",SUMIFS(H$2:H283,J$2:J283,"Approved"))</f>
        <v/>
      </c>
      <c r="P283" s="13" t="str">
        <f aca="false">IF(A283="","",MAX(B283+0,K283+0,L283+0))</f>
        <v/>
      </c>
      <c r="Q283" s="0" t="str">
        <f aca="true">IF(A283="","",IF(OR(J283="Approved",J283="Rejected",J283="Void"),"",TODAY()-P283))</f>
        <v/>
      </c>
    </row>
    <row r="284" customFormat="false" ht="15" hidden="false" customHeight="false" outlineLevel="0" collapsed="false">
      <c r="M284" s="0" t="str">
        <f aca="false">IF(A284="","",SUMIFS(H$2:H284,J$2:J284,"Approved"))</f>
        <v/>
      </c>
      <c r="P284" s="13" t="str">
        <f aca="false">IF(A284="","",MAX(B284+0,K284+0,L284+0))</f>
        <v/>
      </c>
      <c r="Q284" s="0" t="str">
        <f aca="true">IF(A284="","",IF(OR(J284="Approved",J284="Rejected",J284="Void"),"",TODAY()-P284))</f>
        <v/>
      </c>
    </row>
    <row r="285" customFormat="false" ht="15" hidden="false" customHeight="false" outlineLevel="0" collapsed="false">
      <c r="M285" s="0" t="str">
        <f aca="false">IF(A285="","",SUMIFS(H$2:H285,J$2:J285,"Approved"))</f>
        <v/>
      </c>
      <c r="P285" s="13" t="str">
        <f aca="false">IF(A285="","",MAX(B285+0,K285+0,L285+0))</f>
        <v/>
      </c>
      <c r="Q285" s="0" t="str">
        <f aca="true">IF(A285="","",IF(OR(J285="Approved",J285="Rejected",J285="Void"),"",TODAY()-P285))</f>
        <v/>
      </c>
    </row>
    <row r="286" customFormat="false" ht="15" hidden="false" customHeight="false" outlineLevel="0" collapsed="false">
      <c r="M286" s="0" t="str">
        <f aca="false">IF(A286="","",SUMIFS(H$2:H286,J$2:J286,"Approved"))</f>
        <v/>
      </c>
      <c r="P286" s="13" t="str">
        <f aca="false">IF(A286="","",MAX(B286+0,K286+0,L286+0))</f>
        <v/>
      </c>
      <c r="Q286" s="0" t="str">
        <f aca="true">IF(A286="","",IF(OR(J286="Approved",J286="Rejected",J286="Void"),"",TODAY()-P286))</f>
        <v/>
      </c>
    </row>
    <row r="287" customFormat="false" ht="15" hidden="false" customHeight="false" outlineLevel="0" collapsed="false">
      <c r="M287" s="0" t="str">
        <f aca="false">IF(A287="","",SUMIFS(H$2:H287,J$2:J287,"Approved"))</f>
        <v/>
      </c>
      <c r="P287" s="13" t="str">
        <f aca="false">IF(A287="","",MAX(B287+0,K287+0,L287+0))</f>
        <v/>
      </c>
      <c r="Q287" s="0" t="str">
        <f aca="true">IF(A287="","",IF(OR(J287="Approved",J287="Rejected",J287="Void"),"",TODAY()-P287))</f>
        <v/>
      </c>
    </row>
    <row r="288" customFormat="false" ht="15" hidden="false" customHeight="false" outlineLevel="0" collapsed="false">
      <c r="M288" s="0" t="str">
        <f aca="false">IF(A288="","",SUMIFS(H$2:H288,J$2:J288,"Approved"))</f>
        <v/>
      </c>
      <c r="P288" s="13" t="str">
        <f aca="false">IF(A288="","",MAX(B288+0,K288+0,L288+0))</f>
        <v/>
      </c>
      <c r="Q288" s="0" t="str">
        <f aca="true">IF(A288="","",IF(OR(J288="Approved",J288="Rejected",J288="Void"),"",TODAY()-P288))</f>
        <v/>
      </c>
    </row>
    <row r="289" customFormat="false" ht="15" hidden="false" customHeight="false" outlineLevel="0" collapsed="false">
      <c r="M289" s="0" t="str">
        <f aca="false">IF(A289="","",SUMIFS(H$2:H289,J$2:J289,"Approved"))</f>
        <v/>
      </c>
      <c r="P289" s="13" t="str">
        <f aca="false">IF(A289="","",MAX(B289+0,K289+0,L289+0))</f>
        <v/>
      </c>
      <c r="Q289" s="0" t="str">
        <f aca="true">IF(A289="","",IF(OR(J289="Approved",J289="Rejected",J289="Void"),"",TODAY()-P289))</f>
        <v/>
      </c>
    </row>
    <row r="290" customFormat="false" ht="15" hidden="false" customHeight="false" outlineLevel="0" collapsed="false">
      <c r="M290" s="0" t="str">
        <f aca="false">IF(A290="","",SUMIFS(H$2:H290,J$2:J290,"Approved"))</f>
        <v/>
      </c>
      <c r="P290" s="13" t="str">
        <f aca="false">IF(A290="","",MAX(B290+0,K290+0,L290+0))</f>
        <v/>
      </c>
      <c r="Q290" s="0" t="str">
        <f aca="true">IF(A290="","",IF(OR(J290="Approved",J290="Rejected",J290="Void"),"",TODAY()-P290))</f>
        <v/>
      </c>
    </row>
    <row r="291" customFormat="false" ht="15" hidden="false" customHeight="false" outlineLevel="0" collapsed="false">
      <c r="M291" s="0" t="str">
        <f aca="false">IF(A291="","",SUMIFS(H$2:H291,J$2:J291,"Approved"))</f>
        <v/>
      </c>
      <c r="P291" s="13" t="str">
        <f aca="false">IF(A291="","",MAX(B291+0,K291+0,L291+0))</f>
        <v/>
      </c>
      <c r="Q291" s="0" t="str">
        <f aca="true">IF(A291="","",IF(OR(J291="Approved",J291="Rejected",J291="Void"),"",TODAY()-P291))</f>
        <v/>
      </c>
    </row>
    <row r="292" customFormat="false" ht="15" hidden="false" customHeight="false" outlineLevel="0" collapsed="false">
      <c r="M292" s="0" t="str">
        <f aca="false">IF(A292="","",SUMIFS(H$2:H292,J$2:J292,"Approved"))</f>
        <v/>
      </c>
      <c r="P292" s="13" t="str">
        <f aca="false">IF(A292="","",MAX(B292+0,K292+0,L292+0))</f>
        <v/>
      </c>
      <c r="Q292" s="0" t="str">
        <f aca="true">IF(A292="","",IF(OR(J292="Approved",J292="Rejected",J292="Void"),"",TODAY()-P292))</f>
        <v/>
      </c>
    </row>
    <row r="293" customFormat="false" ht="15" hidden="false" customHeight="false" outlineLevel="0" collapsed="false">
      <c r="M293" s="0" t="str">
        <f aca="false">IF(A293="","",SUMIFS(H$2:H293,J$2:J293,"Approved"))</f>
        <v/>
      </c>
      <c r="P293" s="13" t="str">
        <f aca="false">IF(A293="","",MAX(B293+0,K293+0,L293+0))</f>
        <v/>
      </c>
      <c r="Q293" s="0" t="str">
        <f aca="true">IF(A293="","",IF(OR(J293="Approved",J293="Rejected",J293="Void"),"",TODAY()-P293))</f>
        <v/>
      </c>
    </row>
    <row r="294" customFormat="false" ht="15" hidden="false" customHeight="false" outlineLevel="0" collapsed="false">
      <c r="M294" s="0" t="str">
        <f aca="false">IF(A294="","",SUMIFS(H$2:H294,J$2:J294,"Approved"))</f>
        <v/>
      </c>
      <c r="P294" s="13" t="str">
        <f aca="false">IF(A294="","",MAX(B294+0,K294+0,L294+0))</f>
        <v/>
      </c>
      <c r="Q294" s="0" t="str">
        <f aca="true">IF(A294="","",IF(OR(J294="Approved",J294="Rejected",J294="Void"),"",TODAY()-P294))</f>
        <v/>
      </c>
    </row>
    <row r="295" customFormat="false" ht="15" hidden="false" customHeight="false" outlineLevel="0" collapsed="false">
      <c r="M295" s="0" t="str">
        <f aca="false">IF(A295="","",SUMIFS(H$2:H295,J$2:J295,"Approved"))</f>
        <v/>
      </c>
      <c r="P295" s="13" t="str">
        <f aca="false">IF(A295="","",MAX(B295+0,K295+0,L295+0))</f>
        <v/>
      </c>
      <c r="Q295" s="0" t="str">
        <f aca="true">IF(A295="","",IF(OR(J295="Approved",J295="Rejected",J295="Void"),"",TODAY()-P295))</f>
        <v/>
      </c>
    </row>
    <row r="296" customFormat="false" ht="15" hidden="false" customHeight="false" outlineLevel="0" collapsed="false">
      <c r="M296" s="0" t="str">
        <f aca="false">IF(A296="","",SUMIFS(H$2:H296,J$2:J296,"Approved"))</f>
        <v/>
      </c>
      <c r="P296" s="13" t="str">
        <f aca="false">IF(A296="","",MAX(B296+0,K296+0,L296+0))</f>
        <v/>
      </c>
      <c r="Q296" s="0" t="str">
        <f aca="true">IF(A296="","",IF(OR(J296="Approved",J296="Rejected",J296="Void"),"",TODAY()-P296))</f>
        <v/>
      </c>
    </row>
    <row r="297" customFormat="false" ht="15" hidden="false" customHeight="false" outlineLevel="0" collapsed="false">
      <c r="M297" s="0" t="str">
        <f aca="false">IF(A297="","",SUMIFS(H$2:H297,J$2:J297,"Approved"))</f>
        <v/>
      </c>
      <c r="P297" s="13" t="str">
        <f aca="false">IF(A297="","",MAX(B297+0,K297+0,L297+0))</f>
        <v/>
      </c>
      <c r="Q297" s="0" t="str">
        <f aca="true">IF(A297="","",IF(OR(J297="Approved",J297="Rejected",J297="Void"),"",TODAY()-P297))</f>
        <v/>
      </c>
    </row>
    <row r="298" customFormat="false" ht="15" hidden="false" customHeight="false" outlineLevel="0" collapsed="false">
      <c r="M298" s="0" t="str">
        <f aca="false">IF(A298="","",SUMIFS(H$2:H298,J$2:J298,"Approved"))</f>
        <v/>
      </c>
      <c r="P298" s="13" t="str">
        <f aca="false">IF(A298="","",MAX(B298+0,K298+0,L298+0))</f>
        <v/>
      </c>
      <c r="Q298" s="0" t="str">
        <f aca="true">IF(A298="","",IF(OR(J298="Approved",J298="Rejected",J298="Void"),"",TODAY()-P298))</f>
        <v/>
      </c>
    </row>
    <row r="299" customFormat="false" ht="15" hidden="false" customHeight="false" outlineLevel="0" collapsed="false">
      <c r="M299" s="0" t="str">
        <f aca="false">IF(A299="","",SUMIFS(H$2:H299,J$2:J299,"Approved"))</f>
        <v/>
      </c>
      <c r="P299" s="13" t="str">
        <f aca="false">IF(A299="","",MAX(B299+0,K299+0,L299+0))</f>
        <v/>
      </c>
      <c r="Q299" s="0" t="str">
        <f aca="true">IF(A299="","",IF(OR(J299="Approved",J299="Rejected",J299="Void"),"",TODAY()-P299))</f>
        <v/>
      </c>
    </row>
    <row r="302" customFormat="false" ht="15" hidden="false" customHeight="false" outlineLevel="0" collapsed="false">
      <c r="A302" s="3" t="s">
        <v>274</v>
      </c>
    </row>
  </sheetData>
  <conditionalFormatting sqref="J2:J300">
    <cfRule type="cellIs" priority="2" operator="equal" aboveAverage="0" equalAverage="0" bottom="0" percent="0" rank="0" text="" dxfId="1">
      <formula>"Rejected"</formula>
    </cfRule>
  </conditionalFormatting>
  <conditionalFormatting sqref="Q2:Q300">
    <cfRule type="cellIs" priority="3" operator="greaterThanOrEqual" aboveAverage="0" equalAverage="0" bottom="0" percent="0" rank="0" text="" dxfId="0">
      <formula>14</formula>
    </cfRule>
  </conditionalFormatting>
  <dataValidations count="3">
    <dataValidation allowBlank="true" errorStyle="stop" operator="between" showDropDown="false" showErrorMessage="false" showInputMessage="false" sqref="D2:D500" type="list">
      <formula1>"Owner Request,Field Condition,RFI,Claim,Design Change"</formula1>
      <formula2>0</formula2>
    </dataValidation>
    <dataValidation allowBlank="true" errorStyle="stop" operator="between" showDropDown="false" showErrorMessage="false" showInputMessage="false" sqref="J2:J500" type="list">
      <formula1>"Draft,Pending,Approved,Rejected,Void"</formula1>
      <formula2>0</formula2>
    </dataValidation>
    <dataValidation allowBlank="true" errorStyle="stop" operator="between" showDropDown="false" showErrorMessage="false" showInputMessage="false" sqref="O2:O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S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8" min="6" style="0" width="14"/>
    <col collapsed="false" customWidth="true" hidden="false" outlineLevel="0" max="9" min="9" style="0" width="12"/>
    <col collapsed="false" customWidth="true" hidden="false" outlineLevel="0" max="10" min="10" style="0" width="28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4" min="13" style="0" width="14"/>
    <col collapsed="false" customWidth="true" hidden="false" outlineLevel="0" max="15" min="15" style="0" width="18"/>
    <col collapsed="false" customWidth="true" hidden="false" outlineLevel="0" max="16" min="16" style="0" width="24"/>
    <col collapsed="false" customWidth="true" hidden="false" outlineLevel="0" max="19" min="17" style="0" width="14"/>
  </cols>
  <sheetData>
    <row r="1" customFormat="false" ht="31.5" hidden="false" customHeight="true" outlineLevel="0" collapsed="false">
      <c r="A1" s="19" t="s">
        <v>275</v>
      </c>
      <c r="B1" s="19" t="s">
        <v>199</v>
      </c>
      <c r="C1" s="19" t="s">
        <v>276</v>
      </c>
      <c r="D1" s="19" t="s">
        <v>277</v>
      </c>
      <c r="E1" s="19" t="s">
        <v>234</v>
      </c>
      <c r="F1" s="19" t="s">
        <v>278</v>
      </c>
      <c r="G1" s="19" t="s">
        <v>279</v>
      </c>
      <c r="H1" s="19" t="s">
        <v>280</v>
      </c>
      <c r="I1" s="19" t="s">
        <v>281</v>
      </c>
      <c r="J1" s="19" t="s">
        <v>282</v>
      </c>
      <c r="K1" s="19" t="s">
        <v>208</v>
      </c>
      <c r="L1" s="19" t="s">
        <v>283</v>
      </c>
      <c r="M1" s="19" t="s">
        <v>284</v>
      </c>
      <c r="N1" s="19" t="s">
        <v>285</v>
      </c>
      <c r="O1" s="19" t="s">
        <v>286</v>
      </c>
      <c r="P1" s="19" t="s">
        <v>214</v>
      </c>
      <c r="Q1" s="19" t="s">
        <v>215</v>
      </c>
      <c r="R1" s="19" t="s">
        <v>218</v>
      </c>
      <c r="S1" s="19" t="s">
        <v>219</v>
      </c>
    </row>
    <row r="2" customFormat="false" ht="15" hidden="false" customHeight="false" outlineLevel="0" collapsed="false">
      <c r="A2" s="20" t="s">
        <v>287</v>
      </c>
      <c r="B2" s="20" t="s">
        <v>288</v>
      </c>
      <c r="C2" s="20" t="s">
        <v>247</v>
      </c>
      <c r="D2" s="20" t="s">
        <v>289</v>
      </c>
      <c r="E2" s="20" t="s">
        <v>290</v>
      </c>
      <c r="F2" s="20" t="s">
        <v>291</v>
      </c>
      <c r="G2" s="20" t="s">
        <v>292</v>
      </c>
      <c r="H2" s="20"/>
      <c r="I2" s="20" t="s">
        <v>220</v>
      </c>
      <c r="J2" s="20" t="s">
        <v>293</v>
      </c>
      <c r="K2" s="20" t="s">
        <v>294</v>
      </c>
      <c r="L2" s="20"/>
      <c r="M2" s="20"/>
      <c r="N2" s="20"/>
      <c r="O2" s="22" t="n">
        <f aca="false">IF(C2="","",SUMIFS($N$2:N2,$C$2:C2,C2,$K$2:K2,"Approved"))</f>
        <v>0</v>
      </c>
      <c r="P2" s="20" t="s">
        <v>295</v>
      </c>
      <c r="Q2" s="20" t="s">
        <v>252</v>
      </c>
      <c r="R2" s="23" t="n">
        <f aca="false">IF(C2="","",MAX(B2+0,L2+0))</f>
        <v>46277</v>
      </c>
      <c r="S2" s="22" t="n">
        <f aca="true">IF(C2="","",IF(OR(K2="Approved",K2="Rejected",K2="Void"),"",TODAY()-R2))</f>
        <v>16</v>
      </c>
    </row>
    <row r="3" customFormat="false" ht="15" hidden="false" customHeight="false" outlineLevel="0" collapsed="false">
      <c r="O3" s="0" t="str">
        <f aca="false">IF(C3="","",SUMIFS($N$2:N3,$C$2:C3,C3,$K$2:K3,"Approved"))</f>
        <v/>
      </c>
      <c r="R3" s="13" t="str">
        <f aca="false">IF(C3="","",MAX(B3+0,L3+0))</f>
        <v/>
      </c>
      <c r="S3" s="0" t="str">
        <f aca="true">IF(C3="","",IF(OR(K3="Approved",K3="Rejected",K3="Void"),"",TODAY()-R3))</f>
        <v/>
      </c>
    </row>
    <row r="4" customFormat="false" ht="15" hidden="false" customHeight="false" outlineLevel="0" collapsed="false">
      <c r="O4" s="0" t="str">
        <f aca="false">IF(C4="","",SUMIFS($N$2:N4,$C$2:C4,C4,$K$2:K4,"Approved"))</f>
        <v/>
      </c>
      <c r="R4" s="13" t="str">
        <f aca="false">IF(C4="","",MAX(B4+0,L4+0))</f>
        <v/>
      </c>
      <c r="S4" s="0" t="str">
        <f aca="true">IF(C4="","",IF(OR(K4="Approved",K4="Rejected",K4="Void"),"",TODAY()-R4))</f>
        <v/>
      </c>
    </row>
    <row r="5" customFormat="false" ht="15" hidden="false" customHeight="false" outlineLevel="0" collapsed="false">
      <c r="O5" s="0" t="str">
        <f aca="false">IF(C5="","",SUMIFS($N$2:N5,$C$2:C5,C5,$K$2:K5,"Approved"))</f>
        <v/>
      </c>
      <c r="R5" s="13" t="str">
        <f aca="false">IF(C5="","",MAX(B5+0,L5+0))</f>
        <v/>
      </c>
      <c r="S5" s="0" t="str">
        <f aca="true">IF(C5="","",IF(OR(K5="Approved",K5="Rejected",K5="Void"),"",TODAY()-R5))</f>
        <v/>
      </c>
    </row>
    <row r="6" customFormat="false" ht="15" hidden="false" customHeight="false" outlineLevel="0" collapsed="false">
      <c r="O6" s="0" t="str">
        <f aca="false">IF(C6="","",SUMIFS($N$2:N6,$C$2:C6,C6,$K$2:K6,"Approved"))</f>
        <v/>
      </c>
      <c r="R6" s="13" t="str">
        <f aca="false">IF(C6="","",MAX(B6+0,L6+0))</f>
        <v/>
      </c>
      <c r="S6" s="0" t="str">
        <f aca="true">IF(C6="","",IF(OR(K6="Approved",K6="Rejected",K6="Void"),"",TODAY()-R6))</f>
        <v/>
      </c>
    </row>
    <row r="7" customFormat="false" ht="15" hidden="false" customHeight="false" outlineLevel="0" collapsed="false">
      <c r="O7" s="0" t="str">
        <f aca="false">IF(C7="","",SUMIFS($N$2:N7,$C$2:C7,C7,$K$2:K7,"Approved"))</f>
        <v/>
      </c>
      <c r="R7" s="13" t="str">
        <f aca="false">IF(C7="","",MAX(B7+0,L7+0))</f>
        <v/>
      </c>
      <c r="S7" s="0" t="str">
        <f aca="true">IF(C7="","",IF(OR(K7="Approved",K7="Rejected",K7="Void"),"",TODAY()-R7))</f>
        <v/>
      </c>
    </row>
    <row r="8" customFormat="false" ht="15" hidden="false" customHeight="false" outlineLevel="0" collapsed="false">
      <c r="O8" s="0" t="str">
        <f aca="false">IF(C8="","",SUMIFS($N$2:N8,$C$2:C8,C8,$K$2:K8,"Approved"))</f>
        <v/>
      </c>
      <c r="R8" s="13" t="str">
        <f aca="false">IF(C8="","",MAX(B8+0,L8+0))</f>
        <v/>
      </c>
      <c r="S8" s="0" t="str">
        <f aca="true">IF(C8="","",IF(OR(K8="Approved",K8="Rejected",K8="Void"),"",TODAY()-R8))</f>
        <v/>
      </c>
    </row>
    <row r="9" customFormat="false" ht="15" hidden="false" customHeight="false" outlineLevel="0" collapsed="false">
      <c r="O9" s="0" t="str">
        <f aca="false">IF(C9="","",SUMIFS($N$2:N9,$C$2:C9,C9,$K$2:K9,"Approved"))</f>
        <v/>
      </c>
      <c r="R9" s="13" t="str">
        <f aca="false">IF(C9="","",MAX(B9+0,L9+0))</f>
        <v/>
      </c>
      <c r="S9" s="0" t="str">
        <f aca="true">IF(C9="","",IF(OR(K9="Approved",K9="Rejected",K9="Void"),"",TODAY()-R9))</f>
        <v/>
      </c>
    </row>
    <row r="10" customFormat="false" ht="15" hidden="false" customHeight="false" outlineLevel="0" collapsed="false">
      <c r="O10" s="0" t="str">
        <f aca="false">IF(C10="","",SUMIFS($N$2:N10,$C$2:C10,C10,$K$2:K10,"Approved"))</f>
        <v/>
      </c>
      <c r="R10" s="13" t="str">
        <f aca="false">IF(C10="","",MAX(B10+0,L10+0))</f>
        <v/>
      </c>
      <c r="S10" s="0" t="str">
        <f aca="true">IF(C10="","",IF(OR(K10="Approved",K10="Rejected",K10="Void"),"",TODAY()-R10))</f>
        <v/>
      </c>
    </row>
    <row r="11" customFormat="false" ht="15" hidden="false" customHeight="false" outlineLevel="0" collapsed="false">
      <c r="O11" s="0" t="str">
        <f aca="false">IF(C11="","",SUMIFS($N$2:N11,$C$2:C11,C11,$K$2:K11,"Approved"))</f>
        <v/>
      </c>
      <c r="R11" s="13" t="str">
        <f aca="false">IF(C11="","",MAX(B11+0,L11+0))</f>
        <v/>
      </c>
      <c r="S11" s="0" t="str">
        <f aca="true">IF(C11="","",IF(OR(K11="Approved",K11="Rejected",K11="Void"),"",TODAY()-R11))</f>
        <v/>
      </c>
    </row>
    <row r="12" customFormat="false" ht="15" hidden="false" customHeight="false" outlineLevel="0" collapsed="false">
      <c r="O12" s="0" t="str">
        <f aca="false">IF(C12="","",SUMIFS($N$2:N12,$C$2:C12,C12,$K$2:K12,"Approved"))</f>
        <v/>
      </c>
      <c r="R12" s="13" t="str">
        <f aca="false">IF(C12="","",MAX(B12+0,L12+0))</f>
        <v/>
      </c>
      <c r="S12" s="0" t="str">
        <f aca="true">IF(C12="","",IF(OR(K12="Approved",K12="Rejected",K12="Void"),"",TODAY()-R12))</f>
        <v/>
      </c>
    </row>
    <row r="13" customFormat="false" ht="15" hidden="false" customHeight="false" outlineLevel="0" collapsed="false">
      <c r="O13" s="0" t="str">
        <f aca="false">IF(C13="","",SUMIFS($N$2:N13,$C$2:C13,C13,$K$2:K13,"Approved"))</f>
        <v/>
      </c>
      <c r="R13" s="13" t="str">
        <f aca="false">IF(C13="","",MAX(B13+0,L13+0))</f>
        <v/>
      </c>
      <c r="S13" s="0" t="str">
        <f aca="true">IF(C13="","",IF(OR(K13="Approved",K13="Rejected",K13="Void"),"",TODAY()-R13))</f>
        <v/>
      </c>
    </row>
    <row r="14" customFormat="false" ht="15" hidden="false" customHeight="false" outlineLevel="0" collapsed="false">
      <c r="O14" s="0" t="str">
        <f aca="false">IF(C14="","",SUMIFS($N$2:N14,$C$2:C14,C14,$K$2:K14,"Approved"))</f>
        <v/>
      </c>
      <c r="R14" s="13" t="str">
        <f aca="false">IF(C14="","",MAX(B14+0,L14+0))</f>
        <v/>
      </c>
      <c r="S14" s="0" t="str">
        <f aca="true">IF(C14="","",IF(OR(K14="Approved",K14="Rejected",K14="Void"),"",TODAY()-R14))</f>
        <v/>
      </c>
    </row>
    <row r="15" customFormat="false" ht="15" hidden="false" customHeight="false" outlineLevel="0" collapsed="false">
      <c r="O15" s="0" t="str">
        <f aca="false">IF(C15="","",SUMIFS($N$2:N15,$C$2:C15,C15,$K$2:K15,"Approved"))</f>
        <v/>
      </c>
      <c r="R15" s="13" t="str">
        <f aca="false">IF(C15="","",MAX(B15+0,L15+0))</f>
        <v/>
      </c>
      <c r="S15" s="0" t="str">
        <f aca="true">IF(C15="","",IF(OR(K15="Approved",K15="Rejected",K15="Void"),"",TODAY()-R15))</f>
        <v/>
      </c>
    </row>
    <row r="16" customFormat="false" ht="15" hidden="false" customHeight="false" outlineLevel="0" collapsed="false">
      <c r="O16" s="0" t="str">
        <f aca="false">IF(C16="","",SUMIFS($N$2:N16,$C$2:C16,C16,$K$2:K16,"Approved"))</f>
        <v/>
      </c>
      <c r="R16" s="13" t="str">
        <f aca="false">IF(C16="","",MAX(B16+0,L16+0))</f>
        <v/>
      </c>
      <c r="S16" s="0" t="str">
        <f aca="true">IF(C16="","",IF(OR(K16="Approved",K16="Rejected",K16="Void"),"",TODAY()-R16))</f>
        <v/>
      </c>
    </row>
    <row r="17" customFormat="false" ht="15" hidden="false" customHeight="false" outlineLevel="0" collapsed="false">
      <c r="O17" s="0" t="str">
        <f aca="false">IF(C17="","",SUMIFS($N$2:N17,$C$2:C17,C17,$K$2:K17,"Approved"))</f>
        <v/>
      </c>
      <c r="R17" s="13" t="str">
        <f aca="false">IF(C17="","",MAX(B17+0,L17+0))</f>
        <v/>
      </c>
      <c r="S17" s="0" t="str">
        <f aca="true">IF(C17="","",IF(OR(K17="Approved",K17="Rejected",K17="Void"),"",TODAY()-R17))</f>
        <v/>
      </c>
    </row>
    <row r="18" customFormat="false" ht="15" hidden="false" customHeight="false" outlineLevel="0" collapsed="false">
      <c r="O18" s="0" t="str">
        <f aca="false">IF(C18="","",SUMIFS($N$2:N18,$C$2:C18,C18,$K$2:K18,"Approved"))</f>
        <v/>
      </c>
      <c r="R18" s="13" t="str">
        <f aca="false">IF(C18="","",MAX(B18+0,L18+0))</f>
        <v/>
      </c>
      <c r="S18" s="0" t="str">
        <f aca="true">IF(C18="","",IF(OR(K18="Approved",K18="Rejected",K18="Void"),"",TODAY()-R18))</f>
        <v/>
      </c>
    </row>
    <row r="19" customFormat="false" ht="15" hidden="false" customHeight="false" outlineLevel="0" collapsed="false">
      <c r="O19" s="0" t="str">
        <f aca="false">IF(C19="","",SUMIFS($N$2:N19,$C$2:C19,C19,$K$2:K19,"Approved"))</f>
        <v/>
      </c>
      <c r="R19" s="13" t="str">
        <f aca="false">IF(C19="","",MAX(B19+0,L19+0))</f>
        <v/>
      </c>
      <c r="S19" s="0" t="str">
        <f aca="true">IF(C19="","",IF(OR(K19="Approved",K19="Rejected",K19="Void"),"",TODAY()-R19))</f>
        <v/>
      </c>
    </row>
    <row r="20" customFormat="false" ht="15" hidden="false" customHeight="false" outlineLevel="0" collapsed="false">
      <c r="O20" s="0" t="str">
        <f aca="false">IF(C20="","",SUMIFS($N$2:N20,$C$2:C20,C20,$K$2:K20,"Approved"))</f>
        <v/>
      </c>
      <c r="R20" s="13" t="str">
        <f aca="false">IF(C20="","",MAX(B20+0,L20+0))</f>
        <v/>
      </c>
      <c r="S20" s="0" t="str">
        <f aca="true">IF(C20="","",IF(OR(K20="Approved",K20="Rejected",K20="Void"),"",TODAY()-R20))</f>
        <v/>
      </c>
    </row>
    <row r="21" customFormat="false" ht="15" hidden="false" customHeight="false" outlineLevel="0" collapsed="false">
      <c r="O21" s="0" t="str">
        <f aca="false">IF(C21="","",SUMIFS($N$2:N21,$C$2:C21,C21,$K$2:K21,"Approved"))</f>
        <v/>
      </c>
      <c r="R21" s="13" t="str">
        <f aca="false">IF(C21="","",MAX(B21+0,L21+0))</f>
        <v/>
      </c>
      <c r="S21" s="0" t="str">
        <f aca="true">IF(C21="","",IF(OR(K21="Approved",K21="Rejected",K21="Void"),"",TODAY()-R21))</f>
        <v/>
      </c>
    </row>
    <row r="22" customFormat="false" ht="15" hidden="false" customHeight="false" outlineLevel="0" collapsed="false">
      <c r="O22" s="0" t="str">
        <f aca="false">IF(C22="","",SUMIFS($N$2:N22,$C$2:C22,C22,$K$2:K22,"Approved"))</f>
        <v/>
      </c>
      <c r="R22" s="13" t="str">
        <f aca="false">IF(C22="","",MAX(B22+0,L22+0))</f>
        <v/>
      </c>
      <c r="S22" s="0" t="str">
        <f aca="true">IF(C22="","",IF(OR(K22="Approved",K22="Rejected",K22="Void"),"",TODAY()-R22))</f>
        <v/>
      </c>
    </row>
    <row r="23" customFormat="false" ht="15" hidden="false" customHeight="false" outlineLevel="0" collapsed="false">
      <c r="O23" s="0" t="str">
        <f aca="false">IF(C23="","",SUMIFS($N$2:N23,$C$2:C23,C23,$K$2:K23,"Approved"))</f>
        <v/>
      </c>
      <c r="R23" s="13" t="str">
        <f aca="false">IF(C23="","",MAX(B23+0,L23+0))</f>
        <v/>
      </c>
      <c r="S23" s="0" t="str">
        <f aca="true">IF(C23="","",IF(OR(K23="Approved",K23="Rejected",K23="Void"),"",TODAY()-R23))</f>
        <v/>
      </c>
    </row>
    <row r="24" customFormat="false" ht="15" hidden="false" customHeight="false" outlineLevel="0" collapsed="false">
      <c r="O24" s="0" t="str">
        <f aca="false">IF(C24="","",SUMIFS($N$2:N24,$C$2:C24,C24,$K$2:K24,"Approved"))</f>
        <v/>
      </c>
      <c r="R24" s="13" t="str">
        <f aca="false">IF(C24="","",MAX(B24+0,L24+0))</f>
        <v/>
      </c>
      <c r="S24" s="0" t="str">
        <f aca="true">IF(C24="","",IF(OR(K24="Approved",K24="Rejected",K24="Void"),"",TODAY()-R24))</f>
        <v/>
      </c>
    </row>
    <row r="25" customFormat="false" ht="15" hidden="false" customHeight="false" outlineLevel="0" collapsed="false">
      <c r="O25" s="0" t="str">
        <f aca="false">IF(C25="","",SUMIFS($N$2:N25,$C$2:C25,C25,$K$2:K25,"Approved"))</f>
        <v/>
      </c>
      <c r="R25" s="13" t="str">
        <f aca="false">IF(C25="","",MAX(B25+0,L25+0))</f>
        <v/>
      </c>
      <c r="S25" s="0" t="str">
        <f aca="true">IF(C25="","",IF(OR(K25="Approved",K25="Rejected",K25="Void"),"",TODAY()-R25))</f>
        <v/>
      </c>
    </row>
    <row r="26" customFormat="false" ht="15" hidden="false" customHeight="false" outlineLevel="0" collapsed="false">
      <c r="O26" s="0" t="str">
        <f aca="false">IF(C26="","",SUMIFS($N$2:N26,$C$2:C26,C26,$K$2:K26,"Approved"))</f>
        <v/>
      </c>
      <c r="R26" s="13" t="str">
        <f aca="false">IF(C26="","",MAX(B26+0,L26+0))</f>
        <v/>
      </c>
      <c r="S26" s="0" t="str">
        <f aca="true">IF(C26="","",IF(OR(K26="Approved",K26="Rejected",K26="Void"),"",TODAY()-R26))</f>
        <v/>
      </c>
    </row>
    <row r="27" customFormat="false" ht="15" hidden="false" customHeight="false" outlineLevel="0" collapsed="false">
      <c r="O27" s="0" t="str">
        <f aca="false">IF(C27="","",SUMIFS($N$2:N27,$C$2:C27,C27,$K$2:K27,"Approved"))</f>
        <v/>
      </c>
      <c r="R27" s="13" t="str">
        <f aca="false">IF(C27="","",MAX(B27+0,L27+0))</f>
        <v/>
      </c>
      <c r="S27" s="0" t="str">
        <f aca="true">IF(C27="","",IF(OR(K27="Approved",K27="Rejected",K27="Void"),"",TODAY()-R27))</f>
        <v/>
      </c>
    </row>
    <row r="28" customFormat="false" ht="15" hidden="false" customHeight="false" outlineLevel="0" collapsed="false">
      <c r="O28" s="0" t="str">
        <f aca="false">IF(C28="","",SUMIFS($N$2:N28,$C$2:C28,C28,$K$2:K28,"Approved"))</f>
        <v/>
      </c>
      <c r="R28" s="13" t="str">
        <f aca="false">IF(C28="","",MAX(B28+0,L28+0))</f>
        <v/>
      </c>
      <c r="S28" s="0" t="str">
        <f aca="true">IF(C28="","",IF(OR(K28="Approved",K28="Rejected",K28="Void"),"",TODAY()-R28))</f>
        <v/>
      </c>
    </row>
    <row r="29" customFormat="false" ht="15" hidden="false" customHeight="false" outlineLevel="0" collapsed="false">
      <c r="O29" s="0" t="str">
        <f aca="false">IF(C29="","",SUMIFS($N$2:N29,$C$2:C29,C29,$K$2:K29,"Approved"))</f>
        <v/>
      </c>
      <c r="R29" s="13" t="str">
        <f aca="false">IF(C29="","",MAX(B29+0,L29+0))</f>
        <v/>
      </c>
      <c r="S29" s="0" t="str">
        <f aca="true">IF(C29="","",IF(OR(K29="Approved",K29="Rejected",K29="Void"),"",TODAY()-R29))</f>
        <v/>
      </c>
    </row>
    <row r="30" customFormat="false" ht="15" hidden="false" customHeight="false" outlineLevel="0" collapsed="false">
      <c r="O30" s="0" t="str">
        <f aca="false">IF(C30="","",SUMIFS($N$2:N30,$C$2:C30,C30,$K$2:K30,"Approved"))</f>
        <v/>
      </c>
      <c r="R30" s="13" t="str">
        <f aca="false">IF(C30="","",MAX(B30+0,L30+0))</f>
        <v/>
      </c>
      <c r="S30" s="0" t="str">
        <f aca="true">IF(C30="","",IF(OR(K30="Approved",K30="Rejected",K30="Void"),"",TODAY()-R30))</f>
        <v/>
      </c>
    </row>
    <row r="31" customFormat="false" ht="15" hidden="false" customHeight="false" outlineLevel="0" collapsed="false">
      <c r="O31" s="0" t="str">
        <f aca="false">IF(C31="","",SUMIFS($N$2:N31,$C$2:C31,C31,$K$2:K31,"Approved"))</f>
        <v/>
      </c>
      <c r="R31" s="13" t="str">
        <f aca="false">IF(C31="","",MAX(B31+0,L31+0))</f>
        <v/>
      </c>
      <c r="S31" s="0" t="str">
        <f aca="true">IF(C31="","",IF(OR(K31="Approved",K31="Rejected",K31="Void"),"",TODAY()-R31))</f>
        <v/>
      </c>
    </row>
    <row r="32" customFormat="false" ht="15" hidden="false" customHeight="false" outlineLevel="0" collapsed="false">
      <c r="O32" s="0" t="str">
        <f aca="false">IF(C32="","",SUMIFS($N$2:N32,$C$2:C32,C32,$K$2:K32,"Approved"))</f>
        <v/>
      </c>
      <c r="R32" s="13" t="str">
        <f aca="false">IF(C32="","",MAX(B32+0,L32+0))</f>
        <v/>
      </c>
      <c r="S32" s="0" t="str">
        <f aca="true">IF(C32="","",IF(OR(K32="Approved",K32="Rejected",K32="Void"),"",TODAY()-R32))</f>
        <v/>
      </c>
    </row>
    <row r="33" customFormat="false" ht="15" hidden="false" customHeight="false" outlineLevel="0" collapsed="false">
      <c r="O33" s="0" t="str">
        <f aca="false">IF(C33="","",SUMIFS($N$2:N33,$C$2:C33,C33,$K$2:K33,"Approved"))</f>
        <v/>
      </c>
      <c r="R33" s="13" t="str">
        <f aca="false">IF(C33="","",MAX(B33+0,L33+0))</f>
        <v/>
      </c>
      <c r="S33" s="0" t="str">
        <f aca="true">IF(C33="","",IF(OR(K33="Approved",K33="Rejected",K33="Void"),"",TODAY()-R33))</f>
        <v/>
      </c>
    </row>
    <row r="34" customFormat="false" ht="15" hidden="false" customHeight="false" outlineLevel="0" collapsed="false">
      <c r="O34" s="0" t="str">
        <f aca="false">IF(C34="","",SUMIFS($N$2:N34,$C$2:C34,C34,$K$2:K34,"Approved"))</f>
        <v/>
      </c>
      <c r="R34" s="13" t="str">
        <f aca="false">IF(C34="","",MAX(B34+0,L34+0))</f>
        <v/>
      </c>
      <c r="S34" s="0" t="str">
        <f aca="true">IF(C34="","",IF(OR(K34="Approved",K34="Rejected",K34="Void"),"",TODAY()-R34))</f>
        <v/>
      </c>
    </row>
    <row r="35" customFormat="false" ht="15" hidden="false" customHeight="false" outlineLevel="0" collapsed="false">
      <c r="O35" s="0" t="str">
        <f aca="false">IF(C35="","",SUMIFS($N$2:N35,$C$2:C35,C35,$K$2:K35,"Approved"))</f>
        <v/>
      </c>
      <c r="R35" s="13" t="str">
        <f aca="false">IF(C35="","",MAX(B35+0,L35+0))</f>
        <v/>
      </c>
      <c r="S35" s="0" t="str">
        <f aca="true">IF(C35="","",IF(OR(K35="Approved",K35="Rejected",K35="Void"),"",TODAY()-R35))</f>
        <v/>
      </c>
    </row>
    <row r="36" customFormat="false" ht="15" hidden="false" customHeight="false" outlineLevel="0" collapsed="false">
      <c r="O36" s="0" t="str">
        <f aca="false">IF(C36="","",SUMIFS($N$2:N36,$C$2:C36,C36,$K$2:K36,"Approved"))</f>
        <v/>
      </c>
      <c r="R36" s="13" t="str">
        <f aca="false">IF(C36="","",MAX(B36+0,L36+0))</f>
        <v/>
      </c>
      <c r="S36" s="0" t="str">
        <f aca="true">IF(C36="","",IF(OR(K36="Approved",K36="Rejected",K36="Void"),"",TODAY()-R36))</f>
        <v/>
      </c>
    </row>
    <row r="37" customFormat="false" ht="15" hidden="false" customHeight="false" outlineLevel="0" collapsed="false">
      <c r="O37" s="0" t="str">
        <f aca="false">IF(C37="","",SUMIFS($N$2:N37,$C$2:C37,C37,$K$2:K37,"Approved"))</f>
        <v/>
      </c>
      <c r="R37" s="13" t="str">
        <f aca="false">IF(C37="","",MAX(B37+0,L37+0))</f>
        <v/>
      </c>
      <c r="S37" s="0" t="str">
        <f aca="true">IF(C37="","",IF(OR(K37="Approved",K37="Rejected",K37="Void"),"",TODAY()-R37))</f>
        <v/>
      </c>
    </row>
    <row r="38" customFormat="false" ht="15" hidden="false" customHeight="false" outlineLevel="0" collapsed="false">
      <c r="O38" s="0" t="str">
        <f aca="false">IF(C38="","",SUMIFS($N$2:N38,$C$2:C38,C38,$K$2:K38,"Approved"))</f>
        <v/>
      </c>
      <c r="R38" s="13" t="str">
        <f aca="false">IF(C38="","",MAX(B38+0,L38+0))</f>
        <v/>
      </c>
      <c r="S38" s="0" t="str">
        <f aca="true">IF(C38="","",IF(OR(K38="Approved",K38="Rejected",K38="Void"),"",TODAY()-R38))</f>
        <v/>
      </c>
    </row>
    <row r="39" customFormat="false" ht="15" hidden="false" customHeight="false" outlineLevel="0" collapsed="false">
      <c r="O39" s="0" t="str">
        <f aca="false">IF(C39="","",SUMIFS($N$2:N39,$C$2:C39,C39,$K$2:K39,"Approved"))</f>
        <v/>
      </c>
      <c r="R39" s="13" t="str">
        <f aca="false">IF(C39="","",MAX(B39+0,L39+0))</f>
        <v/>
      </c>
      <c r="S39" s="0" t="str">
        <f aca="true">IF(C39="","",IF(OR(K39="Approved",K39="Rejected",K39="Void"),"",TODAY()-R39))</f>
        <v/>
      </c>
    </row>
    <row r="40" customFormat="false" ht="15" hidden="false" customHeight="false" outlineLevel="0" collapsed="false">
      <c r="O40" s="0" t="str">
        <f aca="false">IF(C40="","",SUMIFS($N$2:N40,$C$2:C40,C40,$K$2:K40,"Approved"))</f>
        <v/>
      </c>
      <c r="R40" s="13" t="str">
        <f aca="false">IF(C40="","",MAX(B40+0,L40+0))</f>
        <v/>
      </c>
      <c r="S40" s="0" t="str">
        <f aca="true">IF(C40="","",IF(OR(K40="Approved",K40="Rejected",K40="Void"),"",TODAY()-R40))</f>
        <v/>
      </c>
    </row>
    <row r="41" customFormat="false" ht="15" hidden="false" customHeight="false" outlineLevel="0" collapsed="false">
      <c r="O41" s="0" t="str">
        <f aca="false">IF(C41="","",SUMIFS($N$2:N41,$C$2:C41,C41,$K$2:K41,"Approved"))</f>
        <v/>
      </c>
      <c r="R41" s="13" t="str">
        <f aca="false">IF(C41="","",MAX(B41+0,L41+0))</f>
        <v/>
      </c>
      <c r="S41" s="0" t="str">
        <f aca="true">IF(C41="","",IF(OR(K41="Approved",K41="Rejected",K41="Void"),"",TODAY()-R41))</f>
        <v/>
      </c>
    </row>
    <row r="42" customFormat="false" ht="15" hidden="false" customHeight="false" outlineLevel="0" collapsed="false">
      <c r="O42" s="0" t="str">
        <f aca="false">IF(C42="","",SUMIFS($N$2:N42,$C$2:C42,C42,$K$2:K42,"Approved"))</f>
        <v/>
      </c>
      <c r="R42" s="13" t="str">
        <f aca="false">IF(C42="","",MAX(B42+0,L42+0))</f>
        <v/>
      </c>
      <c r="S42" s="0" t="str">
        <f aca="true">IF(C42="","",IF(OR(K42="Approved",K42="Rejected",K42="Void"),"",TODAY()-R42))</f>
        <v/>
      </c>
    </row>
    <row r="43" customFormat="false" ht="15" hidden="false" customHeight="false" outlineLevel="0" collapsed="false">
      <c r="O43" s="0" t="str">
        <f aca="false">IF(C43="","",SUMIFS($N$2:N43,$C$2:C43,C43,$K$2:K43,"Approved"))</f>
        <v/>
      </c>
      <c r="R43" s="13" t="str">
        <f aca="false">IF(C43="","",MAX(B43+0,L43+0))</f>
        <v/>
      </c>
      <c r="S43" s="0" t="str">
        <f aca="true">IF(C43="","",IF(OR(K43="Approved",K43="Rejected",K43="Void"),"",TODAY()-R43))</f>
        <v/>
      </c>
    </row>
    <row r="44" customFormat="false" ht="15" hidden="false" customHeight="false" outlineLevel="0" collapsed="false">
      <c r="O44" s="0" t="str">
        <f aca="false">IF(C44="","",SUMIFS($N$2:N44,$C$2:C44,C44,$K$2:K44,"Approved"))</f>
        <v/>
      </c>
      <c r="R44" s="13" t="str">
        <f aca="false">IF(C44="","",MAX(B44+0,L44+0))</f>
        <v/>
      </c>
      <c r="S44" s="0" t="str">
        <f aca="true">IF(C44="","",IF(OR(K44="Approved",K44="Rejected",K44="Void"),"",TODAY()-R44))</f>
        <v/>
      </c>
    </row>
    <row r="45" customFormat="false" ht="15" hidden="false" customHeight="false" outlineLevel="0" collapsed="false">
      <c r="O45" s="0" t="str">
        <f aca="false">IF(C45="","",SUMIFS($N$2:N45,$C$2:C45,C45,$K$2:K45,"Approved"))</f>
        <v/>
      </c>
      <c r="R45" s="13" t="str">
        <f aca="false">IF(C45="","",MAX(B45+0,L45+0))</f>
        <v/>
      </c>
      <c r="S45" s="0" t="str">
        <f aca="true">IF(C45="","",IF(OR(K45="Approved",K45="Rejected",K45="Void"),"",TODAY()-R45))</f>
        <v/>
      </c>
    </row>
    <row r="46" customFormat="false" ht="15" hidden="false" customHeight="false" outlineLevel="0" collapsed="false">
      <c r="O46" s="0" t="str">
        <f aca="false">IF(C46="","",SUMIFS($N$2:N46,$C$2:C46,C46,$K$2:K46,"Approved"))</f>
        <v/>
      </c>
      <c r="R46" s="13" t="str">
        <f aca="false">IF(C46="","",MAX(B46+0,L46+0))</f>
        <v/>
      </c>
      <c r="S46" s="0" t="str">
        <f aca="true">IF(C46="","",IF(OR(K46="Approved",K46="Rejected",K46="Void"),"",TODAY()-R46))</f>
        <v/>
      </c>
    </row>
    <row r="47" customFormat="false" ht="15" hidden="false" customHeight="false" outlineLevel="0" collapsed="false">
      <c r="O47" s="0" t="str">
        <f aca="false">IF(C47="","",SUMIFS($N$2:N47,$C$2:C47,C47,$K$2:K47,"Approved"))</f>
        <v/>
      </c>
      <c r="R47" s="13" t="str">
        <f aca="false">IF(C47="","",MAX(B47+0,L47+0))</f>
        <v/>
      </c>
      <c r="S47" s="0" t="str">
        <f aca="true">IF(C47="","",IF(OR(K47="Approved",K47="Rejected",K47="Void"),"",TODAY()-R47))</f>
        <v/>
      </c>
    </row>
    <row r="48" customFormat="false" ht="15" hidden="false" customHeight="false" outlineLevel="0" collapsed="false">
      <c r="O48" s="0" t="str">
        <f aca="false">IF(C48="","",SUMIFS($N$2:N48,$C$2:C48,C48,$K$2:K48,"Approved"))</f>
        <v/>
      </c>
      <c r="R48" s="13" t="str">
        <f aca="false">IF(C48="","",MAX(B48+0,L48+0))</f>
        <v/>
      </c>
      <c r="S48" s="0" t="str">
        <f aca="true">IF(C48="","",IF(OR(K48="Approved",K48="Rejected",K48="Void"),"",TODAY()-R48))</f>
        <v/>
      </c>
    </row>
    <row r="49" customFormat="false" ht="15" hidden="false" customHeight="false" outlineLevel="0" collapsed="false">
      <c r="O49" s="0" t="str">
        <f aca="false">IF(C49="","",SUMIFS($N$2:N49,$C$2:C49,C49,$K$2:K49,"Approved"))</f>
        <v/>
      </c>
      <c r="R49" s="13" t="str">
        <f aca="false">IF(C49="","",MAX(B49+0,L49+0))</f>
        <v/>
      </c>
      <c r="S49" s="0" t="str">
        <f aca="true">IF(C49="","",IF(OR(K49="Approved",K49="Rejected",K49="Void"),"",TODAY()-R49))</f>
        <v/>
      </c>
    </row>
    <row r="50" customFormat="false" ht="15" hidden="false" customHeight="false" outlineLevel="0" collapsed="false">
      <c r="O50" s="0" t="str">
        <f aca="false">IF(C50="","",SUMIFS($N$2:N50,$C$2:C50,C50,$K$2:K50,"Approved"))</f>
        <v/>
      </c>
      <c r="R50" s="13" t="str">
        <f aca="false">IF(C50="","",MAX(B50+0,L50+0))</f>
        <v/>
      </c>
      <c r="S50" s="0" t="str">
        <f aca="true">IF(C50="","",IF(OR(K50="Approved",K50="Rejected",K50="Void"),"",TODAY()-R50))</f>
        <v/>
      </c>
    </row>
    <row r="51" customFormat="false" ht="15" hidden="false" customHeight="false" outlineLevel="0" collapsed="false">
      <c r="O51" s="0" t="str">
        <f aca="false">IF(C51="","",SUMIFS($N$2:N51,$C$2:C51,C51,$K$2:K51,"Approved"))</f>
        <v/>
      </c>
      <c r="R51" s="13" t="str">
        <f aca="false">IF(C51="","",MAX(B51+0,L51+0))</f>
        <v/>
      </c>
      <c r="S51" s="0" t="str">
        <f aca="true">IF(C51="","",IF(OR(K51="Approved",K51="Rejected",K51="Void"),"",TODAY()-R51))</f>
        <v/>
      </c>
    </row>
    <row r="52" customFormat="false" ht="15" hidden="false" customHeight="false" outlineLevel="0" collapsed="false">
      <c r="O52" s="0" t="str">
        <f aca="false">IF(C52="","",SUMIFS($N$2:N52,$C$2:C52,C52,$K$2:K52,"Approved"))</f>
        <v/>
      </c>
      <c r="R52" s="13" t="str">
        <f aca="false">IF(C52="","",MAX(B52+0,L52+0))</f>
        <v/>
      </c>
      <c r="S52" s="0" t="str">
        <f aca="true">IF(C52="","",IF(OR(K52="Approved",K52="Rejected",K52="Void"),"",TODAY()-R52))</f>
        <v/>
      </c>
    </row>
    <row r="53" customFormat="false" ht="15" hidden="false" customHeight="false" outlineLevel="0" collapsed="false">
      <c r="O53" s="0" t="str">
        <f aca="false">IF(C53="","",SUMIFS($N$2:N53,$C$2:C53,C53,$K$2:K53,"Approved"))</f>
        <v/>
      </c>
      <c r="R53" s="13" t="str">
        <f aca="false">IF(C53="","",MAX(B53+0,L53+0))</f>
        <v/>
      </c>
      <c r="S53" s="0" t="str">
        <f aca="true">IF(C53="","",IF(OR(K53="Approved",K53="Rejected",K53="Void"),"",TODAY()-R53))</f>
        <v/>
      </c>
    </row>
    <row r="54" customFormat="false" ht="15" hidden="false" customHeight="false" outlineLevel="0" collapsed="false">
      <c r="O54" s="0" t="str">
        <f aca="false">IF(C54="","",SUMIFS($N$2:N54,$C$2:C54,C54,$K$2:K54,"Approved"))</f>
        <v/>
      </c>
      <c r="R54" s="13" t="str">
        <f aca="false">IF(C54="","",MAX(B54+0,L54+0))</f>
        <v/>
      </c>
      <c r="S54" s="0" t="str">
        <f aca="true">IF(C54="","",IF(OR(K54="Approved",K54="Rejected",K54="Void"),"",TODAY()-R54))</f>
        <v/>
      </c>
    </row>
    <row r="55" customFormat="false" ht="15" hidden="false" customHeight="false" outlineLevel="0" collapsed="false">
      <c r="O55" s="0" t="str">
        <f aca="false">IF(C55="","",SUMIFS($N$2:N55,$C$2:C55,C55,$K$2:K55,"Approved"))</f>
        <v/>
      </c>
      <c r="R55" s="13" t="str">
        <f aca="false">IF(C55="","",MAX(B55+0,L55+0))</f>
        <v/>
      </c>
      <c r="S55" s="0" t="str">
        <f aca="true">IF(C55="","",IF(OR(K55="Approved",K55="Rejected",K55="Void"),"",TODAY()-R55))</f>
        <v/>
      </c>
    </row>
    <row r="56" customFormat="false" ht="15" hidden="false" customHeight="false" outlineLevel="0" collapsed="false">
      <c r="O56" s="0" t="str">
        <f aca="false">IF(C56="","",SUMIFS($N$2:N56,$C$2:C56,C56,$K$2:K56,"Approved"))</f>
        <v/>
      </c>
      <c r="R56" s="13" t="str">
        <f aca="false">IF(C56="","",MAX(B56+0,L56+0))</f>
        <v/>
      </c>
      <c r="S56" s="0" t="str">
        <f aca="true">IF(C56="","",IF(OR(K56="Approved",K56="Rejected",K56="Void"),"",TODAY()-R56))</f>
        <v/>
      </c>
    </row>
    <row r="57" customFormat="false" ht="15" hidden="false" customHeight="false" outlineLevel="0" collapsed="false">
      <c r="O57" s="0" t="str">
        <f aca="false">IF(C57="","",SUMIFS($N$2:N57,$C$2:C57,C57,$K$2:K57,"Approved"))</f>
        <v/>
      </c>
      <c r="R57" s="13" t="str">
        <f aca="false">IF(C57="","",MAX(B57+0,L57+0))</f>
        <v/>
      </c>
      <c r="S57" s="0" t="str">
        <f aca="true">IF(C57="","",IF(OR(K57="Approved",K57="Rejected",K57="Void"),"",TODAY()-R57))</f>
        <v/>
      </c>
    </row>
    <row r="58" customFormat="false" ht="15" hidden="false" customHeight="false" outlineLevel="0" collapsed="false">
      <c r="O58" s="0" t="str">
        <f aca="false">IF(C58="","",SUMIFS($N$2:N58,$C$2:C58,C58,$K$2:K58,"Approved"))</f>
        <v/>
      </c>
      <c r="R58" s="13" t="str">
        <f aca="false">IF(C58="","",MAX(B58+0,L58+0))</f>
        <v/>
      </c>
      <c r="S58" s="0" t="str">
        <f aca="true">IF(C58="","",IF(OR(K58="Approved",K58="Rejected",K58="Void"),"",TODAY()-R58))</f>
        <v/>
      </c>
    </row>
    <row r="59" customFormat="false" ht="15" hidden="false" customHeight="false" outlineLevel="0" collapsed="false">
      <c r="O59" s="0" t="str">
        <f aca="false">IF(C59="","",SUMIFS($N$2:N59,$C$2:C59,C59,$K$2:K59,"Approved"))</f>
        <v/>
      </c>
      <c r="R59" s="13" t="str">
        <f aca="false">IF(C59="","",MAX(B59+0,L59+0))</f>
        <v/>
      </c>
      <c r="S59" s="0" t="str">
        <f aca="true">IF(C59="","",IF(OR(K59="Approved",K59="Rejected",K59="Void"),"",TODAY()-R59))</f>
        <v/>
      </c>
    </row>
    <row r="60" customFormat="false" ht="15" hidden="false" customHeight="false" outlineLevel="0" collapsed="false">
      <c r="O60" s="0" t="str">
        <f aca="false">IF(C60="","",SUMIFS($N$2:N60,$C$2:C60,C60,$K$2:K60,"Approved"))</f>
        <v/>
      </c>
      <c r="R60" s="13" t="str">
        <f aca="false">IF(C60="","",MAX(B60+0,L60+0))</f>
        <v/>
      </c>
      <c r="S60" s="0" t="str">
        <f aca="true">IF(C60="","",IF(OR(K60="Approved",K60="Rejected",K60="Void"),"",TODAY()-R60))</f>
        <v/>
      </c>
    </row>
    <row r="61" customFormat="false" ht="15" hidden="false" customHeight="false" outlineLevel="0" collapsed="false">
      <c r="O61" s="0" t="str">
        <f aca="false">IF(C61="","",SUMIFS($N$2:N61,$C$2:C61,C61,$K$2:K61,"Approved"))</f>
        <v/>
      </c>
      <c r="R61" s="13" t="str">
        <f aca="false">IF(C61="","",MAX(B61+0,L61+0))</f>
        <v/>
      </c>
      <c r="S61" s="0" t="str">
        <f aca="true">IF(C61="","",IF(OR(K61="Approved",K61="Rejected",K61="Void"),"",TODAY()-R61))</f>
        <v/>
      </c>
    </row>
    <row r="62" customFormat="false" ht="15" hidden="false" customHeight="false" outlineLevel="0" collapsed="false">
      <c r="O62" s="0" t="str">
        <f aca="false">IF(C62="","",SUMIFS($N$2:N62,$C$2:C62,C62,$K$2:K62,"Approved"))</f>
        <v/>
      </c>
      <c r="R62" s="13" t="str">
        <f aca="false">IF(C62="","",MAX(B62+0,L62+0))</f>
        <v/>
      </c>
      <c r="S62" s="0" t="str">
        <f aca="true">IF(C62="","",IF(OR(K62="Approved",K62="Rejected",K62="Void"),"",TODAY()-R62))</f>
        <v/>
      </c>
    </row>
    <row r="63" customFormat="false" ht="15" hidden="false" customHeight="false" outlineLevel="0" collapsed="false">
      <c r="O63" s="0" t="str">
        <f aca="false">IF(C63="","",SUMIFS($N$2:N63,$C$2:C63,C63,$K$2:K63,"Approved"))</f>
        <v/>
      </c>
      <c r="R63" s="13" t="str">
        <f aca="false">IF(C63="","",MAX(B63+0,L63+0))</f>
        <v/>
      </c>
      <c r="S63" s="0" t="str">
        <f aca="true">IF(C63="","",IF(OR(K63="Approved",K63="Rejected",K63="Void"),"",TODAY()-R63))</f>
        <v/>
      </c>
    </row>
    <row r="64" customFormat="false" ht="15" hidden="false" customHeight="false" outlineLevel="0" collapsed="false">
      <c r="O64" s="0" t="str">
        <f aca="false">IF(C64="","",SUMIFS($N$2:N64,$C$2:C64,C64,$K$2:K64,"Approved"))</f>
        <v/>
      </c>
      <c r="R64" s="13" t="str">
        <f aca="false">IF(C64="","",MAX(B64+0,L64+0))</f>
        <v/>
      </c>
      <c r="S64" s="0" t="str">
        <f aca="true">IF(C64="","",IF(OR(K64="Approved",K64="Rejected",K64="Void"),"",TODAY()-R64))</f>
        <v/>
      </c>
    </row>
    <row r="65" customFormat="false" ht="15" hidden="false" customHeight="false" outlineLevel="0" collapsed="false">
      <c r="O65" s="0" t="str">
        <f aca="false">IF(C65="","",SUMIFS($N$2:N65,$C$2:C65,C65,$K$2:K65,"Approved"))</f>
        <v/>
      </c>
      <c r="R65" s="13" t="str">
        <f aca="false">IF(C65="","",MAX(B65+0,L65+0))</f>
        <v/>
      </c>
      <c r="S65" s="0" t="str">
        <f aca="true">IF(C65="","",IF(OR(K65="Approved",K65="Rejected",K65="Void"),"",TODAY()-R65))</f>
        <v/>
      </c>
    </row>
    <row r="66" customFormat="false" ht="15" hidden="false" customHeight="false" outlineLevel="0" collapsed="false">
      <c r="O66" s="0" t="str">
        <f aca="false">IF(C66="","",SUMIFS($N$2:N66,$C$2:C66,C66,$K$2:K66,"Approved"))</f>
        <v/>
      </c>
      <c r="R66" s="13" t="str">
        <f aca="false">IF(C66="","",MAX(B66+0,L66+0))</f>
        <v/>
      </c>
      <c r="S66" s="0" t="str">
        <f aca="true">IF(C66="","",IF(OR(K66="Approved",K66="Rejected",K66="Void"),"",TODAY()-R66))</f>
        <v/>
      </c>
    </row>
    <row r="67" customFormat="false" ht="15" hidden="false" customHeight="false" outlineLevel="0" collapsed="false">
      <c r="O67" s="0" t="str">
        <f aca="false">IF(C67="","",SUMIFS($N$2:N67,$C$2:C67,C67,$K$2:K67,"Approved"))</f>
        <v/>
      </c>
      <c r="R67" s="13" t="str">
        <f aca="false">IF(C67="","",MAX(B67+0,L67+0))</f>
        <v/>
      </c>
      <c r="S67" s="0" t="str">
        <f aca="true">IF(C67="","",IF(OR(K67="Approved",K67="Rejected",K67="Void"),"",TODAY()-R67))</f>
        <v/>
      </c>
    </row>
    <row r="68" customFormat="false" ht="15" hidden="false" customHeight="false" outlineLevel="0" collapsed="false">
      <c r="O68" s="0" t="str">
        <f aca="false">IF(C68="","",SUMIFS($N$2:N68,$C$2:C68,C68,$K$2:K68,"Approved"))</f>
        <v/>
      </c>
      <c r="R68" s="13" t="str">
        <f aca="false">IF(C68="","",MAX(B68+0,L68+0))</f>
        <v/>
      </c>
      <c r="S68" s="0" t="str">
        <f aca="true">IF(C68="","",IF(OR(K68="Approved",K68="Rejected",K68="Void"),"",TODAY()-R68))</f>
        <v/>
      </c>
    </row>
    <row r="69" customFormat="false" ht="15" hidden="false" customHeight="false" outlineLevel="0" collapsed="false">
      <c r="O69" s="0" t="str">
        <f aca="false">IF(C69="","",SUMIFS($N$2:N69,$C$2:C69,C69,$K$2:K69,"Approved"))</f>
        <v/>
      </c>
      <c r="R69" s="13" t="str">
        <f aca="false">IF(C69="","",MAX(B69+0,L69+0))</f>
        <v/>
      </c>
      <c r="S69" s="0" t="str">
        <f aca="true">IF(C69="","",IF(OR(K69="Approved",K69="Rejected",K69="Void"),"",TODAY()-R69))</f>
        <v/>
      </c>
    </row>
    <row r="70" customFormat="false" ht="15" hidden="false" customHeight="false" outlineLevel="0" collapsed="false">
      <c r="O70" s="0" t="str">
        <f aca="false">IF(C70="","",SUMIFS($N$2:N70,$C$2:C70,C70,$K$2:K70,"Approved"))</f>
        <v/>
      </c>
      <c r="R70" s="13" t="str">
        <f aca="false">IF(C70="","",MAX(B70+0,L70+0))</f>
        <v/>
      </c>
      <c r="S70" s="0" t="str">
        <f aca="true">IF(C70="","",IF(OR(K70="Approved",K70="Rejected",K70="Void"),"",TODAY()-R70))</f>
        <v/>
      </c>
    </row>
    <row r="71" customFormat="false" ht="15" hidden="false" customHeight="false" outlineLevel="0" collapsed="false">
      <c r="O71" s="0" t="str">
        <f aca="false">IF(C71="","",SUMIFS($N$2:N71,$C$2:C71,C71,$K$2:K71,"Approved"))</f>
        <v/>
      </c>
      <c r="R71" s="13" t="str">
        <f aca="false">IF(C71="","",MAX(B71+0,L71+0))</f>
        <v/>
      </c>
      <c r="S71" s="0" t="str">
        <f aca="true">IF(C71="","",IF(OR(K71="Approved",K71="Rejected",K71="Void"),"",TODAY()-R71))</f>
        <v/>
      </c>
    </row>
    <row r="72" customFormat="false" ht="15" hidden="false" customHeight="false" outlineLevel="0" collapsed="false">
      <c r="O72" s="0" t="str">
        <f aca="false">IF(C72="","",SUMIFS($N$2:N72,$C$2:C72,C72,$K$2:K72,"Approved"))</f>
        <v/>
      </c>
      <c r="R72" s="13" t="str">
        <f aca="false">IF(C72="","",MAX(B72+0,L72+0))</f>
        <v/>
      </c>
      <c r="S72" s="0" t="str">
        <f aca="true">IF(C72="","",IF(OR(K72="Approved",K72="Rejected",K72="Void"),"",TODAY()-R72))</f>
        <v/>
      </c>
    </row>
    <row r="73" customFormat="false" ht="15" hidden="false" customHeight="false" outlineLevel="0" collapsed="false">
      <c r="O73" s="0" t="str">
        <f aca="false">IF(C73="","",SUMIFS($N$2:N73,$C$2:C73,C73,$K$2:K73,"Approved"))</f>
        <v/>
      </c>
      <c r="R73" s="13" t="str">
        <f aca="false">IF(C73="","",MAX(B73+0,L73+0))</f>
        <v/>
      </c>
      <c r="S73" s="0" t="str">
        <f aca="true">IF(C73="","",IF(OR(K73="Approved",K73="Rejected",K73="Void"),"",TODAY()-R73))</f>
        <v/>
      </c>
    </row>
    <row r="74" customFormat="false" ht="15" hidden="false" customHeight="false" outlineLevel="0" collapsed="false">
      <c r="O74" s="0" t="str">
        <f aca="false">IF(C74="","",SUMIFS($N$2:N74,$C$2:C74,C74,$K$2:K74,"Approved"))</f>
        <v/>
      </c>
      <c r="R74" s="13" t="str">
        <f aca="false">IF(C74="","",MAX(B74+0,L74+0))</f>
        <v/>
      </c>
      <c r="S74" s="0" t="str">
        <f aca="true">IF(C74="","",IF(OR(K74="Approved",K74="Rejected",K74="Void"),"",TODAY()-R74))</f>
        <v/>
      </c>
    </row>
    <row r="75" customFormat="false" ht="15" hidden="false" customHeight="false" outlineLevel="0" collapsed="false">
      <c r="O75" s="0" t="str">
        <f aca="false">IF(C75="","",SUMIFS($N$2:N75,$C$2:C75,C75,$K$2:K75,"Approved"))</f>
        <v/>
      </c>
      <c r="R75" s="13" t="str">
        <f aca="false">IF(C75="","",MAX(B75+0,L75+0))</f>
        <v/>
      </c>
      <c r="S75" s="0" t="str">
        <f aca="true">IF(C75="","",IF(OR(K75="Approved",K75="Rejected",K75="Void"),"",TODAY()-R75))</f>
        <v/>
      </c>
    </row>
    <row r="76" customFormat="false" ht="15" hidden="false" customHeight="false" outlineLevel="0" collapsed="false">
      <c r="O76" s="0" t="str">
        <f aca="false">IF(C76="","",SUMIFS($N$2:N76,$C$2:C76,C76,$K$2:K76,"Approved"))</f>
        <v/>
      </c>
      <c r="R76" s="13" t="str">
        <f aca="false">IF(C76="","",MAX(B76+0,L76+0))</f>
        <v/>
      </c>
      <c r="S76" s="0" t="str">
        <f aca="true">IF(C76="","",IF(OR(K76="Approved",K76="Rejected",K76="Void"),"",TODAY()-R76))</f>
        <v/>
      </c>
    </row>
    <row r="77" customFormat="false" ht="15" hidden="false" customHeight="false" outlineLevel="0" collapsed="false">
      <c r="O77" s="0" t="str">
        <f aca="false">IF(C77="","",SUMIFS($N$2:N77,$C$2:C77,C77,$K$2:K77,"Approved"))</f>
        <v/>
      </c>
      <c r="R77" s="13" t="str">
        <f aca="false">IF(C77="","",MAX(B77+0,L77+0))</f>
        <v/>
      </c>
      <c r="S77" s="0" t="str">
        <f aca="true">IF(C77="","",IF(OR(K77="Approved",K77="Rejected",K77="Void"),"",TODAY()-R77))</f>
        <v/>
      </c>
    </row>
    <row r="78" customFormat="false" ht="15" hidden="false" customHeight="false" outlineLevel="0" collapsed="false">
      <c r="O78" s="0" t="str">
        <f aca="false">IF(C78="","",SUMIFS($N$2:N78,$C$2:C78,C78,$K$2:K78,"Approved"))</f>
        <v/>
      </c>
      <c r="R78" s="13" t="str">
        <f aca="false">IF(C78="","",MAX(B78+0,L78+0))</f>
        <v/>
      </c>
      <c r="S78" s="0" t="str">
        <f aca="true">IF(C78="","",IF(OR(K78="Approved",K78="Rejected",K78="Void"),"",TODAY()-R78))</f>
        <v/>
      </c>
    </row>
    <row r="79" customFormat="false" ht="15" hidden="false" customHeight="false" outlineLevel="0" collapsed="false">
      <c r="O79" s="0" t="str">
        <f aca="false">IF(C79="","",SUMIFS($N$2:N79,$C$2:C79,C79,$K$2:K79,"Approved"))</f>
        <v/>
      </c>
      <c r="R79" s="13" t="str">
        <f aca="false">IF(C79="","",MAX(B79+0,L79+0))</f>
        <v/>
      </c>
      <c r="S79" s="0" t="str">
        <f aca="true">IF(C79="","",IF(OR(K79="Approved",K79="Rejected",K79="Void"),"",TODAY()-R79))</f>
        <v/>
      </c>
    </row>
    <row r="80" customFormat="false" ht="15" hidden="false" customHeight="false" outlineLevel="0" collapsed="false">
      <c r="O80" s="0" t="str">
        <f aca="false">IF(C80="","",SUMIFS($N$2:N80,$C$2:C80,C80,$K$2:K80,"Approved"))</f>
        <v/>
      </c>
      <c r="R80" s="13" t="str">
        <f aca="false">IF(C80="","",MAX(B80+0,L80+0))</f>
        <v/>
      </c>
      <c r="S80" s="0" t="str">
        <f aca="true">IF(C80="","",IF(OR(K80="Approved",K80="Rejected",K80="Void"),"",TODAY()-R80))</f>
        <v/>
      </c>
    </row>
    <row r="81" customFormat="false" ht="15" hidden="false" customHeight="false" outlineLevel="0" collapsed="false">
      <c r="O81" s="0" t="str">
        <f aca="false">IF(C81="","",SUMIFS($N$2:N81,$C$2:C81,C81,$K$2:K81,"Approved"))</f>
        <v/>
      </c>
      <c r="R81" s="13" t="str">
        <f aca="false">IF(C81="","",MAX(B81+0,L81+0))</f>
        <v/>
      </c>
      <c r="S81" s="0" t="str">
        <f aca="true">IF(C81="","",IF(OR(K81="Approved",K81="Rejected",K81="Void"),"",TODAY()-R81))</f>
        <v/>
      </c>
    </row>
    <row r="82" customFormat="false" ht="15" hidden="false" customHeight="false" outlineLevel="0" collapsed="false">
      <c r="O82" s="0" t="str">
        <f aca="false">IF(C82="","",SUMIFS($N$2:N82,$C$2:C82,C82,$K$2:K82,"Approved"))</f>
        <v/>
      </c>
      <c r="R82" s="13" t="str">
        <f aca="false">IF(C82="","",MAX(B82+0,L82+0))</f>
        <v/>
      </c>
      <c r="S82" s="0" t="str">
        <f aca="true">IF(C82="","",IF(OR(K82="Approved",K82="Rejected",K82="Void"),"",TODAY()-R82))</f>
        <v/>
      </c>
    </row>
    <row r="83" customFormat="false" ht="15" hidden="false" customHeight="false" outlineLevel="0" collapsed="false">
      <c r="O83" s="0" t="str">
        <f aca="false">IF(C83="","",SUMIFS($N$2:N83,$C$2:C83,C83,$K$2:K83,"Approved"))</f>
        <v/>
      </c>
      <c r="R83" s="13" t="str">
        <f aca="false">IF(C83="","",MAX(B83+0,L83+0))</f>
        <v/>
      </c>
      <c r="S83" s="0" t="str">
        <f aca="true">IF(C83="","",IF(OR(K83="Approved",K83="Rejected",K83="Void"),"",TODAY()-R83))</f>
        <v/>
      </c>
    </row>
    <row r="84" customFormat="false" ht="15" hidden="false" customHeight="false" outlineLevel="0" collapsed="false">
      <c r="O84" s="0" t="str">
        <f aca="false">IF(C84="","",SUMIFS($N$2:N84,$C$2:C84,C84,$K$2:K84,"Approved"))</f>
        <v/>
      </c>
      <c r="R84" s="13" t="str">
        <f aca="false">IF(C84="","",MAX(B84+0,L84+0))</f>
        <v/>
      </c>
      <c r="S84" s="0" t="str">
        <f aca="true">IF(C84="","",IF(OR(K84="Approved",K84="Rejected",K84="Void"),"",TODAY()-R84))</f>
        <v/>
      </c>
    </row>
    <row r="85" customFormat="false" ht="15" hidden="false" customHeight="false" outlineLevel="0" collapsed="false">
      <c r="O85" s="0" t="str">
        <f aca="false">IF(C85="","",SUMIFS($N$2:N85,$C$2:C85,C85,$K$2:K85,"Approved"))</f>
        <v/>
      </c>
      <c r="R85" s="13" t="str">
        <f aca="false">IF(C85="","",MAX(B85+0,L85+0))</f>
        <v/>
      </c>
      <c r="S85" s="0" t="str">
        <f aca="true">IF(C85="","",IF(OR(K85="Approved",K85="Rejected",K85="Void"),"",TODAY()-R85))</f>
        <v/>
      </c>
    </row>
    <row r="86" customFormat="false" ht="15" hidden="false" customHeight="false" outlineLevel="0" collapsed="false">
      <c r="O86" s="0" t="str">
        <f aca="false">IF(C86="","",SUMIFS($N$2:N86,$C$2:C86,C86,$K$2:K86,"Approved"))</f>
        <v/>
      </c>
      <c r="R86" s="13" t="str">
        <f aca="false">IF(C86="","",MAX(B86+0,L86+0))</f>
        <v/>
      </c>
      <c r="S86" s="0" t="str">
        <f aca="true">IF(C86="","",IF(OR(K86="Approved",K86="Rejected",K86="Void"),"",TODAY()-R86))</f>
        <v/>
      </c>
    </row>
    <row r="87" customFormat="false" ht="15" hidden="false" customHeight="false" outlineLevel="0" collapsed="false">
      <c r="O87" s="0" t="str">
        <f aca="false">IF(C87="","",SUMIFS($N$2:N87,$C$2:C87,C87,$K$2:K87,"Approved"))</f>
        <v/>
      </c>
      <c r="R87" s="13" t="str">
        <f aca="false">IF(C87="","",MAX(B87+0,L87+0))</f>
        <v/>
      </c>
      <c r="S87" s="0" t="str">
        <f aca="true">IF(C87="","",IF(OR(K87="Approved",K87="Rejected",K87="Void"),"",TODAY()-R87))</f>
        <v/>
      </c>
    </row>
    <row r="88" customFormat="false" ht="15" hidden="false" customHeight="false" outlineLevel="0" collapsed="false">
      <c r="O88" s="0" t="str">
        <f aca="false">IF(C88="","",SUMIFS($N$2:N88,$C$2:C88,C88,$K$2:K88,"Approved"))</f>
        <v/>
      </c>
      <c r="R88" s="13" t="str">
        <f aca="false">IF(C88="","",MAX(B88+0,L88+0))</f>
        <v/>
      </c>
      <c r="S88" s="0" t="str">
        <f aca="true">IF(C88="","",IF(OR(K88="Approved",K88="Rejected",K88="Void"),"",TODAY()-R88))</f>
        <v/>
      </c>
    </row>
    <row r="89" customFormat="false" ht="15" hidden="false" customHeight="false" outlineLevel="0" collapsed="false">
      <c r="O89" s="0" t="str">
        <f aca="false">IF(C89="","",SUMIFS($N$2:N89,$C$2:C89,C89,$K$2:K89,"Approved"))</f>
        <v/>
      </c>
      <c r="R89" s="13" t="str">
        <f aca="false">IF(C89="","",MAX(B89+0,L89+0))</f>
        <v/>
      </c>
      <c r="S89" s="0" t="str">
        <f aca="true">IF(C89="","",IF(OR(K89="Approved",K89="Rejected",K89="Void"),"",TODAY()-R89))</f>
        <v/>
      </c>
    </row>
    <row r="90" customFormat="false" ht="15" hidden="false" customHeight="false" outlineLevel="0" collapsed="false">
      <c r="O90" s="0" t="str">
        <f aca="false">IF(C90="","",SUMIFS($N$2:N90,$C$2:C90,C90,$K$2:K90,"Approved"))</f>
        <v/>
      </c>
      <c r="R90" s="13" t="str">
        <f aca="false">IF(C90="","",MAX(B90+0,L90+0))</f>
        <v/>
      </c>
      <c r="S90" s="0" t="str">
        <f aca="true">IF(C90="","",IF(OR(K90="Approved",K90="Rejected",K90="Void"),"",TODAY()-R90))</f>
        <v/>
      </c>
    </row>
    <row r="91" customFormat="false" ht="15" hidden="false" customHeight="false" outlineLevel="0" collapsed="false">
      <c r="O91" s="0" t="str">
        <f aca="false">IF(C91="","",SUMIFS($N$2:N91,$C$2:C91,C91,$K$2:K91,"Approved"))</f>
        <v/>
      </c>
      <c r="R91" s="13" t="str">
        <f aca="false">IF(C91="","",MAX(B91+0,L91+0))</f>
        <v/>
      </c>
      <c r="S91" s="0" t="str">
        <f aca="true">IF(C91="","",IF(OR(K91="Approved",K91="Rejected",K91="Void"),"",TODAY()-R91))</f>
        <v/>
      </c>
    </row>
    <row r="92" customFormat="false" ht="15" hidden="false" customHeight="false" outlineLevel="0" collapsed="false">
      <c r="O92" s="0" t="str">
        <f aca="false">IF(C92="","",SUMIFS($N$2:N92,$C$2:C92,C92,$K$2:K92,"Approved"))</f>
        <v/>
      </c>
      <c r="R92" s="13" t="str">
        <f aca="false">IF(C92="","",MAX(B92+0,L92+0))</f>
        <v/>
      </c>
      <c r="S92" s="0" t="str">
        <f aca="true">IF(C92="","",IF(OR(K92="Approved",K92="Rejected",K92="Void"),"",TODAY()-R92))</f>
        <v/>
      </c>
    </row>
    <row r="93" customFormat="false" ht="15" hidden="false" customHeight="false" outlineLevel="0" collapsed="false">
      <c r="O93" s="0" t="str">
        <f aca="false">IF(C93="","",SUMIFS($N$2:N93,$C$2:C93,C93,$K$2:K93,"Approved"))</f>
        <v/>
      </c>
      <c r="R93" s="13" t="str">
        <f aca="false">IF(C93="","",MAX(B93+0,L93+0))</f>
        <v/>
      </c>
      <c r="S93" s="0" t="str">
        <f aca="true">IF(C93="","",IF(OR(K93="Approved",K93="Rejected",K93="Void"),"",TODAY()-R93))</f>
        <v/>
      </c>
    </row>
    <row r="94" customFormat="false" ht="15" hidden="false" customHeight="false" outlineLevel="0" collapsed="false">
      <c r="O94" s="0" t="str">
        <f aca="false">IF(C94="","",SUMIFS($N$2:N94,$C$2:C94,C94,$K$2:K94,"Approved"))</f>
        <v/>
      </c>
      <c r="R94" s="13" t="str">
        <f aca="false">IF(C94="","",MAX(B94+0,L94+0))</f>
        <v/>
      </c>
      <c r="S94" s="0" t="str">
        <f aca="true">IF(C94="","",IF(OR(K94="Approved",K94="Rejected",K94="Void"),"",TODAY()-R94))</f>
        <v/>
      </c>
    </row>
    <row r="95" customFormat="false" ht="15" hidden="false" customHeight="false" outlineLevel="0" collapsed="false">
      <c r="O95" s="0" t="str">
        <f aca="false">IF(C95="","",SUMIFS($N$2:N95,$C$2:C95,C95,$K$2:K95,"Approved"))</f>
        <v/>
      </c>
      <c r="R95" s="13" t="str">
        <f aca="false">IF(C95="","",MAX(B95+0,L95+0))</f>
        <v/>
      </c>
      <c r="S95" s="0" t="str">
        <f aca="true">IF(C95="","",IF(OR(K95="Approved",K95="Rejected",K95="Void"),"",TODAY()-R95))</f>
        <v/>
      </c>
    </row>
    <row r="96" customFormat="false" ht="15" hidden="false" customHeight="false" outlineLevel="0" collapsed="false">
      <c r="O96" s="0" t="str">
        <f aca="false">IF(C96="","",SUMIFS($N$2:N96,$C$2:C96,C96,$K$2:K96,"Approved"))</f>
        <v/>
      </c>
      <c r="R96" s="13" t="str">
        <f aca="false">IF(C96="","",MAX(B96+0,L96+0))</f>
        <v/>
      </c>
      <c r="S96" s="0" t="str">
        <f aca="true">IF(C96="","",IF(OR(K96="Approved",K96="Rejected",K96="Void"),"",TODAY()-R96))</f>
        <v/>
      </c>
    </row>
    <row r="97" customFormat="false" ht="15" hidden="false" customHeight="false" outlineLevel="0" collapsed="false">
      <c r="O97" s="0" t="str">
        <f aca="false">IF(C97="","",SUMIFS($N$2:N97,$C$2:C97,C97,$K$2:K97,"Approved"))</f>
        <v/>
      </c>
      <c r="R97" s="13" t="str">
        <f aca="false">IF(C97="","",MAX(B97+0,L97+0))</f>
        <v/>
      </c>
      <c r="S97" s="0" t="str">
        <f aca="true">IF(C97="","",IF(OR(K97="Approved",K97="Rejected",K97="Void"),"",TODAY()-R97))</f>
        <v/>
      </c>
    </row>
    <row r="98" customFormat="false" ht="15" hidden="false" customHeight="false" outlineLevel="0" collapsed="false">
      <c r="O98" s="0" t="str">
        <f aca="false">IF(C98="","",SUMIFS($N$2:N98,$C$2:C98,C98,$K$2:K98,"Approved"))</f>
        <v/>
      </c>
      <c r="R98" s="13" t="str">
        <f aca="false">IF(C98="","",MAX(B98+0,L98+0))</f>
        <v/>
      </c>
      <c r="S98" s="0" t="str">
        <f aca="true">IF(C98="","",IF(OR(K98="Approved",K98="Rejected",K98="Void"),"",TODAY()-R98))</f>
        <v/>
      </c>
    </row>
    <row r="99" customFormat="false" ht="15" hidden="false" customHeight="false" outlineLevel="0" collapsed="false">
      <c r="O99" s="0" t="str">
        <f aca="false">IF(C99="","",SUMIFS($N$2:N99,$C$2:C99,C99,$K$2:K99,"Approved"))</f>
        <v/>
      </c>
      <c r="R99" s="13" t="str">
        <f aca="false">IF(C99="","",MAX(B99+0,L99+0))</f>
        <v/>
      </c>
      <c r="S99" s="0" t="str">
        <f aca="true">IF(C99="","",IF(OR(K99="Approved",K99="Rejected",K99="Void"),"",TODAY()-R99))</f>
        <v/>
      </c>
    </row>
    <row r="100" customFormat="false" ht="15" hidden="false" customHeight="false" outlineLevel="0" collapsed="false">
      <c r="O100" s="0" t="str">
        <f aca="false">IF(C100="","",SUMIFS($N$2:N100,$C$2:C100,C100,$K$2:K100,"Approved"))</f>
        <v/>
      </c>
      <c r="R100" s="13" t="str">
        <f aca="false">IF(C100="","",MAX(B100+0,L100+0))</f>
        <v/>
      </c>
      <c r="S100" s="0" t="str">
        <f aca="true">IF(C100="","",IF(OR(K100="Approved",K100="Rejected",K100="Void"),"",TODAY()-R100))</f>
        <v/>
      </c>
    </row>
    <row r="101" customFormat="false" ht="15" hidden="false" customHeight="false" outlineLevel="0" collapsed="false">
      <c r="O101" s="0" t="str">
        <f aca="false">IF(C101="","",SUMIFS($N$2:N101,$C$2:C101,C101,$K$2:K101,"Approved"))</f>
        <v/>
      </c>
      <c r="R101" s="13" t="str">
        <f aca="false">IF(C101="","",MAX(B101+0,L101+0))</f>
        <v/>
      </c>
      <c r="S101" s="0" t="str">
        <f aca="true">IF(C101="","",IF(OR(K101="Approved",K101="Rejected",K101="Void"),"",TODAY()-R101))</f>
        <v/>
      </c>
    </row>
    <row r="102" customFormat="false" ht="15" hidden="false" customHeight="false" outlineLevel="0" collapsed="false">
      <c r="O102" s="0" t="str">
        <f aca="false">IF(C102="","",SUMIFS($N$2:N102,$C$2:C102,C102,$K$2:K102,"Approved"))</f>
        <v/>
      </c>
      <c r="R102" s="13" t="str">
        <f aca="false">IF(C102="","",MAX(B102+0,L102+0))</f>
        <v/>
      </c>
      <c r="S102" s="0" t="str">
        <f aca="true">IF(C102="","",IF(OR(K102="Approved",K102="Rejected",K102="Void"),"",TODAY()-R102))</f>
        <v/>
      </c>
    </row>
    <row r="103" customFormat="false" ht="15" hidden="false" customHeight="false" outlineLevel="0" collapsed="false">
      <c r="O103" s="0" t="str">
        <f aca="false">IF(C103="","",SUMIFS($N$2:N103,$C$2:C103,C103,$K$2:K103,"Approved"))</f>
        <v/>
      </c>
      <c r="R103" s="13" t="str">
        <f aca="false">IF(C103="","",MAX(B103+0,L103+0))</f>
        <v/>
      </c>
      <c r="S103" s="0" t="str">
        <f aca="true">IF(C103="","",IF(OR(K103="Approved",K103="Rejected",K103="Void"),"",TODAY()-R103))</f>
        <v/>
      </c>
    </row>
    <row r="104" customFormat="false" ht="15" hidden="false" customHeight="false" outlineLevel="0" collapsed="false">
      <c r="O104" s="0" t="str">
        <f aca="false">IF(C104="","",SUMIFS($N$2:N104,$C$2:C104,C104,$K$2:K104,"Approved"))</f>
        <v/>
      </c>
      <c r="R104" s="13" t="str">
        <f aca="false">IF(C104="","",MAX(B104+0,L104+0))</f>
        <v/>
      </c>
      <c r="S104" s="0" t="str">
        <f aca="true">IF(C104="","",IF(OR(K104="Approved",K104="Rejected",K104="Void"),"",TODAY()-R104))</f>
        <v/>
      </c>
    </row>
    <row r="105" customFormat="false" ht="15" hidden="false" customHeight="false" outlineLevel="0" collapsed="false">
      <c r="O105" s="0" t="str">
        <f aca="false">IF(C105="","",SUMIFS($N$2:N105,$C$2:C105,C105,$K$2:K105,"Approved"))</f>
        <v/>
      </c>
      <c r="R105" s="13" t="str">
        <f aca="false">IF(C105="","",MAX(B105+0,L105+0))</f>
        <v/>
      </c>
      <c r="S105" s="0" t="str">
        <f aca="true">IF(C105="","",IF(OR(K105="Approved",K105="Rejected",K105="Void"),"",TODAY()-R105))</f>
        <v/>
      </c>
    </row>
    <row r="106" customFormat="false" ht="15" hidden="false" customHeight="false" outlineLevel="0" collapsed="false">
      <c r="O106" s="0" t="str">
        <f aca="false">IF(C106="","",SUMIFS($N$2:N106,$C$2:C106,C106,$K$2:K106,"Approved"))</f>
        <v/>
      </c>
      <c r="R106" s="13" t="str">
        <f aca="false">IF(C106="","",MAX(B106+0,L106+0))</f>
        <v/>
      </c>
      <c r="S106" s="0" t="str">
        <f aca="true">IF(C106="","",IF(OR(K106="Approved",K106="Rejected",K106="Void"),"",TODAY()-R106))</f>
        <v/>
      </c>
    </row>
    <row r="107" customFormat="false" ht="15" hidden="false" customHeight="false" outlineLevel="0" collapsed="false">
      <c r="O107" s="0" t="str">
        <f aca="false">IF(C107="","",SUMIFS($N$2:N107,$C$2:C107,C107,$K$2:K107,"Approved"))</f>
        <v/>
      </c>
      <c r="R107" s="13" t="str">
        <f aca="false">IF(C107="","",MAX(B107+0,L107+0))</f>
        <v/>
      </c>
      <c r="S107" s="0" t="str">
        <f aca="true">IF(C107="","",IF(OR(K107="Approved",K107="Rejected",K107="Void"),"",TODAY()-R107))</f>
        <v/>
      </c>
    </row>
    <row r="108" customFormat="false" ht="15" hidden="false" customHeight="false" outlineLevel="0" collapsed="false">
      <c r="O108" s="0" t="str">
        <f aca="false">IF(C108="","",SUMIFS($N$2:N108,$C$2:C108,C108,$K$2:K108,"Approved"))</f>
        <v/>
      </c>
      <c r="R108" s="13" t="str">
        <f aca="false">IF(C108="","",MAX(B108+0,L108+0))</f>
        <v/>
      </c>
      <c r="S108" s="0" t="str">
        <f aca="true">IF(C108="","",IF(OR(K108="Approved",K108="Rejected",K108="Void"),"",TODAY()-R108))</f>
        <v/>
      </c>
    </row>
    <row r="109" customFormat="false" ht="15" hidden="false" customHeight="false" outlineLevel="0" collapsed="false">
      <c r="O109" s="0" t="str">
        <f aca="false">IF(C109="","",SUMIFS($N$2:N109,$C$2:C109,C109,$K$2:K109,"Approved"))</f>
        <v/>
      </c>
      <c r="R109" s="13" t="str">
        <f aca="false">IF(C109="","",MAX(B109+0,L109+0))</f>
        <v/>
      </c>
      <c r="S109" s="0" t="str">
        <f aca="true">IF(C109="","",IF(OR(K109="Approved",K109="Rejected",K109="Void"),"",TODAY()-R109))</f>
        <v/>
      </c>
    </row>
    <row r="110" customFormat="false" ht="15" hidden="false" customHeight="false" outlineLevel="0" collapsed="false">
      <c r="O110" s="0" t="str">
        <f aca="false">IF(C110="","",SUMIFS($N$2:N110,$C$2:C110,C110,$K$2:K110,"Approved"))</f>
        <v/>
      </c>
      <c r="R110" s="13" t="str">
        <f aca="false">IF(C110="","",MAX(B110+0,L110+0))</f>
        <v/>
      </c>
      <c r="S110" s="0" t="str">
        <f aca="true">IF(C110="","",IF(OR(K110="Approved",K110="Rejected",K110="Void"),"",TODAY()-R110))</f>
        <v/>
      </c>
    </row>
    <row r="111" customFormat="false" ht="15" hidden="false" customHeight="false" outlineLevel="0" collapsed="false">
      <c r="O111" s="0" t="str">
        <f aca="false">IF(C111="","",SUMIFS($N$2:N111,$C$2:C111,C111,$K$2:K111,"Approved"))</f>
        <v/>
      </c>
      <c r="R111" s="13" t="str">
        <f aca="false">IF(C111="","",MAX(B111+0,L111+0))</f>
        <v/>
      </c>
      <c r="S111" s="0" t="str">
        <f aca="true">IF(C111="","",IF(OR(K111="Approved",K111="Rejected",K111="Void"),"",TODAY()-R111))</f>
        <v/>
      </c>
    </row>
    <row r="112" customFormat="false" ht="15" hidden="false" customHeight="false" outlineLevel="0" collapsed="false">
      <c r="O112" s="0" t="str">
        <f aca="false">IF(C112="","",SUMIFS($N$2:N112,$C$2:C112,C112,$K$2:K112,"Approved"))</f>
        <v/>
      </c>
      <c r="R112" s="13" t="str">
        <f aca="false">IF(C112="","",MAX(B112+0,L112+0))</f>
        <v/>
      </c>
      <c r="S112" s="0" t="str">
        <f aca="true">IF(C112="","",IF(OR(K112="Approved",K112="Rejected",K112="Void"),"",TODAY()-R112))</f>
        <v/>
      </c>
    </row>
    <row r="113" customFormat="false" ht="15" hidden="false" customHeight="false" outlineLevel="0" collapsed="false">
      <c r="O113" s="0" t="str">
        <f aca="false">IF(C113="","",SUMIFS($N$2:N113,$C$2:C113,C113,$K$2:K113,"Approved"))</f>
        <v/>
      </c>
      <c r="R113" s="13" t="str">
        <f aca="false">IF(C113="","",MAX(B113+0,L113+0))</f>
        <v/>
      </c>
      <c r="S113" s="0" t="str">
        <f aca="true">IF(C113="","",IF(OR(K113="Approved",K113="Rejected",K113="Void"),"",TODAY()-R113))</f>
        <v/>
      </c>
    </row>
    <row r="114" customFormat="false" ht="15" hidden="false" customHeight="false" outlineLevel="0" collapsed="false">
      <c r="O114" s="0" t="str">
        <f aca="false">IF(C114="","",SUMIFS($N$2:N114,$C$2:C114,C114,$K$2:K114,"Approved"))</f>
        <v/>
      </c>
      <c r="R114" s="13" t="str">
        <f aca="false">IF(C114="","",MAX(B114+0,L114+0))</f>
        <v/>
      </c>
      <c r="S114" s="0" t="str">
        <f aca="true">IF(C114="","",IF(OR(K114="Approved",K114="Rejected",K114="Void"),"",TODAY()-R114))</f>
        <v/>
      </c>
    </row>
    <row r="115" customFormat="false" ht="15" hidden="false" customHeight="false" outlineLevel="0" collapsed="false">
      <c r="O115" s="0" t="str">
        <f aca="false">IF(C115="","",SUMIFS($N$2:N115,$C$2:C115,C115,$K$2:K115,"Approved"))</f>
        <v/>
      </c>
      <c r="R115" s="13" t="str">
        <f aca="false">IF(C115="","",MAX(B115+0,L115+0))</f>
        <v/>
      </c>
      <c r="S115" s="0" t="str">
        <f aca="true">IF(C115="","",IF(OR(K115="Approved",K115="Rejected",K115="Void"),"",TODAY()-R115))</f>
        <v/>
      </c>
    </row>
    <row r="116" customFormat="false" ht="15" hidden="false" customHeight="false" outlineLevel="0" collapsed="false">
      <c r="O116" s="0" t="str">
        <f aca="false">IF(C116="","",SUMIFS($N$2:N116,$C$2:C116,C116,$K$2:K116,"Approved"))</f>
        <v/>
      </c>
      <c r="R116" s="13" t="str">
        <f aca="false">IF(C116="","",MAX(B116+0,L116+0))</f>
        <v/>
      </c>
      <c r="S116" s="0" t="str">
        <f aca="true">IF(C116="","",IF(OR(K116="Approved",K116="Rejected",K116="Void"),"",TODAY()-R116))</f>
        <v/>
      </c>
    </row>
    <row r="117" customFormat="false" ht="15" hidden="false" customHeight="false" outlineLevel="0" collapsed="false">
      <c r="O117" s="0" t="str">
        <f aca="false">IF(C117="","",SUMIFS($N$2:N117,$C$2:C117,C117,$K$2:K117,"Approved"))</f>
        <v/>
      </c>
      <c r="R117" s="13" t="str">
        <f aca="false">IF(C117="","",MAX(B117+0,L117+0))</f>
        <v/>
      </c>
      <c r="S117" s="0" t="str">
        <f aca="true">IF(C117="","",IF(OR(K117="Approved",K117="Rejected",K117="Void"),"",TODAY()-R117))</f>
        <v/>
      </c>
    </row>
    <row r="118" customFormat="false" ht="15" hidden="false" customHeight="false" outlineLevel="0" collapsed="false">
      <c r="O118" s="0" t="str">
        <f aca="false">IF(C118="","",SUMIFS($N$2:N118,$C$2:C118,C118,$K$2:K118,"Approved"))</f>
        <v/>
      </c>
      <c r="R118" s="13" t="str">
        <f aca="false">IF(C118="","",MAX(B118+0,L118+0))</f>
        <v/>
      </c>
      <c r="S118" s="0" t="str">
        <f aca="true">IF(C118="","",IF(OR(K118="Approved",K118="Rejected",K118="Void"),"",TODAY()-R118))</f>
        <v/>
      </c>
    </row>
    <row r="119" customFormat="false" ht="15" hidden="false" customHeight="false" outlineLevel="0" collapsed="false">
      <c r="O119" s="0" t="str">
        <f aca="false">IF(C119="","",SUMIFS($N$2:N119,$C$2:C119,C119,$K$2:K119,"Approved"))</f>
        <v/>
      </c>
      <c r="R119" s="13" t="str">
        <f aca="false">IF(C119="","",MAX(B119+0,L119+0))</f>
        <v/>
      </c>
      <c r="S119" s="0" t="str">
        <f aca="true">IF(C119="","",IF(OR(K119="Approved",K119="Rejected",K119="Void"),"",TODAY()-R119))</f>
        <v/>
      </c>
    </row>
    <row r="120" customFormat="false" ht="15" hidden="false" customHeight="false" outlineLevel="0" collapsed="false">
      <c r="O120" s="0" t="str">
        <f aca="false">IF(C120="","",SUMIFS($N$2:N120,$C$2:C120,C120,$K$2:K120,"Approved"))</f>
        <v/>
      </c>
      <c r="R120" s="13" t="str">
        <f aca="false">IF(C120="","",MAX(B120+0,L120+0))</f>
        <v/>
      </c>
      <c r="S120" s="0" t="str">
        <f aca="true">IF(C120="","",IF(OR(K120="Approved",K120="Rejected",K120="Void"),"",TODAY()-R120))</f>
        <v/>
      </c>
    </row>
    <row r="121" customFormat="false" ht="15" hidden="false" customHeight="false" outlineLevel="0" collapsed="false">
      <c r="O121" s="0" t="str">
        <f aca="false">IF(C121="","",SUMIFS($N$2:N121,$C$2:C121,C121,$K$2:K121,"Approved"))</f>
        <v/>
      </c>
      <c r="R121" s="13" t="str">
        <f aca="false">IF(C121="","",MAX(B121+0,L121+0))</f>
        <v/>
      </c>
      <c r="S121" s="0" t="str">
        <f aca="true">IF(C121="","",IF(OR(K121="Approved",K121="Rejected",K121="Void"),"",TODAY()-R121))</f>
        <v/>
      </c>
    </row>
    <row r="122" customFormat="false" ht="15" hidden="false" customHeight="false" outlineLevel="0" collapsed="false">
      <c r="O122" s="0" t="str">
        <f aca="false">IF(C122="","",SUMIFS($N$2:N122,$C$2:C122,C122,$K$2:K122,"Approved"))</f>
        <v/>
      </c>
      <c r="R122" s="13" t="str">
        <f aca="false">IF(C122="","",MAX(B122+0,L122+0))</f>
        <v/>
      </c>
      <c r="S122" s="0" t="str">
        <f aca="true">IF(C122="","",IF(OR(K122="Approved",K122="Rejected",K122="Void"),"",TODAY()-R122))</f>
        <v/>
      </c>
    </row>
    <row r="123" customFormat="false" ht="15" hidden="false" customHeight="false" outlineLevel="0" collapsed="false">
      <c r="O123" s="0" t="str">
        <f aca="false">IF(C123="","",SUMIFS($N$2:N123,$C$2:C123,C123,$K$2:K123,"Approved"))</f>
        <v/>
      </c>
      <c r="R123" s="13" t="str">
        <f aca="false">IF(C123="","",MAX(B123+0,L123+0))</f>
        <v/>
      </c>
      <c r="S123" s="0" t="str">
        <f aca="true">IF(C123="","",IF(OR(K123="Approved",K123="Rejected",K123="Void"),"",TODAY()-R123))</f>
        <v/>
      </c>
    </row>
    <row r="124" customFormat="false" ht="15" hidden="false" customHeight="false" outlineLevel="0" collapsed="false">
      <c r="O124" s="0" t="str">
        <f aca="false">IF(C124="","",SUMIFS($N$2:N124,$C$2:C124,C124,$K$2:K124,"Approved"))</f>
        <v/>
      </c>
      <c r="R124" s="13" t="str">
        <f aca="false">IF(C124="","",MAX(B124+0,L124+0))</f>
        <v/>
      </c>
      <c r="S124" s="0" t="str">
        <f aca="true">IF(C124="","",IF(OR(K124="Approved",K124="Rejected",K124="Void"),"",TODAY()-R124))</f>
        <v/>
      </c>
    </row>
    <row r="125" customFormat="false" ht="15" hidden="false" customHeight="false" outlineLevel="0" collapsed="false">
      <c r="O125" s="0" t="str">
        <f aca="false">IF(C125="","",SUMIFS($N$2:N125,$C$2:C125,C125,$K$2:K125,"Approved"))</f>
        <v/>
      </c>
      <c r="R125" s="13" t="str">
        <f aca="false">IF(C125="","",MAX(B125+0,L125+0))</f>
        <v/>
      </c>
      <c r="S125" s="0" t="str">
        <f aca="true">IF(C125="","",IF(OR(K125="Approved",K125="Rejected",K125="Void"),"",TODAY()-R125))</f>
        <v/>
      </c>
    </row>
    <row r="126" customFormat="false" ht="15" hidden="false" customHeight="false" outlineLevel="0" collapsed="false">
      <c r="O126" s="0" t="str">
        <f aca="false">IF(C126="","",SUMIFS($N$2:N126,$C$2:C126,C126,$K$2:K126,"Approved"))</f>
        <v/>
      </c>
      <c r="R126" s="13" t="str">
        <f aca="false">IF(C126="","",MAX(B126+0,L126+0))</f>
        <v/>
      </c>
      <c r="S126" s="0" t="str">
        <f aca="true">IF(C126="","",IF(OR(K126="Approved",K126="Rejected",K126="Void"),"",TODAY()-R126))</f>
        <v/>
      </c>
    </row>
    <row r="127" customFormat="false" ht="15" hidden="false" customHeight="false" outlineLevel="0" collapsed="false">
      <c r="O127" s="0" t="str">
        <f aca="false">IF(C127="","",SUMIFS($N$2:N127,$C$2:C127,C127,$K$2:K127,"Approved"))</f>
        <v/>
      </c>
      <c r="R127" s="13" t="str">
        <f aca="false">IF(C127="","",MAX(B127+0,L127+0))</f>
        <v/>
      </c>
      <c r="S127" s="0" t="str">
        <f aca="true">IF(C127="","",IF(OR(K127="Approved",K127="Rejected",K127="Void"),"",TODAY()-R127))</f>
        <v/>
      </c>
    </row>
    <row r="128" customFormat="false" ht="15" hidden="false" customHeight="false" outlineLevel="0" collapsed="false">
      <c r="O128" s="0" t="str">
        <f aca="false">IF(C128="","",SUMIFS($N$2:N128,$C$2:C128,C128,$K$2:K128,"Approved"))</f>
        <v/>
      </c>
      <c r="R128" s="13" t="str">
        <f aca="false">IF(C128="","",MAX(B128+0,L128+0))</f>
        <v/>
      </c>
      <c r="S128" s="0" t="str">
        <f aca="true">IF(C128="","",IF(OR(K128="Approved",K128="Rejected",K128="Void"),"",TODAY()-R128))</f>
        <v/>
      </c>
    </row>
    <row r="129" customFormat="false" ht="15" hidden="false" customHeight="false" outlineLevel="0" collapsed="false">
      <c r="O129" s="0" t="str">
        <f aca="false">IF(C129="","",SUMIFS($N$2:N129,$C$2:C129,C129,$K$2:K129,"Approved"))</f>
        <v/>
      </c>
      <c r="R129" s="13" t="str">
        <f aca="false">IF(C129="","",MAX(B129+0,L129+0))</f>
        <v/>
      </c>
      <c r="S129" s="0" t="str">
        <f aca="true">IF(C129="","",IF(OR(K129="Approved",K129="Rejected",K129="Void"),"",TODAY()-R129))</f>
        <v/>
      </c>
    </row>
    <row r="130" customFormat="false" ht="15" hidden="false" customHeight="false" outlineLevel="0" collapsed="false">
      <c r="O130" s="0" t="str">
        <f aca="false">IF(C130="","",SUMIFS($N$2:N130,$C$2:C130,C130,$K$2:K130,"Approved"))</f>
        <v/>
      </c>
      <c r="R130" s="13" t="str">
        <f aca="false">IF(C130="","",MAX(B130+0,L130+0))</f>
        <v/>
      </c>
      <c r="S130" s="0" t="str">
        <f aca="true">IF(C130="","",IF(OR(K130="Approved",K130="Rejected",K130="Void"),"",TODAY()-R130))</f>
        <v/>
      </c>
    </row>
    <row r="131" customFormat="false" ht="15" hidden="false" customHeight="false" outlineLevel="0" collapsed="false">
      <c r="O131" s="0" t="str">
        <f aca="false">IF(C131="","",SUMIFS($N$2:N131,$C$2:C131,C131,$K$2:K131,"Approved"))</f>
        <v/>
      </c>
      <c r="R131" s="13" t="str">
        <f aca="false">IF(C131="","",MAX(B131+0,L131+0))</f>
        <v/>
      </c>
      <c r="S131" s="0" t="str">
        <f aca="true">IF(C131="","",IF(OR(K131="Approved",K131="Rejected",K131="Void"),"",TODAY()-R131))</f>
        <v/>
      </c>
    </row>
    <row r="132" customFormat="false" ht="15" hidden="false" customHeight="false" outlineLevel="0" collapsed="false">
      <c r="O132" s="0" t="str">
        <f aca="false">IF(C132="","",SUMIFS($N$2:N132,$C$2:C132,C132,$K$2:K132,"Approved"))</f>
        <v/>
      </c>
      <c r="R132" s="13" t="str">
        <f aca="false">IF(C132="","",MAX(B132+0,L132+0))</f>
        <v/>
      </c>
      <c r="S132" s="0" t="str">
        <f aca="true">IF(C132="","",IF(OR(K132="Approved",K132="Rejected",K132="Void"),"",TODAY()-R132))</f>
        <v/>
      </c>
    </row>
    <row r="133" customFormat="false" ht="15" hidden="false" customHeight="false" outlineLevel="0" collapsed="false">
      <c r="O133" s="0" t="str">
        <f aca="false">IF(C133="","",SUMIFS($N$2:N133,$C$2:C133,C133,$K$2:K133,"Approved"))</f>
        <v/>
      </c>
      <c r="R133" s="13" t="str">
        <f aca="false">IF(C133="","",MAX(B133+0,L133+0))</f>
        <v/>
      </c>
      <c r="S133" s="0" t="str">
        <f aca="true">IF(C133="","",IF(OR(K133="Approved",K133="Rejected",K133="Void"),"",TODAY()-R133))</f>
        <v/>
      </c>
    </row>
    <row r="134" customFormat="false" ht="15" hidden="false" customHeight="false" outlineLevel="0" collapsed="false">
      <c r="O134" s="0" t="str">
        <f aca="false">IF(C134="","",SUMIFS($N$2:N134,$C$2:C134,C134,$K$2:K134,"Approved"))</f>
        <v/>
      </c>
      <c r="R134" s="13" t="str">
        <f aca="false">IF(C134="","",MAX(B134+0,L134+0))</f>
        <v/>
      </c>
      <c r="S134" s="0" t="str">
        <f aca="true">IF(C134="","",IF(OR(K134="Approved",K134="Rejected",K134="Void"),"",TODAY()-R134))</f>
        <v/>
      </c>
    </row>
    <row r="135" customFormat="false" ht="15" hidden="false" customHeight="false" outlineLevel="0" collapsed="false">
      <c r="O135" s="0" t="str">
        <f aca="false">IF(C135="","",SUMIFS($N$2:N135,$C$2:C135,C135,$K$2:K135,"Approved"))</f>
        <v/>
      </c>
      <c r="R135" s="13" t="str">
        <f aca="false">IF(C135="","",MAX(B135+0,L135+0))</f>
        <v/>
      </c>
      <c r="S135" s="0" t="str">
        <f aca="true">IF(C135="","",IF(OR(K135="Approved",K135="Rejected",K135="Void"),"",TODAY()-R135))</f>
        <v/>
      </c>
    </row>
    <row r="136" customFormat="false" ht="15" hidden="false" customHeight="false" outlineLevel="0" collapsed="false">
      <c r="O136" s="0" t="str">
        <f aca="false">IF(C136="","",SUMIFS($N$2:N136,$C$2:C136,C136,$K$2:K136,"Approved"))</f>
        <v/>
      </c>
      <c r="R136" s="13" t="str">
        <f aca="false">IF(C136="","",MAX(B136+0,L136+0))</f>
        <v/>
      </c>
      <c r="S136" s="0" t="str">
        <f aca="true">IF(C136="","",IF(OR(K136="Approved",K136="Rejected",K136="Void"),"",TODAY()-R136))</f>
        <v/>
      </c>
    </row>
    <row r="137" customFormat="false" ht="15" hidden="false" customHeight="false" outlineLevel="0" collapsed="false">
      <c r="O137" s="0" t="str">
        <f aca="false">IF(C137="","",SUMIFS($N$2:N137,$C$2:C137,C137,$K$2:K137,"Approved"))</f>
        <v/>
      </c>
      <c r="R137" s="13" t="str">
        <f aca="false">IF(C137="","",MAX(B137+0,L137+0))</f>
        <v/>
      </c>
      <c r="S137" s="0" t="str">
        <f aca="true">IF(C137="","",IF(OR(K137="Approved",K137="Rejected",K137="Void"),"",TODAY()-R137))</f>
        <v/>
      </c>
    </row>
    <row r="138" customFormat="false" ht="15" hidden="false" customHeight="false" outlineLevel="0" collapsed="false">
      <c r="O138" s="0" t="str">
        <f aca="false">IF(C138="","",SUMIFS($N$2:N138,$C$2:C138,C138,$K$2:K138,"Approved"))</f>
        <v/>
      </c>
      <c r="R138" s="13" t="str">
        <f aca="false">IF(C138="","",MAX(B138+0,L138+0))</f>
        <v/>
      </c>
      <c r="S138" s="0" t="str">
        <f aca="true">IF(C138="","",IF(OR(K138="Approved",K138="Rejected",K138="Void"),"",TODAY()-R138))</f>
        <v/>
      </c>
    </row>
    <row r="139" customFormat="false" ht="15" hidden="false" customHeight="false" outlineLevel="0" collapsed="false">
      <c r="O139" s="0" t="str">
        <f aca="false">IF(C139="","",SUMIFS($N$2:N139,$C$2:C139,C139,$K$2:K139,"Approved"))</f>
        <v/>
      </c>
      <c r="R139" s="13" t="str">
        <f aca="false">IF(C139="","",MAX(B139+0,L139+0))</f>
        <v/>
      </c>
      <c r="S139" s="0" t="str">
        <f aca="true">IF(C139="","",IF(OR(K139="Approved",K139="Rejected",K139="Void"),"",TODAY()-R139))</f>
        <v/>
      </c>
    </row>
    <row r="140" customFormat="false" ht="15" hidden="false" customHeight="false" outlineLevel="0" collapsed="false">
      <c r="O140" s="0" t="str">
        <f aca="false">IF(C140="","",SUMIFS($N$2:N140,$C$2:C140,C140,$K$2:K140,"Approved"))</f>
        <v/>
      </c>
      <c r="R140" s="13" t="str">
        <f aca="false">IF(C140="","",MAX(B140+0,L140+0))</f>
        <v/>
      </c>
      <c r="S140" s="0" t="str">
        <f aca="true">IF(C140="","",IF(OR(K140="Approved",K140="Rejected",K140="Void"),"",TODAY()-R140))</f>
        <v/>
      </c>
    </row>
    <row r="141" customFormat="false" ht="15" hidden="false" customHeight="false" outlineLevel="0" collapsed="false">
      <c r="O141" s="0" t="str">
        <f aca="false">IF(C141="","",SUMIFS($N$2:N141,$C$2:C141,C141,$K$2:K141,"Approved"))</f>
        <v/>
      </c>
      <c r="R141" s="13" t="str">
        <f aca="false">IF(C141="","",MAX(B141+0,L141+0))</f>
        <v/>
      </c>
      <c r="S141" s="0" t="str">
        <f aca="true">IF(C141="","",IF(OR(K141="Approved",K141="Rejected",K141="Void"),"",TODAY()-R141))</f>
        <v/>
      </c>
    </row>
    <row r="142" customFormat="false" ht="15" hidden="false" customHeight="false" outlineLevel="0" collapsed="false">
      <c r="O142" s="0" t="str">
        <f aca="false">IF(C142="","",SUMIFS($N$2:N142,$C$2:C142,C142,$K$2:K142,"Approved"))</f>
        <v/>
      </c>
      <c r="R142" s="13" t="str">
        <f aca="false">IF(C142="","",MAX(B142+0,L142+0))</f>
        <v/>
      </c>
      <c r="S142" s="0" t="str">
        <f aca="true">IF(C142="","",IF(OR(K142="Approved",K142="Rejected",K142="Void"),"",TODAY()-R142))</f>
        <v/>
      </c>
    </row>
    <row r="143" customFormat="false" ht="15" hidden="false" customHeight="false" outlineLevel="0" collapsed="false">
      <c r="O143" s="0" t="str">
        <f aca="false">IF(C143="","",SUMIFS($N$2:N143,$C$2:C143,C143,$K$2:K143,"Approved"))</f>
        <v/>
      </c>
      <c r="R143" s="13" t="str">
        <f aca="false">IF(C143="","",MAX(B143+0,L143+0))</f>
        <v/>
      </c>
      <c r="S143" s="0" t="str">
        <f aca="true">IF(C143="","",IF(OR(K143="Approved",K143="Rejected",K143="Void"),"",TODAY()-R143))</f>
        <v/>
      </c>
    </row>
    <row r="144" customFormat="false" ht="15" hidden="false" customHeight="false" outlineLevel="0" collapsed="false">
      <c r="O144" s="0" t="str">
        <f aca="false">IF(C144="","",SUMIFS($N$2:N144,$C$2:C144,C144,$K$2:K144,"Approved"))</f>
        <v/>
      </c>
      <c r="R144" s="13" t="str">
        <f aca="false">IF(C144="","",MAX(B144+0,L144+0))</f>
        <v/>
      </c>
      <c r="S144" s="0" t="str">
        <f aca="true">IF(C144="","",IF(OR(K144="Approved",K144="Rejected",K144="Void"),"",TODAY()-R144))</f>
        <v/>
      </c>
    </row>
    <row r="145" customFormat="false" ht="15" hidden="false" customHeight="false" outlineLevel="0" collapsed="false">
      <c r="O145" s="0" t="str">
        <f aca="false">IF(C145="","",SUMIFS($N$2:N145,$C$2:C145,C145,$K$2:K145,"Approved"))</f>
        <v/>
      </c>
      <c r="R145" s="13" t="str">
        <f aca="false">IF(C145="","",MAX(B145+0,L145+0))</f>
        <v/>
      </c>
      <c r="S145" s="0" t="str">
        <f aca="true">IF(C145="","",IF(OR(K145="Approved",K145="Rejected",K145="Void"),"",TODAY()-R145))</f>
        <v/>
      </c>
    </row>
    <row r="146" customFormat="false" ht="15" hidden="false" customHeight="false" outlineLevel="0" collapsed="false">
      <c r="O146" s="0" t="str">
        <f aca="false">IF(C146="","",SUMIFS($N$2:N146,$C$2:C146,C146,$K$2:K146,"Approved"))</f>
        <v/>
      </c>
      <c r="R146" s="13" t="str">
        <f aca="false">IF(C146="","",MAX(B146+0,L146+0))</f>
        <v/>
      </c>
      <c r="S146" s="0" t="str">
        <f aca="true">IF(C146="","",IF(OR(K146="Approved",K146="Rejected",K146="Void"),"",TODAY()-R146))</f>
        <v/>
      </c>
    </row>
    <row r="147" customFormat="false" ht="15" hidden="false" customHeight="false" outlineLevel="0" collapsed="false">
      <c r="O147" s="0" t="str">
        <f aca="false">IF(C147="","",SUMIFS($N$2:N147,$C$2:C147,C147,$K$2:K147,"Approved"))</f>
        <v/>
      </c>
      <c r="R147" s="13" t="str">
        <f aca="false">IF(C147="","",MAX(B147+0,L147+0))</f>
        <v/>
      </c>
      <c r="S147" s="0" t="str">
        <f aca="true">IF(C147="","",IF(OR(K147="Approved",K147="Rejected",K147="Void"),"",TODAY()-R147))</f>
        <v/>
      </c>
    </row>
    <row r="148" customFormat="false" ht="15" hidden="false" customHeight="false" outlineLevel="0" collapsed="false">
      <c r="O148" s="0" t="str">
        <f aca="false">IF(C148="","",SUMIFS($N$2:N148,$C$2:C148,C148,$K$2:K148,"Approved"))</f>
        <v/>
      </c>
      <c r="R148" s="13" t="str">
        <f aca="false">IF(C148="","",MAX(B148+0,L148+0))</f>
        <v/>
      </c>
      <c r="S148" s="0" t="str">
        <f aca="true">IF(C148="","",IF(OR(K148="Approved",K148="Rejected",K148="Void"),"",TODAY()-R148))</f>
        <v/>
      </c>
    </row>
    <row r="149" customFormat="false" ht="15" hidden="false" customHeight="false" outlineLevel="0" collapsed="false">
      <c r="O149" s="0" t="str">
        <f aca="false">IF(C149="","",SUMIFS($N$2:N149,$C$2:C149,C149,$K$2:K149,"Approved"))</f>
        <v/>
      </c>
      <c r="R149" s="13" t="str">
        <f aca="false">IF(C149="","",MAX(B149+0,L149+0))</f>
        <v/>
      </c>
      <c r="S149" s="0" t="str">
        <f aca="true">IF(C149="","",IF(OR(K149="Approved",K149="Rejected",K149="Void"),"",TODAY()-R149))</f>
        <v/>
      </c>
    </row>
    <row r="150" customFormat="false" ht="15" hidden="false" customHeight="false" outlineLevel="0" collapsed="false">
      <c r="O150" s="0" t="str">
        <f aca="false">IF(C150="","",SUMIFS($N$2:N150,$C$2:C150,C150,$K$2:K150,"Approved"))</f>
        <v/>
      </c>
      <c r="R150" s="13" t="str">
        <f aca="false">IF(C150="","",MAX(B150+0,L150+0))</f>
        <v/>
      </c>
      <c r="S150" s="0" t="str">
        <f aca="true">IF(C150="","",IF(OR(K150="Approved",K150="Rejected",K150="Void"),"",TODAY()-R150))</f>
        <v/>
      </c>
    </row>
    <row r="151" customFormat="false" ht="15" hidden="false" customHeight="false" outlineLevel="0" collapsed="false">
      <c r="O151" s="0" t="str">
        <f aca="false">IF(C151="","",SUMIFS($N$2:N151,$C$2:C151,C151,$K$2:K151,"Approved"))</f>
        <v/>
      </c>
      <c r="R151" s="13" t="str">
        <f aca="false">IF(C151="","",MAX(B151+0,L151+0))</f>
        <v/>
      </c>
      <c r="S151" s="0" t="str">
        <f aca="true">IF(C151="","",IF(OR(K151="Approved",K151="Rejected",K151="Void"),"",TODAY()-R151))</f>
        <v/>
      </c>
    </row>
    <row r="152" customFormat="false" ht="15" hidden="false" customHeight="false" outlineLevel="0" collapsed="false">
      <c r="O152" s="0" t="str">
        <f aca="false">IF(C152="","",SUMIFS($N$2:N152,$C$2:C152,C152,$K$2:K152,"Approved"))</f>
        <v/>
      </c>
      <c r="R152" s="13" t="str">
        <f aca="false">IF(C152="","",MAX(B152+0,L152+0))</f>
        <v/>
      </c>
      <c r="S152" s="0" t="str">
        <f aca="true">IF(C152="","",IF(OR(K152="Approved",K152="Rejected",K152="Void"),"",TODAY()-R152))</f>
        <v/>
      </c>
    </row>
    <row r="153" customFormat="false" ht="15" hidden="false" customHeight="false" outlineLevel="0" collapsed="false">
      <c r="O153" s="0" t="str">
        <f aca="false">IF(C153="","",SUMIFS($N$2:N153,$C$2:C153,C153,$K$2:K153,"Approved"))</f>
        <v/>
      </c>
      <c r="R153" s="13" t="str">
        <f aca="false">IF(C153="","",MAX(B153+0,L153+0))</f>
        <v/>
      </c>
      <c r="S153" s="0" t="str">
        <f aca="true">IF(C153="","",IF(OR(K153="Approved",K153="Rejected",K153="Void"),"",TODAY()-R153))</f>
        <v/>
      </c>
    </row>
    <row r="154" customFormat="false" ht="15" hidden="false" customHeight="false" outlineLevel="0" collapsed="false">
      <c r="O154" s="0" t="str">
        <f aca="false">IF(C154="","",SUMIFS($N$2:N154,$C$2:C154,C154,$K$2:K154,"Approved"))</f>
        <v/>
      </c>
      <c r="R154" s="13" t="str">
        <f aca="false">IF(C154="","",MAX(B154+0,L154+0))</f>
        <v/>
      </c>
      <c r="S154" s="0" t="str">
        <f aca="true">IF(C154="","",IF(OR(K154="Approved",K154="Rejected",K154="Void"),"",TODAY()-R154))</f>
        <v/>
      </c>
    </row>
    <row r="155" customFormat="false" ht="15" hidden="false" customHeight="false" outlineLevel="0" collapsed="false">
      <c r="O155" s="0" t="str">
        <f aca="false">IF(C155="","",SUMIFS($N$2:N155,$C$2:C155,C155,$K$2:K155,"Approved"))</f>
        <v/>
      </c>
      <c r="R155" s="13" t="str">
        <f aca="false">IF(C155="","",MAX(B155+0,L155+0))</f>
        <v/>
      </c>
      <c r="S155" s="0" t="str">
        <f aca="true">IF(C155="","",IF(OR(K155="Approved",K155="Rejected",K155="Void"),"",TODAY()-R155))</f>
        <v/>
      </c>
    </row>
    <row r="156" customFormat="false" ht="15" hidden="false" customHeight="false" outlineLevel="0" collapsed="false">
      <c r="O156" s="0" t="str">
        <f aca="false">IF(C156="","",SUMIFS($N$2:N156,$C$2:C156,C156,$K$2:K156,"Approved"))</f>
        <v/>
      </c>
      <c r="R156" s="13" t="str">
        <f aca="false">IF(C156="","",MAX(B156+0,L156+0))</f>
        <v/>
      </c>
      <c r="S156" s="0" t="str">
        <f aca="true">IF(C156="","",IF(OR(K156="Approved",K156="Rejected",K156="Void"),"",TODAY()-R156))</f>
        <v/>
      </c>
    </row>
    <row r="157" customFormat="false" ht="15" hidden="false" customHeight="false" outlineLevel="0" collapsed="false">
      <c r="O157" s="0" t="str">
        <f aca="false">IF(C157="","",SUMIFS($N$2:N157,$C$2:C157,C157,$K$2:K157,"Approved"))</f>
        <v/>
      </c>
      <c r="R157" s="13" t="str">
        <f aca="false">IF(C157="","",MAX(B157+0,L157+0))</f>
        <v/>
      </c>
      <c r="S157" s="0" t="str">
        <f aca="true">IF(C157="","",IF(OR(K157="Approved",K157="Rejected",K157="Void"),"",TODAY()-R157))</f>
        <v/>
      </c>
    </row>
    <row r="158" customFormat="false" ht="15" hidden="false" customHeight="false" outlineLevel="0" collapsed="false">
      <c r="O158" s="0" t="str">
        <f aca="false">IF(C158="","",SUMIFS($N$2:N158,$C$2:C158,C158,$K$2:K158,"Approved"))</f>
        <v/>
      </c>
      <c r="R158" s="13" t="str">
        <f aca="false">IF(C158="","",MAX(B158+0,L158+0))</f>
        <v/>
      </c>
      <c r="S158" s="0" t="str">
        <f aca="true">IF(C158="","",IF(OR(K158="Approved",K158="Rejected",K158="Void"),"",TODAY()-R158))</f>
        <v/>
      </c>
    </row>
    <row r="159" customFormat="false" ht="15" hidden="false" customHeight="false" outlineLevel="0" collapsed="false">
      <c r="O159" s="0" t="str">
        <f aca="false">IF(C159="","",SUMIFS($N$2:N159,$C$2:C159,C159,$K$2:K159,"Approved"))</f>
        <v/>
      </c>
      <c r="R159" s="13" t="str">
        <f aca="false">IF(C159="","",MAX(B159+0,L159+0))</f>
        <v/>
      </c>
      <c r="S159" s="0" t="str">
        <f aca="true">IF(C159="","",IF(OR(K159="Approved",K159="Rejected",K159="Void"),"",TODAY()-R159))</f>
        <v/>
      </c>
    </row>
    <row r="160" customFormat="false" ht="15" hidden="false" customHeight="false" outlineLevel="0" collapsed="false">
      <c r="O160" s="0" t="str">
        <f aca="false">IF(C160="","",SUMIFS($N$2:N160,$C$2:C160,C160,$K$2:K160,"Approved"))</f>
        <v/>
      </c>
      <c r="R160" s="13" t="str">
        <f aca="false">IF(C160="","",MAX(B160+0,L160+0))</f>
        <v/>
      </c>
      <c r="S160" s="0" t="str">
        <f aca="true">IF(C160="","",IF(OR(K160="Approved",K160="Rejected",K160="Void"),"",TODAY()-R160))</f>
        <v/>
      </c>
    </row>
    <row r="161" customFormat="false" ht="15" hidden="false" customHeight="false" outlineLevel="0" collapsed="false">
      <c r="O161" s="0" t="str">
        <f aca="false">IF(C161="","",SUMIFS($N$2:N161,$C$2:C161,C161,$K$2:K161,"Approved"))</f>
        <v/>
      </c>
      <c r="R161" s="13" t="str">
        <f aca="false">IF(C161="","",MAX(B161+0,L161+0))</f>
        <v/>
      </c>
      <c r="S161" s="0" t="str">
        <f aca="true">IF(C161="","",IF(OR(K161="Approved",K161="Rejected",K161="Void"),"",TODAY()-R161))</f>
        <v/>
      </c>
    </row>
    <row r="162" customFormat="false" ht="15" hidden="false" customHeight="false" outlineLevel="0" collapsed="false">
      <c r="O162" s="0" t="str">
        <f aca="false">IF(C162="","",SUMIFS($N$2:N162,$C$2:C162,C162,$K$2:K162,"Approved"))</f>
        <v/>
      </c>
      <c r="R162" s="13" t="str">
        <f aca="false">IF(C162="","",MAX(B162+0,L162+0))</f>
        <v/>
      </c>
      <c r="S162" s="0" t="str">
        <f aca="true">IF(C162="","",IF(OR(K162="Approved",K162="Rejected",K162="Void"),"",TODAY()-R162))</f>
        <v/>
      </c>
    </row>
    <row r="163" customFormat="false" ht="15" hidden="false" customHeight="false" outlineLevel="0" collapsed="false">
      <c r="O163" s="0" t="str">
        <f aca="false">IF(C163="","",SUMIFS($N$2:N163,$C$2:C163,C163,$K$2:K163,"Approved"))</f>
        <v/>
      </c>
      <c r="R163" s="13" t="str">
        <f aca="false">IF(C163="","",MAX(B163+0,L163+0))</f>
        <v/>
      </c>
      <c r="S163" s="0" t="str">
        <f aca="true">IF(C163="","",IF(OR(K163="Approved",K163="Rejected",K163="Void"),"",TODAY()-R163))</f>
        <v/>
      </c>
    </row>
    <row r="164" customFormat="false" ht="15" hidden="false" customHeight="false" outlineLevel="0" collapsed="false">
      <c r="O164" s="0" t="str">
        <f aca="false">IF(C164="","",SUMIFS($N$2:N164,$C$2:C164,C164,$K$2:K164,"Approved"))</f>
        <v/>
      </c>
      <c r="R164" s="13" t="str">
        <f aca="false">IF(C164="","",MAX(B164+0,L164+0))</f>
        <v/>
      </c>
      <c r="S164" s="0" t="str">
        <f aca="true">IF(C164="","",IF(OR(K164="Approved",K164="Rejected",K164="Void"),"",TODAY()-R164))</f>
        <v/>
      </c>
    </row>
    <row r="165" customFormat="false" ht="15" hidden="false" customHeight="false" outlineLevel="0" collapsed="false">
      <c r="O165" s="0" t="str">
        <f aca="false">IF(C165="","",SUMIFS($N$2:N165,$C$2:C165,C165,$K$2:K165,"Approved"))</f>
        <v/>
      </c>
      <c r="R165" s="13" t="str">
        <f aca="false">IF(C165="","",MAX(B165+0,L165+0))</f>
        <v/>
      </c>
      <c r="S165" s="0" t="str">
        <f aca="true">IF(C165="","",IF(OR(K165="Approved",K165="Rejected",K165="Void"),"",TODAY()-R165))</f>
        <v/>
      </c>
    </row>
    <row r="166" customFormat="false" ht="15" hidden="false" customHeight="false" outlineLevel="0" collapsed="false">
      <c r="O166" s="0" t="str">
        <f aca="false">IF(C166="","",SUMIFS($N$2:N166,$C$2:C166,C166,$K$2:K166,"Approved"))</f>
        <v/>
      </c>
      <c r="R166" s="13" t="str">
        <f aca="false">IF(C166="","",MAX(B166+0,L166+0))</f>
        <v/>
      </c>
      <c r="S166" s="0" t="str">
        <f aca="true">IF(C166="","",IF(OR(K166="Approved",K166="Rejected",K166="Void"),"",TODAY()-R166))</f>
        <v/>
      </c>
    </row>
    <row r="167" customFormat="false" ht="15" hidden="false" customHeight="false" outlineLevel="0" collapsed="false">
      <c r="O167" s="0" t="str">
        <f aca="false">IF(C167="","",SUMIFS($N$2:N167,$C$2:C167,C167,$K$2:K167,"Approved"))</f>
        <v/>
      </c>
      <c r="R167" s="13" t="str">
        <f aca="false">IF(C167="","",MAX(B167+0,L167+0))</f>
        <v/>
      </c>
      <c r="S167" s="0" t="str">
        <f aca="true">IF(C167="","",IF(OR(K167="Approved",K167="Rejected",K167="Void"),"",TODAY()-R167))</f>
        <v/>
      </c>
    </row>
    <row r="168" customFormat="false" ht="15" hidden="false" customHeight="false" outlineLevel="0" collapsed="false">
      <c r="O168" s="0" t="str">
        <f aca="false">IF(C168="","",SUMIFS($N$2:N168,$C$2:C168,C168,$K$2:K168,"Approved"))</f>
        <v/>
      </c>
      <c r="R168" s="13" t="str">
        <f aca="false">IF(C168="","",MAX(B168+0,L168+0))</f>
        <v/>
      </c>
      <c r="S168" s="0" t="str">
        <f aca="true">IF(C168="","",IF(OR(K168="Approved",K168="Rejected",K168="Void"),"",TODAY()-R168))</f>
        <v/>
      </c>
    </row>
    <row r="169" customFormat="false" ht="15" hidden="false" customHeight="false" outlineLevel="0" collapsed="false">
      <c r="O169" s="0" t="str">
        <f aca="false">IF(C169="","",SUMIFS($N$2:N169,$C$2:C169,C169,$K$2:K169,"Approved"))</f>
        <v/>
      </c>
      <c r="R169" s="13" t="str">
        <f aca="false">IF(C169="","",MAX(B169+0,L169+0))</f>
        <v/>
      </c>
      <c r="S169" s="0" t="str">
        <f aca="true">IF(C169="","",IF(OR(K169="Approved",K169="Rejected",K169="Void"),"",TODAY()-R169))</f>
        <v/>
      </c>
    </row>
    <row r="170" customFormat="false" ht="15" hidden="false" customHeight="false" outlineLevel="0" collapsed="false">
      <c r="O170" s="0" t="str">
        <f aca="false">IF(C170="","",SUMIFS($N$2:N170,$C$2:C170,C170,$K$2:K170,"Approved"))</f>
        <v/>
      </c>
      <c r="R170" s="13" t="str">
        <f aca="false">IF(C170="","",MAX(B170+0,L170+0))</f>
        <v/>
      </c>
      <c r="S170" s="0" t="str">
        <f aca="true">IF(C170="","",IF(OR(K170="Approved",K170="Rejected",K170="Void"),"",TODAY()-R170))</f>
        <v/>
      </c>
    </row>
    <row r="171" customFormat="false" ht="15" hidden="false" customHeight="false" outlineLevel="0" collapsed="false">
      <c r="O171" s="0" t="str">
        <f aca="false">IF(C171="","",SUMIFS($N$2:N171,$C$2:C171,C171,$K$2:K171,"Approved"))</f>
        <v/>
      </c>
      <c r="R171" s="13" t="str">
        <f aca="false">IF(C171="","",MAX(B171+0,L171+0))</f>
        <v/>
      </c>
      <c r="S171" s="0" t="str">
        <f aca="true">IF(C171="","",IF(OR(K171="Approved",K171="Rejected",K171="Void"),"",TODAY()-R171))</f>
        <v/>
      </c>
    </row>
    <row r="172" customFormat="false" ht="15" hidden="false" customHeight="false" outlineLevel="0" collapsed="false">
      <c r="O172" s="0" t="str">
        <f aca="false">IF(C172="","",SUMIFS($N$2:N172,$C$2:C172,C172,$K$2:K172,"Approved"))</f>
        <v/>
      </c>
      <c r="R172" s="13" t="str">
        <f aca="false">IF(C172="","",MAX(B172+0,L172+0))</f>
        <v/>
      </c>
      <c r="S172" s="0" t="str">
        <f aca="true">IF(C172="","",IF(OR(K172="Approved",K172="Rejected",K172="Void"),"",TODAY()-R172))</f>
        <v/>
      </c>
    </row>
    <row r="173" customFormat="false" ht="15" hidden="false" customHeight="false" outlineLevel="0" collapsed="false">
      <c r="O173" s="0" t="str">
        <f aca="false">IF(C173="","",SUMIFS($N$2:N173,$C$2:C173,C173,$K$2:K173,"Approved"))</f>
        <v/>
      </c>
      <c r="R173" s="13" t="str">
        <f aca="false">IF(C173="","",MAX(B173+0,L173+0))</f>
        <v/>
      </c>
      <c r="S173" s="0" t="str">
        <f aca="true">IF(C173="","",IF(OR(K173="Approved",K173="Rejected",K173="Void"),"",TODAY()-R173))</f>
        <v/>
      </c>
    </row>
    <row r="174" customFormat="false" ht="15" hidden="false" customHeight="false" outlineLevel="0" collapsed="false">
      <c r="O174" s="0" t="str">
        <f aca="false">IF(C174="","",SUMIFS($N$2:N174,$C$2:C174,C174,$K$2:K174,"Approved"))</f>
        <v/>
      </c>
      <c r="R174" s="13" t="str">
        <f aca="false">IF(C174="","",MAX(B174+0,L174+0))</f>
        <v/>
      </c>
      <c r="S174" s="0" t="str">
        <f aca="true">IF(C174="","",IF(OR(K174="Approved",K174="Rejected",K174="Void"),"",TODAY()-R174))</f>
        <v/>
      </c>
    </row>
    <row r="175" customFormat="false" ht="15" hidden="false" customHeight="false" outlineLevel="0" collapsed="false">
      <c r="O175" s="0" t="str">
        <f aca="false">IF(C175="","",SUMIFS($N$2:N175,$C$2:C175,C175,$K$2:K175,"Approved"))</f>
        <v/>
      </c>
      <c r="R175" s="13" t="str">
        <f aca="false">IF(C175="","",MAX(B175+0,L175+0))</f>
        <v/>
      </c>
      <c r="S175" s="0" t="str">
        <f aca="true">IF(C175="","",IF(OR(K175="Approved",K175="Rejected",K175="Void"),"",TODAY()-R175))</f>
        <v/>
      </c>
    </row>
    <row r="176" customFormat="false" ht="15" hidden="false" customHeight="false" outlineLevel="0" collapsed="false">
      <c r="O176" s="0" t="str">
        <f aca="false">IF(C176="","",SUMIFS($N$2:N176,$C$2:C176,C176,$K$2:K176,"Approved"))</f>
        <v/>
      </c>
      <c r="R176" s="13" t="str">
        <f aca="false">IF(C176="","",MAX(B176+0,L176+0))</f>
        <v/>
      </c>
      <c r="S176" s="0" t="str">
        <f aca="true">IF(C176="","",IF(OR(K176="Approved",K176="Rejected",K176="Void"),"",TODAY()-R176))</f>
        <v/>
      </c>
    </row>
    <row r="177" customFormat="false" ht="15" hidden="false" customHeight="false" outlineLevel="0" collapsed="false">
      <c r="O177" s="0" t="str">
        <f aca="false">IF(C177="","",SUMIFS($N$2:N177,$C$2:C177,C177,$K$2:K177,"Approved"))</f>
        <v/>
      </c>
      <c r="R177" s="13" t="str">
        <f aca="false">IF(C177="","",MAX(B177+0,L177+0))</f>
        <v/>
      </c>
      <c r="S177" s="0" t="str">
        <f aca="true">IF(C177="","",IF(OR(K177="Approved",K177="Rejected",K177="Void"),"",TODAY()-R177))</f>
        <v/>
      </c>
    </row>
    <row r="178" customFormat="false" ht="15" hidden="false" customHeight="false" outlineLevel="0" collapsed="false">
      <c r="O178" s="0" t="str">
        <f aca="false">IF(C178="","",SUMIFS($N$2:N178,$C$2:C178,C178,$K$2:K178,"Approved"))</f>
        <v/>
      </c>
      <c r="R178" s="13" t="str">
        <f aca="false">IF(C178="","",MAX(B178+0,L178+0))</f>
        <v/>
      </c>
      <c r="S178" s="0" t="str">
        <f aca="true">IF(C178="","",IF(OR(K178="Approved",K178="Rejected",K178="Void"),"",TODAY()-R178))</f>
        <v/>
      </c>
    </row>
    <row r="179" customFormat="false" ht="15" hidden="false" customHeight="false" outlineLevel="0" collapsed="false">
      <c r="O179" s="0" t="str">
        <f aca="false">IF(C179="","",SUMIFS($N$2:N179,$C$2:C179,C179,$K$2:K179,"Approved"))</f>
        <v/>
      </c>
      <c r="R179" s="13" t="str">
        <f aca="false">IF(C179="","",MAX(B179+0,L179+0))</f>
        <v/>
      </c>
      <c r="S179" s="0" t="str">
        <f aca="true">IF(C179="","",IF(OR(K179="Approved",K179="Rejected",K179="Void"),"",TODAY()-R179))</f>
        <v/>
      </c>
    </row>
    <row r="180" customFormat="false" ht="15" hidden="false" customHeight="false" outlineLevel="0" collapsed="false">
      <c r="O180" s="0" t="str">
        <f aca="false">IF(C180="","",SUMIFS($N$2:N180,$C$2:C180,C180,$K$2:K180,"Approved"))</f>
        <v/>
      </c>
      <c r="R180" s="13" t="str">
        <f aca="false">IF(C180="","",MAX(B180+0,L180+0))</f>
        <v/>
      </c>
      <c r="S180" s="0" t="str">
        <f aca="true">IF(C180="","",IF(OR(K180="Approved",K180="Rejected",K180="Void"),"",TODAY()-R180))</f>
        <v/>
      </c>
    </row>
    <row r="181" customFormat="false" ht="15" hidden="false" customHeight="false" outlineLevel="0" collapsed="false">
      <c r="O181" s="0" t="str">
        <f aca="false">IF(C181="","",SUMIFS($N$2:N181,$C$2:C181,C181,$K$2:K181,"Approved"))</f>
        <v/>
      </c>
      <c r="R181" s="13" t="str">
        <f aca="false">IF(C181="","",MAX(B181+0,L181+0))</f>
        <v/>
      </c>
      <c r="S181" s="0" t="str">
        <f aca="true">IF(C181="","",IF(OR(K181="Approved",K181="Rejected",K181="Void"),"",TODAY()-R181))</f>
        <v/>
      </c>
    </row>
    <row r="182" customFormat="false" ht="15" hidden="false" customHeight="false" outlineLevel="0" collapsed="false">
      <c r="O182" s="0" t="str">
        <f aca="false">IF(C182="","",SUMIFS($N$2:N182,$C$2:C182,C182,$K$2:K182,"Approved"))</f>
        <v/>
      </c>
      <c r="R182" s="13" t="str">
        <f aca="false">IF(C182="","",MAX(B182+0,L182+0))</f>
        <v/>
      </c>
      <c r="S182" s="0" t="str">
        <f aca="true">IF(C182="","",IF(OR(K182="Approved",K182="Rejected",K182="Void"),"",TODAY()-R182))</f>
        <v/>
      </c>
    </row>
    <row r="183" customFormat="false" ht="15" hidden="false" customHeight="false" outlineLevel="0" collapsed="false">
      <c r="O183" s="0" t="str">
        <f aca="false">IF(C183="","",SUMIFS($N$2:N183,$C$2:C183,C183,$K$2:K183,"Approved"))</f>
        <v/>
      </c>
      <c r="R183" s="13" t="str">
        <f aca="false">IF(C183="","",MAX(B183+0,L183+0))</f>
        <v/>
      </c>
      <c r="S183" s="0" t="str">
        <f aca="true">IF(C183="","",IF(OR(K183="Approved",K183="Rejected",K183="Void"),"",TODAY()-R183))</f>
        <v/>
      </c>
    </row>
    <row r="184" customFormat="false" ht="15" hidden="false" customHeight="false" outlineLevel="0" collapsed="false">
      <c r="O184" s="0" t="str">
        <f aca="false">IF(C184="","",SUMIFS($N$2:N184,$C$2:C184,C184,$K$2:K184,"Approved"))</f>
        <v/>
      </c>
      <c r="R184" s="13" t="str">
        <f aca="false">IF(C184="","",MAX(B184+0,L184+0))</f>
        <v/>
      </c>
      <c r="S184" s="0" t="str">
        <f aca="true">IF(C184="","",IF(OR(K184="Approved",K184="Rejected",K184="Void"),"",TODAY()-R184))</f>
        <v/>
      </c>
    </row>
    <row r="185" customFormat="false" ht="15" hidden="false" customHeight="false" outlineLevel="0" collapsed="false">
      <c r="O185" s="0" t="str">
        <f aca="false">IF(C185="","",SUMIFS($N$2:N185,$C$2:C185,C185,$K$2:K185,"Approved"))</f>
        <v/>
      </c>
      <c r="R185" s="13" t="str">
        <f aca="false">IF(C185="","",MAX(B185+0,L185+0))</f>
        <v/>
      </c>
      <c r="S185" s="0" t="str">
        <f aca="true">IF(C185="","",IF(OR(K185="Approved",K185="Rejected",K185="Void"),"",TODAY()-R185))</f>
        <v/>
      </c>
    </row>
    <row r="186" customFormat="false" ht="15" hidden="false" customHeight="false" outlineLevel="0" collapsed="false">
      <c r="O186" s="0" t="str">
        <f aca="false">IF(C186="","",SUMIFS($N$2:N186,$C$2:C186,C186,$K$2:K186,"Approved"))</f>
        <v/>
      </c>
      <c r="R186" s="13" t="str">
        <f aca="false">IF(C186="","",MAX(B186+0,L186+0))</f>
        <v/>
      </c>
      <c r="S186" s="0" t="str">
        <f aca="true">IF(C186="","",IF(OR(K186="Approved",K186="Rejected",K186="Void"),"",TODAY()-R186))</f>
        <v/>
      </c>
    </row>
    <row r="187" customFormat="false" ht="15" hidden="false" customHeight="false" outlineLevel="0" collapsed="false">
      <c r="O187" s="0" t="str">
        <f aca="false">IF(C187="","",SUMIFS($N$2:N187,$C$2:C187,C187,$K$2:K187,"Approved"))</f>
        <v/>
      </c>
      <c r="R187" s="13" t="str">
        <f aca="false">IF(C187="","",MAX(B187+0,L187+0))</f>
        <v/>
      </c>
      <c r="S187" s="0" t="str">
        <f aca="true">IF(C187="","",IF(OR(K187="Approved",K187="Rejected",K187="Void"),"",TODAY()-R187))</f>
        <v/>
      </c>
    </row>
    <row r="188" customFormat="false" ht="15" hidden="false" customHeight="false" outlineLevel="0" collapsed="false">
      <c r="O188" s="0" t="str">
        <f aca="false">IF(C188="","",SUMIFS($N$2:N188,$C$2:C188,C188,$K$2:K188,"Approved"))</f>
        <v/>
      </c>
      <c r="R188" s="13" t="str">
        <f aca="false">IF(C188="","",MAX(B188+0,L188+0))</f>
        <v/>
      </c>
      <c r="S188" s="0" t="str">
        <f aca="true">IF(C188="","",IF(OR(K188="Approved",K188="Rejected",K188="Void"),"",TODAY()-R188))</f>
        <v/>
      </c>
    </row>
    <row r="189" customFormat="false" ht="15" hidden="false" customHeight="false" outlineLevel="0" collapsed="false">
      <c r="O189" s="0" t="str">
        <f aca="false">IF(C189="","",SUMIFS($N$2:N189,$C$2:C189,C189,$K$2:K189,"Approved"))</f>
        <v/>
      </c>
      <c r="R189" s="13" t="str">
        <f aca="false">IF(C189="","",MAX(B189+0,L189+0))</f>
        <v/>
      </c>
      <c r="S189" s="0" t="str">
        <f aca="true">IF(C189="","",IF(OR(K189="Approved",K189="Rejected",K189="Void"),"",TODAY()-R189))</f>
        <v/>
      </c>
    </row>
    <row r="190" customFormat="false" ht="15" hidden="false" customHeight="false" outlineLevel="0" collapsed="false">
      <c r="O190" s="0" t="str">
        <f aca="false">IF(C190="","",SUMIFS($N$2:N190,$C$2:C190,C190,$K$2:K190,"Approved"))</f>
        <v/>
      </c>
      <c r="R190" s="13" t="str">
        <f aca="false">IF(C190="","",MAX(B190+0,L190+0))</f>
        <v/>
      </c>
      <c r="S190" s="0" t="str">
        <f aca="true">IF(C190="","",IF(OR(K190="Approved",K190="Rejected",K190="Void"),"",TODAY()-R190))</f>
        <v/>
      </c>
    </row>
    <row r="191" customFormat="false" ht="15" hidden="false" customHeight="false" outlineLevel="0" collapsed="false">
      <c r="O191" s="0" t="str">
        <f aca="false">IF(C191="","",SUMIFS($N$2:N191,$C$2:C191,C191,$K$2:K191,"Approved"))</f>
        <v/>
      </c>
      <c r="R191" s="13" t="str">
        <f aca="false">IF(C191="","",MAX(B191+0,L191+0))</f>
        <v/>
      </c>
      <c r="S191" s="0" t="str">
        <f aca="true">IF(C191="","",IF(OR(K191="Approved",K191="Rejected",K191="Void"),"",TODAY()-R191))</f>
        <v/>
      </c>
    </row>
    <row r="192" customFormat="false" ht="15" hidden="false" customHeight="false" outlineLevel="0" collapsed="false">
      <c r="O192" s="0" t="str">
        <f aca="false">IF(C192="","",SUMIFS($N$2:N192,$C$2:C192,C192,$K$2:K192,"Approved"))</f>
        <v/>
      </c>
      <c r="R192" s="13" t="str">
        <f aca="false">IF(C192="","",MAX(B192+0,L192+0))</f>
        <v/>
      </c>
      <c r="S192" s="0" t="str">
        <f aca="true">IF(C192="","",IF(OR(K192="Approved",K192="Rejected",K192="Void"),"",TODAY()-R192))</f>
        <v/>
      </c>
    </row>
    <row r="193" customFormat="false" ht="15" hidden="false" customHeight="false" outlineLevel="0" collapsed="false">
      <c r="O193" s="0" t="str">
        <f aca="false">IF(C193="","",SUMIFS($N$2:N193,$C$2:C193,C193,$K$2:K193,"Approved"))</f>
        <v/>
      </c>
      <c r="R193" s="13" t="str">
        <f aca="false">IF(C193="","",MAX(B193+0,L193+0))</f>
        <v/>
      </c>
      <c r="S193" s="0" t="str">
        <f aca="true">IF(C193="","",IF(OR(K193="Approved",K193="Rejected",K193="Void"),"",TODAY()-R193))</f>
        <v/>
      </c>
    </row>
    <row r="194" customFormat="false" ht="15" hidden="false" customHeight="false" outlineLevel="0" collapsed="false">
      <c r="O194" s="0" t="str">
        <f aca="false">IF(C194="","",SUMIFS($N$2:N194,$C$2:C194,C194,$K$2:K194,"Approved"))</f>
        <v/>
      </c>
      <c r="R194" s="13" t="str">
        <f aca="false">IF(C194="","",MAX(B194+0,L194+0))</f>
        <v/>
      </c>
      <c r="S194" s="0" t="str">
        <f aca="true">IF(C194="","",IF(OR(K194="Approved",K194="Rejected",K194="Void"),"",TODAY()-R194))</f>
        <v/>
      </c>
    </row>
    <row r="195" customFormat="false" ht="15" hidden="false" customHeight="false" outlineLevel="0" collapsed="false">
      <c r="O195" s="0" t="str">
        <f aca="false">IF(C195="","",SUMIFS($N$2:N195,$C$2:C195,C195,$K$2:K195,"Approved"))</f>
        <v/>
      </c>
      <c r="R195" s="13" t="str">
        <f aca="false">IF(C195="","",MAX(B195+0,L195+0))</f>
        <v/>
      </c>
      <c r="S195" s="0" t="str">
        <f aca="true">IF(C195="","",IF(OR(K195="Approved",K195="Rejected",K195="Void"),"",TODAY()-R195))</f>
        <v/>
      </c>
    </row>
    <row r="196" customFormat="false" ht="15" hidden="false" customHeight="false" outlineLevel="0" collapsed="false">
      <c r="O196" s="0" t="str">
        <f aca="false">IF(C196="","",SUMIFS($N$2:N196,$C$2:C196,C196,$K$2:K196,"Approved"))</f>
        <v/>
      </c>
      <c r="R196" s="13" t="str">
        <f aca="false">IF(C196="","",MAX(B196+0,L196+0))</f>
        <v/>
      </c>
      <c r="S196" s="0" t="str">
        <f aca="true">IF(C196="","",IF(OR(K196="Approved",K196="Rejected",K196="Void"),"",TODAY()-R196))</f>
        <v/>
      </c>
    </row>
    <row r="197" customFormat="false" ht="15" hidden="false" customHeight="false" outlineLevel="0" collapsed="false">
      <c r="O197" s="0" t="str">
        <f aca="false">IF(C197="","",SUMIFS($N$2:N197,$C$2:C197,C197,$K$2:K197,"Approved"))</f>
        <v/>
      </c>
      <c r="R197" s="13" t="str">
        <f aca="false">IF(C197="","",MAX(B197+0,L197+0))</f>
        <v/>
      </c>
      <c r="S197" s="0" t="str">
        <f aca="true">IF(C197="","",IF(OR(K197="Approved",K197="Rejected",K197="Void"),"",TODAY()-R197))</f>
        <v/>
      </c>
    </row>
    <row r="198" customFormat="false" ht="15" hidden="false" customHeight="false" outlineLevel="0" collapsed="false">
      <c r="O198" s="0" t="str">
        <f aca="false">IF(C198="","",SUMIFS($N$2:N198,$C$2:C198,C198,$K$2:K198,"Approved"))</f>
        <v/>
      </c>
      <c r="R198" s="13" t="str">
        <f aca="false">IF(C198="","",MAX(B198+0,L198+0))</f>
        <v/>
      </c>
      <c r="S198" s="0" t="str">
        <f aca="true">IF(C198="","",IF(OR(K198="Approved",K198="Rejected",K198="Void"),"",TODAY()-R198))</f>
        <v/>
      </c>
    </row>
    <row r="199" customFormat="false" ht="15" hidden="false" customHeight="false" outlineLevel="0" collapsed="false">
      <c r="O199" s="0" t="str">
        <f aca="false">IF(C199="","",SUMIFS($N$2:N199,$C$2:C199,C199,$K$2:K199,"Approved"))</f>
        <v/>
      </c>
      <c r="R199" s="13" t="str">
        <f aca="false">IF(C199="","",MAX(B199+0,L199+0))</f>
        <v/>
      </c>
      <c r="S199" s="0" t="str">
        <f aca="true">IF(C199="","",IF(OR(K199="Approved",K199="Rejected",K199="Void"),"",TODAY()-R199))</f>
        <v/>
      </c>
    </row>
    <row r="200" customFormat="false" ht="15" hidden="false" customHeight="false" outlineLevel="0" collapsed="false">
      <c r="O200" s="0" t="str">
        <f aca="false">IF(C200="","",SUMIFS($N$2:N200,$C$2:C200,C200,$K$2:K200,"Approved"))</f>
        <v/>
      </c>
      <c r="R200" s="13" t="str">
        <f aca="false">IF(C200="","",MAX(B200+0,L200+0))</f>
        <v/>
      </c>
      <c r="S200" s="0" t="str">
        <f aca="true">IF(C200="","",IF(OR(K200="Approved",K200="Rejected",K200="Void"),"",TODAY()-R200))</f>
        <v/>
      </c>
    </row>
    <row r="201" customFormat="false" ht="15" hidden="false" customHeight="false" outlineLevel="0" collapsed="false">
      <c r="O201" s="0" t="str">
        <f aca="false">IF(C201="","",SUMIFS($N$2:N201,$C$2:C201,C201,$K$2:K201,"Approved"))</f>
        <v/>
      </c>
      <c r="R201" s="13" t="str">
        <f aca="false">IF(C201="","",MAX(B201+0,L201+0))</f>
        <v/>
      </c>
      <c r="S201" s="0" t="str">
        <f aca="true">IF(C201="","",IF(OR(K201="Approved",K201="Rejected",K201="Void"),"",TODAY()-R201))</f>
        <v/>
      </c>
    </row>
    <row r="202" customFormat="false" ht="15" hidden="false" customHeight="false" outlineLevel="0" collapsed="false">
      <c r="O202" s="0" t="str">
        <f aca="false">IF(C202="","",SUMIFS($N$2:N202,$C$2:C202,C202,$K$2:K202,"Approved"))</f>
        <v/>
      </c>
      <c r="R202" s="13" t="str">
        <f aca="false">IF(C202="","",MAX(B202+0,L202+0))</f>
        <v/>
      </c>
      <c r="S202" s="0" t="str">
        <f aca="true">IF(C202="","",IF(OR(K202="Approved",K202="Rejected",K202="Void"),"",TODAY()-R202))</f>
        <v/>
      </c>
    </row>
    <row r="203" customFormat="false" ht="15" hidden="false" customHeight="false" outlineLevel="0" collapsed="false">
      <c r="O203" s="0" t="str">
        <f aca="false">IF(C203="","",SUMIFS($N$2:N203,$C$2:C203,C203,$K$2:K203,"Approved"))</f>
        <v/>
      </c>
      <c r="R203" s="13" t="str">
        <f aca="false">IF(C203="","",MAX(B203+0,L203+0))</f>
        <v/>
      </c>
      <c r="S203" s="0" t="str">
        <f aca="true">IF(C203="","",IF(OR(K203="Approved",K203="Rejected",K203="Void"),"",TODAY()-R203))</f>
        <v/>
      </c>
    </row>
    <row r="204" customFormat="false" ht="15" hidden="false" customHeight="false" outlineLevel="0" collapsed="false">
      <c r="O204" s="0" t="str">
        <f aca="false">IF(C204="","",SUMIFS($N$2:N204,$C$2:C204,C204,$K$2:K204,"Approved"))</f>
        <v/>
      </c>
      <c r="R204" s="13" t="str">
        <f aca="false">IF(C204="","",MAX(B204+0,L204+0))</f>
        <v/>
      </c>
      <c r="S204" s="0" t="str">
        <f aca="true">IF(C204="","",IF(OR(K204="Approved",K204="Rejected",K204="Void"),"",TODAY()-R204))</f>
        <v/>
      </c>
    </row>
    <row r="205" customFormat="false" ht="15" hidden="false" customHeight="false" outlineLevel="0" collapsed="false">
      <c r="O205" s="0" t="str">
        <f aca="false">IF(C205="","",SUMIFS($N$2:N205,$C$2:C205,C205,$K$2:K205,"Approved"))</f>
        <v/>
      </c>
      <c r="R205" s="13" t="str">
        <f aca="false">IF(C205="","",MAX(B205+0,L205+0))</f>
        <v/>
      </c>
      <c r="S205" s="0" t="str">
        <f aca="true">IF(C205="","",IF(OR(K205="Approved",K205="Rejected",K205="Void"),"",TODAY()-R205))</f>
        <v/>
      </c>
    </row>
    <row r="206" customFormat="false" ht="15" hidden="false" customHeight="false" outlineLevel="0" collapsed="false">
      <c r="O206" s="0" t="str">
        <f aca="false">IF(C206="","",SUMIFS($N$2:N206,$C$2:C206,C206,$K$2:K206,"Approved"))</f>
        <v/>
      </c>
      <c r="R206" s="13" t="str">
        <f aca="false">IF(C206="","",MAX(B206+0,L206+0))</f>
        <v/>
      </c>
      <c r="S206" s="0" t="str">
        <f aca="true">IF(C206="","",IF(OR(K206="Approved",K206="Rejected",K206="Void"),"",TODAY()-R206))</f>
        <v/>
      </c>
    </row>
    <row r="207" customFormat="false" ht="15" hidden="false" customHeight="false" outlineLevel="0" collapsed="false">
      <c r="O207" s="0" t="str">
        <f aca="false">IF(C207="","",SUMIFS($N$2:N207,$C$2:C207,C207,$K$2:K207,"Approved"))</f>
        <v/>
      </c>
      <c r="R207" s="13" t="str">
        <f aca="false">IF(C207="","",MAX(B207+0,L207+0))</f>
        <v/>
      </c>
      <c r="S207" s="0" t="str">
        <f aca="true">IF(C207="","",IF(OR(K207="Approved",K207="Rejected",K207="Void"),"",TODAY()-R207))</f>
        <v/>
      </c>
    </row>
    <row r="208" customFormat="false" ht="15" hidden="false" customHeight="false" outlineLevel="0" collapsed="false">
      <c r="O208" s="0" t="str">
        <f aca="false">IF(C208="","",SUMIFS($N$2:N208,$C$2:C208,C208,$K$2:K208,"Approved"))</f>
        <v/>
      </c>
      <c r="R208" s="13" t="str">
        <f aca="false">IF(C208="","",MAX(B208+0,L208+0))</f>
        <v/>
      </c>
      <c r="S208" s="0" t="str">
        <f aca="true">IF(C208="","",IF(OR(K208="Approved",K208="Rejected",K208="Void"),"",TODAY()-R208))</f>
        <v/>
      </c>
    </row>
    <row r="209" customFormat="false" ht="15" hidden="false" customHeight="false" outlineLevel="0" collapsed="false">
      <c r="O209" s="0" t="str">
        <f aca="false">IF(C209="","",SUMIFS($N$2:N209,$C$2:C209,C209,$K$2:K209,"Approved"))</f>
        <v/>
      </c>
      <c r="R209" s="13" t="str">
        <f aca="false">IF(C209="","",MAX(B209+0,L209+0))</f>
        <v/>
      </c>
      <c r="S209" s="0" t="str">
        <f aca="true">IF(C209="","",IF(OR(K209="Approved",K209="Rejected",K209="Void"),"",TODAY()-R209))</f>
        <v/>
      </c>
    </row>
    <row r="210" customFormat="false" ht="15" hidden="false" customHeight="false" outlineLevel="0" collapsed="false">
      <c r="O210" s="0" t="str">
        <f aca="false">IF(C210="","",SUMIFS($N$2:N210,$C$2:C210,C210,$K$2:K210,"Approved"))</f>
        <v/>
      </c>
      <c r="R210" s="13" t="str">
        <f aca="false">IF(C210="","",MAX(B210+0,L210+0))</f>
        <v/>
      </c>
      <c r="S210" s="0" t="str">
        <f aca="true">IF(C210="","",IF(OR(K210="Approved",K210="Rejected",K210="Void"),"",TODAY()-R210))</f>
        <v/>
      </c>
    </row>
    <row r="211" customFormat="false" ht="15" hidden="false" customHeight="false" outlineLevel="0" collapsed="false">
      <c r="O211" s="0" t="str">
        <f aca="false">IF(C211="","",SUMIFS($N$2:N211,$C$2:C211,C211,$K$2:K211,"Approved"))</f>
        <v/>
      </c>
      <c r="R211" s="13" t="str">
        <f aca="false">IF(C211="","",MAX(B211+0,L211+0))</f>
        <v/>
      </c>
      <c r="S211" s="0" t="str">
        <f aca="true">IF(C211="","",IF(OR(K211="Approved",K211="Rejected",K211="Void"),"",TODAY()-R211))</f>
        <v/>
      </c>
    </row>
    <row r="212" customFormat="false" ht="15" hidden="false" customHeight="false" outlineLevel="0" collapsed="false">
      <c r="O212" s="0" t="str">
        <f aca="false">IF(C212="","",SUMIFS($N$2:N212,$C$2:C212,C212,$K$2:K212,"Approved"))</f>
        <v/>
      </c>
      <c r="R212" s="13" t="str">
        <f aca="false">IF(C212="","",MAX(B212+0,L212+0))</f>
        <v/>
      </c>
      <c r="S212" s="0" t="str">
        <f aca="true">IF(C212="","",IF(OR(K212="Approved",K212="Rejected",K212="Void"),"",TODAY()-R212))</f>
        <v/>
      </c>
    </row>
    <row r="213" customFormat="false" ht="15" hidden="false" customHeight="false" outlineLevel="0" collapsed="false">
      <c r="O213" s="0" t="str">
        <f aca="false">IF(C213="","",SUMIFS($N$2:N213,$C$2:C213,C213,$K$2:K213,"Approved"))</f>
        <v/>
      </c>
      <c r="R213" s="13" t="str">
        <f aca="false">IF(C213="","",MAX(B213+0,L213+0))</f>
        <v/>
      </c>
      <c r="S213" s="0" t="str">
        <f aca="true">IF(C213="","",IF(OR(K213="Approved",K213="Rejected",K213="Void"),"",TODAY()-R213))</f>
        <v/>
      </c>
    </row>
    <row r="214" customFormat="false" ht="15" hidden="false" customHeight="false" outlineLevel="0" collapsed="false">
      <c r="O214" s="0" t="str">
        <f aca="false">IF(C214="","",SUMIFS($N$2:N214,$C$2:C214,C214,$K$2:K214,"Approved"))</f>
        <v/>
      </c>
      <c r="R214" s="13" t="str">
        <f aca="false">IF(C214="","",MAX(B214+0,L214+0))</f>
        <v/>
      </c>
      <c r="S214" s="0" t="str">
        <f aca="true">IF(C214="","",IF(OR(K214="Approved",K214="Rejected",K214="Void"),"",TODAY()-R214))</f>
        <v/>
      </c>
    </row>
    <row r="215" customFormat="false" ht="15" hidden="false" customHeight="false" outlineLevel="0" collapsed="false">
      <c r="O215" s="0" t="str">
        <f aca="false">IF(C215="","",SUMIFS($N$2:N215,$C$2:C215,C215,$K$2:K215,"Approved"))</f>
        <v/>
      </c>
      <c r="R215" s="13" t="str">
        <f aca="false">IF(C215="","",MAX(B215+0,L215+0))</f>
        <v/>
      </c>
      <c r="S215" s="0" t="str">
        <f aca="true">IF(C215="","",IF(OR(K215="Approved",K215="Rejected",K215="Void"),"",TODAY()-R215))</f>
        <v/>
      </c>
    </row>
    <row r="216" customFormat="false" ht="15" hidden="false" customHeight="false" outlineLevel="0" collapsed="false">
      <c r="O216" s="0" t="str">
        <f aca="false">IF(C216="","",SUMIFS($N$2:N216,$C$2:C216,C216,$K$2:K216,"Approved"))</f>
        <v/>
      </c>
      <c r="R216" s="13" t="str">
        <f aca="false">IF(C216="","",MAX(B216+0,L216+0))</f>
        <v/>
      </c>
      <c r="S216" s="0" t="str">
        <f aca="true">IF(C216="","",IF(OR(K216="Approved",K216="Rejected",K216="Void"),"",TODAY()-R216))</f>
        <v/>
      </c>
    </row>
    <row r="217" customFormat="false" ht="15" hidden="false" customHeight="false" outlineLevel="0" collapsed="false">
      <c r="O217" s="0" t="str">
        <f aca="false">IF(C217="","",SUMIFS($N$2:N217,$C$2:C217,C217,$K$2:K217,"Approved"))</f>
        <v/>
      </c>
      <c r="R217" s="13" t="str">
        <f aca="false">IF(C217="","",MAX(B217+0,L217+0))</f>
        <v/>
      </c>
      <c r="S217" s="0" t="str">
        <f aca="true">IF(C217="","",IF(OR(K217="Approved",K217="Rejected",K217="Void"),"",TODAY()-R217))</f>
        <v/>
      </c>
    </row>
    <row r="218" customFormat="false" ht="15" hidden="false" customHeight="false" outlineLevel="0" collapsed="false">
      <c r="O218" s="0" t="str">
        <f aca="false">IF(C218="","",SUMIFS($N$2:N218,$C$2:C218,C218,$K$2:K218,"Approved"))</f>
        <v/>
      </c>
      <c r="R218" s="13" t="str">
        <f aca="false">IF(C218="","",MAX(B218+0,L218+0))</f>
        <v/>
      </c>
      <c r="S218" s="0" t="str">
        <f aca="true">IF(C218="","",IF(OR(K218="Approved",K218="Rejected",K218="Void"),"",TODAY()-R218))</f>
        <v/>
      </c>
    </row>
    <row r="219" customFormat="false" ht="15" hidden="false" customHeight="false" outlineLevel="0" collapsed="false">
      <c r="O219" s="0" t="str">
        <f aca="false">IF(C219="","",SUMIFS($N$2:N219,$C$2:C219,C219,$K$2:K219,"Approved"))</f>
        <v/>
      </c>
      <c r="R219" s="13" t="str">
        <f aca="false">IF(C219="","",MAX(B219+0,L219+0))</f>
        <v/>
      </c>
      <c r="S219" s="0" t="str">
        <f aca="true">IF(C219="","",IF(OR(K219="Approved",K219="Rejected",K219="Void"),"",TODAY()-R219))</f>
        <v/>
      </c>
    </row>
    <row r="220" customFormat="false" ht="15" hidden="false" customHeight="false" outlineLevel="0" collapsed="false">
      <c r="O220" s="0" t="str">
        <f aca="false">IF(C220="","",SUMIFS($N$2:N220,$C$2:C220,C220,$K$2:K220,"Approved"))</f>
        <v/>
      </c>
      <c r="R220" s="13" t="str">
        <f aca="false">IF(C220="","",MAX(B220+0,L220+0))</f>
        <v/>
      </c>
      <c r="S220" s="0" t="str">
        <f aca="true">IF(C220="","",IF(OR(K220="Approved",K220="Rejected",K220="Void"),"",TODAY()-R220))</f>
        <v/>
      </c>
    </row>
    <row r="221" customFormat="false" ht="15" hidden="false" customHeight="false" outlineLevel="0" collapsed="false">
      <c r="O221" s="0" t="str">
        <f aca="false">IF(C221="","",SUMIFS($N$2:N221,$C$2:C221,C221,$K$2:K221,"Approved"))</f>
        <v/>
      </c>
      <c r="R221" s="13" t="str">
        <f aca="false">IF(C221="","",MAX(B221+0,L221+0))</f>
        <v/>
      </c>
      <c r="S221" s="0" t="str">
        <f aca="true">IF(C221="","",IF(OR(K221="Approved",K221="Rejected",K221="Void"),"",TODAY()-R221))</f>
        <v/>
      </c>
    </row>
    <row r="222" customFormat="false" ht="15" hidden="false" customHeight="false" outlineLevel="0" collapsed="false">
      <c r="O222" s="0" t="str">
        <f aca="false">IF(C222="","",SUMIFS($N$2:N222,$C$2:C222,C222,$K$2:K222,"Approved"))</f>
        <v/>
      </c>
      <c r="R222" s="13" t="str">
        <f aca="false">IF(C222="","",MAX(B222+0,L222+0))</f>
        <v/>
      </c>
      <c r="S222" s="0" t="str">
        <f aca="true">IF(C222="","",IF(OR(K222="Approved",K222="Rejected",K222="Void"),"",TODAY()-R222))</f>
        <v/>
      </c>
    </row>
    <row r="223" customFormat="false" ht="15" hidden="false" customHeight="false" outlineLevel="0" collapsed="false">
      <c r="O223" s="0" t="str">
        <f aca="false">IF(C223="","",SUMIFS($N$2:N223,$C$2:C223,C223,$K$2:K223,"Approved"))</f>
        <v/>
      </c>
      <c r="R223" s="13" t="str">
        <f aca="false">IF(C223="","",MAX(B223+0,L223+0))</f>
        <v/>
      </c>
      <c r="S223" s="0" t="str">
        <f aca="true">IF(C223="","",IF(OR(K223="Approved",K223="Rejected",K223="Void"),"",TODAY()-R223))</f>
        <v/>
      </c>
    </row>
    <row r="224" customFormat="false" ht="15" hidden="false" customHeight="false" outlineLevel="0" collapsed="false">
      <c r="O224" s="0" t="str">
        <f aca="false">IF(C224="","",SUMIFS($N$2:N224,$C$2:C224,C224,$K$2:K224,"Approved"))</f>
        <v/>
      </c>
      <c r="R224" s="13" t="str">
        <f aca="false">IF(C224="","",MAX(B224+0,L224+0))</f>
        <v/>
      </c>
      <c r="S224" s="0" t="str">
        <f aca="true">IF(C224="","",IF(OR(K224="Approved",K224="Rejected",K224="Void"),"",TODAY()-R224))</f>
        <v/>
      </c>
    </row>
    <row r="225" customFormat="false" ht="15" hidden="false" customHeight="false" outlineLevel="0" collapsed="false">
      <c r="O225" s="0" t="str">
        <f aca="false">IF(C225="","",SUMIFS($N$2:N225,$C$2:C225,C225,$K$2:K225,"Approved"))</f>
        <v/>
      </c>
      <c r="R225" s="13" t="str">
        <f aca="false">IF(C225="","",MAX(B225+0,L225+0))</f>
        <v/>
      </c>
      <c r="S225" s="0" t="str">
        <f aca="true">IF(C225="","",IF(OR(K225="Approved",K225="Rejected",K225="Void"),"",TODAY()-R225))</f>
        <v/>
      </c>
    </row>
    <row r="226" customFormat="false" ht="15" hidden="false" customHeight="false" outlineLevel="0" collapsed="false">
      <c r="O226" s="0" t="str">
        <f aca="false">IF(C226="","",SUMIFS($N$2:N226,$C$2:C226,C226,$K$2:K226,"Approved"))</f>
        <v/>
      </c>
      <c r="R226" s="13" t="str">
        <f aca="false">IF(C226="","",MAX(B226+0,L226+0))</f>
        <v/>
      </c>
      <c r="S226" s="0" t="str">
        <f aca="true">IF(C226="","",IF(OR(K226="Approved",K226="Rejected",K226="Void"),"",TODAY()-R226))</f>
        <v/>
      </c>
    </row>
    <row r="227" customFormat="false" ht="15" hidden="false" customHeight="false" outlineLevel="0" collapsed="false">
      <c r="O227" s="0" t="str">
        <f aca="false">IF(C227="","",SUMIFS($N$2:N227,$C$2:C227,C227,$K$2:K227,"Approved"))</f>
        <v/>
      </c>
      <c r="R227" s="13" t="str">
        <f aca="false">IF(C227="","",MAX(B227+0,L227+0))</f>
        <v/>
      </c>
      <c r="S227" s="0" t="str">
        <f aca="true">IF(C227="","",IF(OR(K227="Approved",K227="Rejected",K227="Void"),"",TODAY()-R227))</f>
        <v/>
      </c>
    </row>
    <row r="228" customFormat="false" ht="15" hidden="false" customHeight="false" outlineLevel="0" collapsed="false">
      <c r="O228" s="0" t="str">
        <f aca="false">IF(C228="","",SUMIFS($N$2:N228,$C$2:C228,C228,$K$2:K228,"Approved"))</f>
        <v/>
      </c>
      <c r="R228" s="13" t="str">
        <f aca="false">IF(C228="","",MAX(B228+0,L228+0))</f>
        <v/>
      </c>
      <c r="S228" s="0" t="str">
        <f aca="true">IF(C228="","",IF(OR(K228="Approved",K228="Rejected",K228="Void"),"",TODAY()-R228))</f>
        <v/>
      </c>
    </row>
    <row r="229" customFormat="false" ht="15" hidden="false" customHeight="false" outlineLevel="0" collapsed="false">
      <c r="O229" s="0" t="str">
        <f aca="false">IF(C229="","",SUMIFS($N$2:N229,$C$2:C229,C229,$K$2:K229,"Approved"))</f>
        <v/>
      </c>
      <c r="R229" s="13" t="str">
        <f aca="false">IF(C229="","",MAX(B229+0,L229+0))</f>
        <v/>
      </c>
      <c r="S229" s="0" t="str">
        <f aca="true">IF(C229="","",IF(OR(K229="Approved",K229="Rejected",K229="Void"),"",TODAY()-R229))</f>
        <v/>
      </c>
    </row>
    <row r="230" customFormat="false" ht="15" hidden="false" customHeight="false" outlineLevel="0" collapsed="false">
      <c r="O230" s="0" t="str">
        <f aca="false">IF(C230="","",SUMIFS($N$2:N230,$C$2:C230,C230,$K$2:K230,"Approved"))</f>
        <v/>
      </c>
      <c r="R230" s="13" t="str">
        <f aca="false">IF(C230="","",MAX(B230+0,L230+0))</f>
        <v/>
      </c>
      <c r="S230" s="0" t="str">
        <f aca="true">IF(C230="","",IF(OR(K230="Approved",K230="Rejected",K230="Void"),"",TODAY()-R230))</f>
        <v/>
      </c>
    </row>
    <row r="231" customFormat="false" ht="15" hidden="false" customHeight="false" outlineLevel="0" collapsed="false">
      <c r="O231" s="0" t="str">
        <f aca="false">IF(C231="","",SUMIFS($N$2:N231,$C$2:C231,C231,$K$2:K231,"Approved"))</f>
        <v/>
      </c>
      <c r="R231" s="13" t="str">
        <f aca="false">IF(C231="","",MAX(B231+0,L231+0))</f>
        <v/>
      </c>
      <c r="S231" s="0" t="str">
        <f aca="true">IF(C231="","",IF(OR(K231="Approved",K231="Rejected",K231="Void"),"",TODAY()-R231))</f>
        <v/>
      </c>
    </row>
    <row r="232" customFormat="false" ht="15" hidden="false" customHeight="false" outlineLevel="0" collapsed="false">
      <c r="O232" s="0" t="str">
        <f aca="false">IF(C232="","",SUMIFS($N$2:N232,$C$2:C232,C232,$K$2:K232,"Approved"))</f>
        <v/>
      </c>
      <c r="R232" s="13" t="str">
        <f aca="false">IF(C232="","",MAX(B232+0,L232+0))</f>
        <v/>
      </c>
      <c r="S232" s="0" t="str">
        <f aca="true">IF(C232="","",IF(OR(K232="Approved",K232="Rejected",K232="Void"),"",TODAY()-R232))</f>
        <v/>
      </c>
    </row>
    <row r="233" customFormat="false" ht="15" hidden="false" customHeight="false" outlineLevel="0" collapsed="false">
      <c r="O233" s="0" t="str">
        <f aca="false">IF(C233="","",SUMIFS($N$2:N233,$C$2:C233,C233,$K$2:K233,"Approved"))</f>
        <v/>
      </c>
      <c r="R233" s="13" t="str">
        <f aca="false">IF(C233="","",MAX(B233+0,L233+0))</f>
        <v/>
      </c>
      <c r="S233" s="0" t="str">
        <f aca="true">IF(C233="","",IF(OR(K233="Approved",K233="Rejected",K233="Void"),"",TODAY()-R233))</f>
        <v/>
      </c>
    </row>
    <row r="234" customFormat="false" ht="15" hidden="false" customHeight="false" outlineLevel="0" collapsed="false">
      <c r="O234" s="0" t="str">
        <f aca="false">IF(C234="","",SUMIFS($N$2:N234,$C$2:C234,C234,$K$2:K234,"Approved"))</f>
        <v/>
      </c>
      <c r="R234" s="13" t="str">
        <f aca="false">IF(C234="","",MAX(B234+0,L234+0))</f>
        <v/>
      </c>
      <c r="S234" s="0" t="str">
        <f aca="true">IF(C234="","",IF(OR(K234="Approved",K234="Rejected",K234="Void"),"",TODAY()-R234))</f>
        <v/>
      </c>
    </row>
    <row r="235" customFormat="false" ht="15" hidden="false" customHeight="false" outlineLevel="0" collapsed="false">
      <c r="O235" s="0" t="str">
        <f aca="false">IF(C235="","",SUMIFS($N$2:N235,$C$2:C235,C235,$K$2:K235,"Approved"))</f>
        <v/>
      </c>
      <c r="R235" s="13" t="str">
        <f aca="false">IF(C235="","",MAX(B235+0,L235+0))</f>
        <v/>
      </c>
      <c r="S235" s="0" t="str">
        <f aca="true">IF(C235="","",IF(OR(K235="Approved",K235="Rejected",K235="Void"),"",TODAY()-R235))</f>
        <v/>
      </c>
    </row>
    <row r="236" customFormat="false" ht="15" hidden="false" customHeight="false" outlineLevel="0" collapsed="false">
      <c r="O236" s="0" t="str">
        <f aca="false">IF(C236="","",SUMIFS($N$2:N236,$C$2:C236,C236,$K$2:K236,"Approved"))</f>
        <v/>
      </c>
      <c r="R236" s="13" t="str">
        <f aca="false">IF(C236="","",MAX(B236+0,L236+0))</f>
        <v/>
      </c>
      <c r="S236" s="0" t="str">
        <f aca="true">IF(C236="","",IF(OR(K236="Approved",K236="Rejected",K236="Void"),"",TODAY()-R236))</f>
        <v/>
      </c>
    </row>
    <row r="237" customFormat="false" ht="15" hidden="false" customHeight="false" outlineLevel="0" collapsed="false">
      <c r="O237" s="0" t="str">
        <f aca="false">IF(C237="","",SUMIFS($N$2:N237,$C$2:C237,C237,$K$2:K237,"Approved"))</f>
        <v/>
      </c>
      <c r="R237" s="13" t="str">
        <f aca="false">IF(C237="","",MAX(B237+0,L237+0))</f>
        <v/>
      </c>
      <c r="S237" s="0" t="str">
        <f aca="true">IF(C237="","",IF(OR(K237="Approved",K237="Rejected",K237="Void"),"",TODAY()-R237))</f>
        <v/>
      </c>
    </row>
    <row r="238" customFormat="false" ht="15" hidden="false" customHeight="false" outlineLevel="0" collapsed="false">
      <c r="O238" s="0" t="str">
        <f aca="false">IF(C238="","",SUMIFS($N$2:N238,$C$2:C238,C238,$K$2:K238,"Approved"))</f>
        <v/>
      </c>
      <c r="R238" s="13" t="str">
        <f aca="false">IF(C238="","",MAX(B238+0,L238+0))</f>
        <v/>
      </c>
      <c r="S238" s="0" t="str">
        <f aca="true">IF(C238="","",IF(OR(K238="Approved",K238="Rejected",K238="Void"),"",TODAY()-R238))</f>
        <v/>
      </c>
    </row>
    <row r="239" customFormat="false" ht="15" hidden="false" customHeight="false" outlineLevel="0" collapsed="false">
      <c r="O239" s="0" t="str">
        <f aca="false">IF(C239="","",SUMIFS($N$2:N239,$C$2:C239,C239,$K$2:K239,"Approved"))</f>
        <v/>
      </c>
      <c r="R239" s="13" t="str">
        <f aca="false">IF(C239="","",MAX(B239+0,L239+0))</f>
        <v/>
      </c>
      <c r="S239" s="0" t="str">
        <f aca="true">IF(C239="","",IF(OR(K239="Approved",K239="Rejected",K239="Void"),"",TODAY()-R239))</f>
        <v/>
      </c>
    </row>
    <row r="240" customFormat="false" ht="15" hidden="false" customHeight="false" outlineLevel="0" collapsed="false">
      <c r="O240" s="0" t="str">
        <f aca="false">IF(C240="","",SUMIFS($N$2:N240,$C$2:C240,C240,$K$2:K240,"Approved"))</f>
        <v/>
      </c>
      <c r="R240" s="13" t="str">
        <f aca="false">IF(C240="","",MAX(B240+0,L240+0))</f>
        <v/>
      </c>
      <c r="S240" s="0" t="str">
        <f aca="true">IF(C240="","",IF(OR(K240="Approved",K240="Rejected",K240="Void"),"",TODAY()-R240))</f>
        <v/>
      </c>
    </row>
    <row r="241" customFormat="false" ht="15" hidden="false" customHeight="false" outlineLevel="0" collapsed="false">
      <c r="O241" s="0" t="str">
        <f aca="false">IF(C241="","",SUMIFS($N$2:N241,$C$2:C241,C241,$K$2:K241,"Approved"))</f>
        <v/>
      </c>
      <c r="R241" s="13" t="str">
        <f aca="false">IF(C241="","",MAX(B241+0,L241+0))</f>
        <v/>
      </c>
      <c r="S241" s="0" t="str">
        <f aca="true">IF(C241="","",IF(OR(K241="Approved",K241="Rejected",K241="Void"),"",TODAY()-R241))</f>
        <v/>
      </c>
    </row>
    <row r="242" customFormat="false" ht="15" hidden="false" customHeight="false" outlineLevel="0" collapsed="false">
      <c r="O242" s="0" t="str">
        <f aca="false">IF(C242="","",SUMIFS($N$2:N242,$C$2:C242,C242,$K$2:K242,"Approved"))</f>
        <v/>
      </c>
      <c r="R242" s="13" t="str">
        <f aca="false">IF(C242="","",MAX(B242+0,L242+0))</f>
        <v/>
      </c>
      <c r="S242" s="0" t="str">
        <f aca="true">IF(C242="","",IF(OR(K242="Approved",K242="Rejected",K242="Void"),"",TODAY()-R242))</f>
        <v/>
      </c>
    </row>
    <row r="243" customFormat="false" ht="15" hidden="false" customHeight="false" outlineLevel="0" collapsed="false">
      <c r="O243" s="0" t="str">
        <f aca="false">IF(C243="","",SUMIFS($N$2:N243,$C$2:C243,C243,$K$2:K243,"Approved"))</f>
        <v/>
      </c>
      <c r="R243" s="13" t="str">
        <f aca="false">IF(C243="","",MAX(B243+0,L243+0))</f>
        <v/>
      </c>
      <c r="S243" s="0" t="str">
        <f aca="true">IF(C243="","",IF(OR(K243="Approved",K243="Rejected",K243="Void"),"",TODAY()-R243))</f>
        <v/>
      </c>
    </row>
    <row r="244" customFormat="false" ht="15" hidden="false" customHeight="false" outlineLevel="0" collapsed="false">
      <c r="O244" s="0" t="str">
        <f aca="false">IF(C244="","",SUMIFS($N$2:N244,$C$2:C244,C244,$K$2:K244,"Approved"))</f>
        <v/>
      </c>
      <c r="R244" s="13" t="str">
        <f aca="false">IF(C244="","",MAX(B244+0,L244+0))</f>
        <v/>
      </c>
      <c r="S244" s="0" t="str">
        <f aca="true">IF(C244="","",IF(OR(K244="Approved",K244="Rejected",K244="Void"),"",TODAY()-R244))</f>
        <v/>
      </c>
    </row>
    <row r="245" customFormat="false" ht="15" hidden="false" customHeight="false" outlineLevel="0" collapsed="false">
      <c r="O245" s="0" t="str">
        <f aca="false">IF(C245="","",SUMIFS($N$2:N245,$C$2:C245,C245,$K$2:K245,"Approved"))</f>
        <v/>
      </c>
      <c r="R245" s="13" t="str">
        <f aca="false">IF(C245="","",MAX(B245+0,L245+0))</f>
        <v/>
      </c>
      <c r="S245" s="0" t="str">
        <f aca="true">IF(C245="","",IF(OR(K245="Approved",K245="Rejected",K245="Void"),"",TODAY()-R245))</f>
        <v/>
      </c>
    </row>
    <row r="246" customFormat="false" ht="15" hidden="false" customHeight="false" outlineLevel="0" collapsed="false">
      <c r="O246" s="0" t="str">
        <f aca="false">IF(C246="","",SUMIFS($N$2:N246,$C$2:C246,C246,$K$2:K246,"Approved"))</f>
        <v/>
      </c>
      <c r="R246" s="13" t="str">
        <f aca="false">IF(C246="","",MAX(B246+0,L246+0))</f>
        <v/>
      </c>
      <c r="S246" s="0" t="str">
        <f aca="true">IF(C246="","",IF(OR(K246="Approved",K246="Rejected",K246="Void"),"",TODAY()-R246))</f>
        <v/>
      </c>
    </row>
    <row r="247" customFormat="false" ht="15" hidden="false" customHeight="false" outlineLevel="0" collapsed="false">
      <c r="O247" s="0" t="str">
        <f aca="false">IF(C247="","",SUMIFS($N$2:N247,$C$2:C247,C247,$K$2:K247,"Approved"))</f>
        <v/>
      </c>
      <c r="R247" s="13" t="str">
        <f aca="false">IF(C247="","",MAX(B247+0,L247+0))</f>
        <v/>
      </c>
      <c r="S247" s="0" t="str">
        <f aca="true">IF(C247="","",IF(OR(K247="Approved",K247="Rejected",K247="Void"),"",TODAY()-R247))</f>
        <v/>
      </c>
    </row>
    <row r="248" customFormat="false" ht="15" hidden="false" customHeight="false" outlineLevel="0" collapsed="false">
      <c r="O248" s="0" t="str">
        <f aca="false">IF(C248="","",SUMIFS($N$2:N248,$C$2:C248,C248,$K$2:K248,"Approved"))</f>
        <v/>
      </c>
      <c r="R248" s="13" t="str">
        <f aca="false">IF(C248="","",MAX(B248+0,L248+0))</f>
        <v/>
      </c>
      <c r="S248" s="0" t="str">
        <f aca="true">IF(C248="","",IF(OR(K248="Approved",K248="Rejected",K248="Void"),"",TODAY()-R248))</f>
        <v/>
      </c>
    </row>
    <row r="249" customFormat="false" ht="15" hidden="false" customHeight="false" outlineLevel="0" collapsed="false">
      <c r="O249" s="0" t="str">
        <f aca="false">IF(C249="","",SUMIFS($N$2:N249,$C$2:C249,C249,$K$2:K249,"Approved"))</f>
        <v/>
      </c>
      <c r="R249" s="13" t="str">
        <f aca="false">IF(C249="","",MAX(B249+0,L249+0))</f>
        <v/>
      </c>
      <c r="S249" s="0" t="str">
        <f aca="true">IF(C249="","",IF(OR(K249="Approved",K249="Rejected",K249="Void"),"",TODAY()-R249))</f>
        <v/>
      </c>
    </row>
    <row r="250" customFormat="false" ht="15" hidden="false" customHeight="false" outlineLevel="0" collapsed="false">
      <c r="O250" s="0" t="str">
        <f aca="false">IF(C250="","",SUMIFS($N$2:N250,$C$2:C250,C250,$K$2:K250,"Approved"))</f>
        <v/>
      </c>
      <c r="R250" s="13" t="str">
        <f aca="false">IF(C250="","",MAX(B250+0,L250+0))</f>
        <v/>
      </c>
      <c r="S250" s="0" t="str">
        <f aca="true">IF(C250="","",IF(OR(K250="Approved",K250="Rejected",K250="Void"),"",TODAY()-R250))</f>
        <v/>
      </c>
    </row>
    <row r="251" customFormat="false" ht="15" hidden="false" customHeight="false" outlineLevel="0" collapsed="false">
      <c r="O251" s="0" t="str">
        <f aca="false">IF(C251="","",SUMIFS($N$2:N251,$C$2:C251,C251,$K$2:K251,"Approved"))</f>
        <v/>
      </c>
      <c r="R251" s="13" t="str">
        <f aca="false">IF(C251="","",MAX(B251+0,L251+0))</f>
        <v/>
      </c>
      <c r="S251" s="0" t="str">
        <f aca="true">IF(C251="","",IF(OR(K251="Approved",K251="Rejected",K251="Void"),"",TODAY()-R251))</f>
        <v/>
      </c>
    </row>
    <row r="252" customFormat="false" ht="15" hidden="false" customHeight="false" outlineLevel="0" collapsed="false">
      <c r="O252" s="0" t="str">
        <f aca="false">IF(C252="","",SUMIFS($N$2:N252,$C$2:C252,C252,$K$2:K252,"Approved"))</f>
        <v/>
      </c>
      <c r="R252" s="13" t="str">
        <f aca="false">IF(C252="","",MAX(B252+0,L252+0))</f>
        <v/>
      </c>
      <c r="S252" s="0" t="str">
        <f aca="true">IF(C252="","",IF(OR(K252="Approved",K252="Rejected",K252="Void"),"",TODAY()-R252))</f>
        <v/>
      </c>
    </row>
    <row r="253" customFormat="false" ht="15" hidden="false" customHeight="false" outlineLevel="0" collapsed="false">
      <c r="O253" s="0" t="str">
        <f aca="false">IF(C253="","",SUMIFS($N$2:N253,$C$2:C253,C253,$K$2:K253,"Approved"))</f>
        <v/>
      </c>
      <c r="R253" s="13" t="str">
        <f aca="false">IF(C253="","",MAX(B253+0,L253+0))</f>
        <v/>
      </c>
      <c r="S253" s="0" t="str">
        <f aca="true">IF(C253="","",IF(OR(K253="Approved",K253="Rejected",K253="Void"),"",TODAY()-R253))</f>
        <v/>
      </c>
    </row>
    <row r="254" customFormat="false" ht="15" hidden="false" customHeight="false" outlineLevel="0" collapsed="false">
      <c r="O254" s="0" t="str">
        <f aca="false">IF(C254="","",SUMIFS($N$2:N254,$C$2:C254,C254,$K$2:K254,"Approved"))</f>
        <v/>
      </c>
      <c r="R254" s="13" t="str">
        <f aca="false">IF(C254="","",MAX(B254+0,L254+0))</f>
        <v/>
      </c>
      <c r="S254" s="0" t="str">
        <f aca="true">IF(C254="","",IF(OR(K254="Approved",K254="Rejected",K254="Void"),"",TODAY()-R254))</f>
        <v/>
      </c>
    </row>
    <row r="255" customFormat="false" ht="15" hidden="false" customHeight="false" outlineLevel="0" collapsed="false">
      <c r="O255" s="0" t="str">
        <f aca="false">IF(C255="","",SUMIFS($N$2:N255,$C$2:C255,C255,$K$2:K255,"Approved"))</f>
        <v/>
      </c>
      <c r="R255" s="13" t="str">
        <f aca="false">IF(C255="","",MAX(B255+0,L255+0))</f>
        <v/>
      </c>
      <c r="S255" s="0" t="str">
        <f aca="true">IF(C255="","",IF(OR(K255="Approved",K255="Rejected",K255="Void"),"",TODAY()-R255))</f>
        <v/>
      </c>
    </row>
    <row r="256" customFormat="false" ht="15" hidden="false" customHeight="false" outlineLevel="0" collapsed="false">
      <c r="O256" s="0" t="str">
        <f aca="false">IF(C256="","",SUMIFS($N$2:N256,$C$2:C256,C256,$K$2:K256,"Approved"))</f>
        <v/>
      </c>
      <c r="R256" s="13" t="str">
        <f aca="false">IF(C256="","",MAX(B256+0,L256+0))</f>
        <v/>
      </c>
      <c r="S256" s="0" t="str">
        <f aca="true">IF(C256="","",IF(OR(K256="Approved",K256="Rejected",K256="Void"),"",TODAY()-R256))</f>
        <v/>
      </c>
    </row>
    <row r="257" customFormat="false" ht="15" hidden="false" customHeight="false" outlineLevel="0" collapsed="false">
      <c r="O257" s="0" t="str">
        <f aca="false">IF(C257="","",SUMIFS($N$2:N257,$C$2:C257,C257,$K$2:K257,"Approved"))</f>
        <v/>
      </c>
      <c r="R257" s="13" t="str">
        <f aca="false">IF(C257="","",MAX(B257+0,L257+0))</f>
        <v/>
      </c>
      <c r="S257" s="0" t="str">
        <f aca="true">IF(C257="","",IF(OR(K257="Approved",K257="Rejected",K257="Void"),"",TODAY()-R257))</f>
        <v/>
      </c>
    </row>
    <row r="258" customFormat="false" ht="15" hidden="false" customHeight="false" outlineLevel="0" collapsed="false">
      <c r="O258" s="0" t="str">
        <f aca="false">IF(C258="","",SUMIFS($N$2:N258,$C$2:C258,C258,$K$2:K258,"Approved"))</f>
        <v/>
      </c>
      <c r="R258" s="13" t="str">
        <f aca="false">IF(C258="","",MAX(B258+0,L258+0))</f>
        <v/>
      </c>
      <c r="S258" s="0" t="str">
        <f aca="true">IF(C258="","",IF(OR(K258="Approved",K258="Rejected",K258="Void"),"",TODAY()-R258))</f>
        <v/>
      </c>
    </row>
    <row r="259" customFormat="false" ht="15" hidden="false" customHeight="false" outlineLevel="0" collapsed="false">
      <c r="O259" s="0" t="str">
        <f aca="false">IF(C259="","",SUMIFS($N$2:N259,$C$2:C259,C259,$K$2:K259,"Approved"))</f>
        <v/>
      </c>
      <c r="R259" s="13" t="str">
        <f aca="false">IF(C259="","",MAX(B259+0,L259+0))</f>
        <v/>
      </c>
      <c r="S259" s="0" t="str">
        <f aca="true">IF(C259="","",IF(OR(K259="Approved",K259="Rejected",K259="Void"),"",TODAY()-R259))</f>
        <v/>
      </c>
    </row>
    <row r="260" customFormat="false" ht="15" hidden="false" customHeight="false" outlineLevel="0" collapsed="false">
      <c r="O260" s="0" t="str">
        <f aca="false">IF(C260="","",SUMIFS($N$2:N260,$C$2:C260,C260,$K$2:K260,"Approved"))</f>
        <v/>
      </c>
      <c r="R260" s="13" t="str">
        <f aca="false">IF(C260="","",MAX(B260+0,L260+0))</f>
        <v/>
      </c>
      <c r="S260" s="0" t="str">
        <f aca="true">IF(C260="","",IF(OR(K260="Approved",K260="Rejected",K260="Void"),"",TODAY()-R260))</f>
        <v/>
      </c>
    </row>
    <row r="261" customFormat="false" ht="15" hidden="false" customHeight="false" outlineLevel="0" collapsed="false">
      <c r="O261" s="0" t="str">
        <f aca="false">IF(C261="","",SUMIFS($N$2:N261,$C$2:C261,C261,$K$2:K261,"Approved"))</f>
        <v/>
      </c>
      <c r="R261" s="13" t="str">
        <f aca="false">IF(C261="","",MAX(B261+0,L261+0))</f>
        <v/>
      </c>
      <c r="S261" s="0" t="str">
        <f aca="true">IF(C261="","",IF(OR(K261="Approved",K261="Rejected",K261="Void"),"",TODAY()-R261))</f>
        <v/>
      </c>
    </row>
    <row r="262" customFormat="false" ht="15" hidden="false" customHeight="false" outlineLevel="0" collapsed="false">
      <c r="O262" s="0" t="str">
        <f aca="false">IF(C262="","",SUMIFS($N$2:N262,$C$2:C262,C262,$K$2:K262,"Approved"))</f>
        <v/>
      </c>
      <c r="R262" s="13" t="str">
        <f aca="false">IF(C262="","",MAX(B262+0,L262+0))</f>
        <v/>
      </c>
      <c r="S262" s="0" t="str">
        <f aca="true">IF(C262="","",IF(OR(K262="Approved",K262="Rejected",K262="Void"),"",TODAY()-R262))</f>
        <v/>
      </c>
    </row>
    <row r="263" customFormat="false" ht="15" hidden="false" customHeight="false" outlineLevel="0" collapsed="false">
      <c r="O263" s="0" t="str">
        <f aca="false">IF(C263="","",SUMIFS($N$2:N263,$C$2:C263,C263,$K$2:K263,"Approved"))</f>
        <v/>
      </c>
      <c r="R263" s="13" t="str">
        <f aca="false">IF(C263="","",MAX(B263+0,L263+0))</f>
        <v/>
      </c>
      <c r="S263" s="0" t="str">
        <f aca="true">IF(C263="","",IF(OR(K263="Approved",K263="Rejected",K263="Void"),"",TODAY()-R263))</f>
        <v/>
      </c>
    </row>
    <row r="264" customFormat="false" ht="15" hidden="false" customHeight="false" outlineLevel="0" collapsed="false">
      <c r="O264" s="0" t="str">
        <f aca="false">IF(C264="","",SUMIFS($N$2:N264,$C$2:C264,C264,$K$2:K264,"Approved"))</f>
        <v/>
      </c>
      <c r="R264" s="13" t="str">
        <f aca="false">IF(C264="","",MAX(B264+0,L264+0))</f>
        <v/>
      </c>
      <c r="S264" s="0" t="str">
        <f aca="true">IF(C264="","",IF(OR(K264="Approved",K264="Rejected",K264="Void"),"",TODAY()-R264))</f>
        <v/>
      </c>
    </row>
    <row r="265" customFormat="false" ht="15" hidden="false" customHeight="false" outlineLevel="0" collapsed="false">
      <c r="O265" s="0" t="str">
        <f aca="false">IF(C265="","",SUMIFS($N$2:N265,$C$2:C265,C265,$K$2:K265,"Approved"))</f>
        <v/>
      </c>
      <c r="R265" s="13" t="str">
        <f aca="false">IF(C265="","",MAX(B265+0,L265+0))</f>
        <v/>
      </c>
      <c r="S265" s="0" t="str">
        <f aca="true">IF(C265="","",IF(OR(K265="Approved",K265="Rejected",K265="Void"),"",TODAY()-R265))</f>
        <v/>
      </c>
    </row>
    <row r="266" customFormat="false" ht="15" hidden="false" customHeight="false" outlineLevel="0" collapsed="false">
      <c r="O266" s="0" t="str">
        <f aca="false">IF(C266="","",SUMIFS($N$2:N266,$C$2:C266,C266,$K$2:K266,"Approved"))</f>
        <v/>
      </c>
      <c r="R266" s="13" t="str">
        <f aca="false">IF(C266="","",MAX(B266+0,L266+0))</f>
        <v/>
      </c>
      <c r="S266" s="0" t="str">
        <f aca="true">IF(C266="","",IF(OR(K266="Approved",K266="Rejected",K266="Void"),"",TODAY()-R266))</f>
        <v/>
      </c>
    </row>
    <row r="267" customFormat="false" ht="15" hidden="false" customHeight="false" outlineLevel="0" collapsed="false">
      <c r="O267" s="0" t="str">
        <f aca="false">IF(C267="","",SUMIFS($N$2:N267,$C$2:C267,C267,$K$2:K267,"Approved"))</f>
        <v/>
      </c>
      <c r="R267" s="13" t="str">
        <f aca="false">IF(C267="","",MAX(B267+0,L267+0))</f>
        <v/>
      </c>
      <c r="S267" s="0" t="str">
        <f aca="true">IF(C267="","",IF(OR(K267="Approved",K267="Rejected",K267="Void"),"",TODAY()-R267))</f>
        <v/>
      </c>
    </row>
    <row r="268" customFormat="false" ht="15" hidden="false" customHeight="false" outlineLevel="0" collapsed="false">
      <c r="O268" s="0" t="str">
        <f aca="false">IF(C268="","",SUMIFS($N$2:N268,$C$2:C268,C268,$K$2:K268,"Approved"))</f>
        <v/>
      </c>
      <c r="R268" s="13" t="str">
        <f aca="false">IF(C268="","",MAX(B268+0,L268+0))</f>
        <v/>
      </c>
      <c r="S268" s="0" t="str">
        <f aca="true">IF(C268="","",IF(OR(K268="Approved",K268="Rejected",K268="Void"),"",TODAY()-R268))</f>
        <v/>
      </c>
    </row>
    <row r="269" customFormat="false" ht="15" hidden="false" customHeight="false" outlineLevel="0" collapsed="false">
      <c r="O269" s="0" t="str">
        <f aca="false">IF(C269="","",SUMIFS($N$2:N269,$C$2:C269,C269,$K$2:K269,"Approved"))</f>
        <v/>
      </c>
      <c r="R269" s="13" t="str">
        <f aca="false">IF(C269="","",MAX(B269+0,L269+0))</f>
        <v/>
      </c>
      <c r="S269" s="0" t="str">
        <f aca="true">IF(C269="","",IF(OR(K269="Approved",K269="Rejected",K269="Void"),"",TODAY()-R269))</f>
        <v/>
      </c>
    </row>
    <row r="270" customFormat="false" ht="15" hidden="false" customHeight="false" outlineLevel="0" collapsed="false">
      <c r="O270" s="0" t="str">
        <f aca="false">IF(C270="","",SUMIFS($N$2:N270,$C$2:C270,C270,$K$2:K270,"Approved"))</f>
        <v/>
      </c>
      <c r="R270" s="13" t="str">
        <f aca="false">IF(C270="","",MAX(B270+0,L270+0))</f>
        <v/>
      </c>
      <c r="S270" s="0" t="str">
        <f aca="true">IF(C270="","",IF(OR(K270="Approved",K270="Rejected",K270="Void"),"",TODAY()-R270))</f>
        <v/>
      </c>
    </row>
    <row r="271" customFormat="false" ht="15" hidden="false" customHeight="false" outlineLevel="0" collapsed="false">
      <c r="O271" s="0" t="str">
        <f aca="false">IF(C271="","",SUMIFS($N$2:N271,$C$2:C271,C271,$K$2:K271,"Approved"))</f>
        <v/>
      </c>
      <c r="R271" s="13" t="str">
        <f aca="false">IF(C271="","",MAX(B271+0,L271+0))</f>
        <v/>
      </c>
      <c r="S271" s="0" t="str">
        <f aca="true">IF(C271="","",IF(OR(K271="Approved",K271="Rejected",K271="Void"),"",TODAY()-R271))</f>
        <v/>
      </c>
    </row>
    <row r="272" customFormat="false" ht="15" hidden="false" customHeight="false" outlineLevel="0" collapsed="false">
      <c r="O272" s="0" t="str">
        <f aca="false">IF(C272="","",SUMIFS($N$2:N272,$C$2:C272,C272,$K$2:K272,"Approved"))</f>
        <v/>
      </c>
      <c r="R272" s="13" t="str">
        <f aca="false">IF(C272="","",MAX(B272+0,L272+0))</f>
        <v/>
      </c>
      <c r="S272" s="0" t="str">
        <f aca="true">IF(C272="","",IF(OR(K272="Approved",K272="Rejected",K272="Void"),"",TODAY()-R272))</f>
        <v/>
      </c>
    </row>
    <row r="273" customFormat="false" ht="15" hidden="false" customHeight="false" outlineLevel="0" collapsed="false">
      <c r="O273" s="0" t="str">
        <f aca="false">IF(C273="","",SUMIFS($N$2:N273,$C$2:C273,C273,$K$2:K273,"Approved"))</f>
        <v/>
      </c>
      <c r="R273" s="13" t="str">
        <f aca="false">IF(C273="","",MAX(B273+0,L273+0))</f>
        <v/>
      </c>
      <c r="S273" s="0" t="str">
        <f aca="true">IF(C273="","",IF(OR(K273="Approved",K273="Rejected",K273="Void"),"",TODAY()-R273))</f>
        <v/>
      </c>
    </row>
    <row r="274" customFormat="false" ht="15" hidden="false" customHeight="false" outlineLevel="0" collapsed="false">
      <c r="O274" s="0" t="str">
        <f aca="false">IF(C274="","",SUMIFS($N$2:N274,$C$2:C274,C274,$K$2:K274,"Approved"))</f>
        <v/>
      </c>
      <c r="R274" s="13" t="str">
        <f aca="false">IF(C274="","",MAX(B274+0,L274+0))</f>
        <v/>
      </c>
      <c r="S274" s="0" t="str">
        <f aca="true">IF(C274="","",IF(OR(K274="Approved",K274="Rejected",K274="Void"),"",TODAY()-R274))</f>
        <v/>
      </c>
    </row>
    <row r="275" customFormat="false" ht="15" hidden="false" customHeight="false" outlineLevel="0" collapsed="false">
      <c r="O275" s="0" t="str">
        <f aca="false">IF(C275="","",SUMIFS($N$2:N275,$C$2:C275,C275,$K$2:K275,"Approved"))</f>
        <v/>
      </c>
      <c r="R275" s="13" t="str">
        <f aca="false">IF(C275="","",MAX(B275+0,L275+0))</f>
        <v/>
      </c>
      <c r="S275" s="0" t="str">
        <f aca="true">IF(C275="","",IF(OR(K275="Approved",K275="Rejected",K275="Void"),"",TODAY()-R275))</f>
        <v/>
      </c>
    </row>
    <row r="276" customFormat="false" ht="15" hidden="false" customHeight="false" outlineLevel="0" collapsed="false">
      <c r="O276" s="0" t="str">
        <f aca="false">IF(C276="","",SUMIFS($N$2:N276,$C$2:C276,C276,$K$2:K276,"Approved"))</f>
        <v/>
      </c>
      <c r="R276" s="13" t="str">
        <f aca="false">IF(C276="","",MAX(B276+0,L276+0))</f>
        <v/>
      </c>
      <c r="S276" s="0" t="str">
        <f aca="true">IF(C276="","",IF(OR(K276="Approved",K276="Rejected",K276="Void"),"",TODAY()-R276))</f>
        <v/>
      </c>
    </row>
    <row r="277" customFormat="false" ht="15" hidden="false" customHeight="false" outlineLevel="0" collapsed="false">
      <c r="O277" s="0" t="str">
        <f aca="false">IF(C277="","",SUMIFS($N$2:N277,$C$2:C277,C277,$K$2:K277,"Approved"))</f>
        <v/>
      </c>
      <c r="R277" s="13" t="str">
        <f aca="false">IF(C277="","",MAX(B277+0,L277+0))</f>
        <v/>
      </c>
      <c r="S277" s="0" t="str">
        <f aca="true">IF(C277="","",IF(OR(K277="Approved",K277="Rejected",K277="Void"),"",TODAY()-R277))</f>
        <v/>
      </c>
    </row>
    <row r="278" customFormat="false" ht="15" hidden="false" customHeight="false" outlineLevel="0" collapsed="false">
      <c r="O278" s="0" t="str">
        <f aca="false">IF(C278="","",SUMIFS($N$2:N278,$C$2:C278,C278,$K$2:K278,"Approved"))</f>
        <v/>
      </c>
      <c r="R278" s="13" t="str">
        <f aca="false">IF(C278="","",MAX(B278+0,L278+0))</f>
        <v/>
      </c>
      <c r="S278" s="0" t="str">
        <f aca="true">IF(C278="","",IF(OR(K278="Approved",K278="Rejected",K278="Void"),"",TODAY()-R278))</f>
        <v/>
      </c>
    </row>
    <row r="279" customFormat="false" ht="15" hidden="false" customHeight="false" outlineLevel="0" collapsed="false">
      <c r="O279" s="0" t="str">
        <f aca="false">IF(C279="","",SUMIFS($N$2:N279,$C$2:C279,C279,$K$2:K279,"Approved"))</f>
        <v/>
      </c>
      <c r="R279" s="13" t="str">
        <f aca="false">IF(C279="","",MAX(B279+0,L279+0))</f>
        <v/>
      </c>
      <c r="S279" s="0" t="str">
        <f aca="true">IF(C279="","",IF(OR(K279="Approved",K279="Rejected",K279="Void"),"",TODAY()-R279))</f>
        <v/>
      </c>
    </row>
    <row r="280" customFormat="false" ht="15" hidden="false" customHeight="false" outlineLevel="0" collapsed="false">
      <c r="O280" s="0" t="str">
        <f aca="false">IF(C280="","",SUMIFS($N$2:N280,$C$2:C280,C280,$K$2:K280,"Approved"))</f>
        <v/>
      </c>
      <c r="R280" s="13" t="str">
        <f aca="false">IF(C280="","",MAX(B280+0,L280+0))</f>
        <v/>
      </c>
      <c r="S280" s="0" t="str">
        <f aca="true">IF(C280="","",IF(OR(K280="Approved",K280="Rejected",K280="Void"),"",TODAY()-R280))</f>
        <v/>
      </c>
    </row>
    <row r="281" customFormat="false" ht="15" hidden="false" customHeight="false" outlineLevel="0" collapsed="false">
      <c r="O281" s="0" t="str">
        <f aca="false">IF(C281="","",SUMIFS($N$2:N281,$C$2:C281,C281,$K$2:K281,"Approved"))</f>
        <v/>
      </c>
      <c r="R281" s="13" t="str">
        <f aca="false">IF(C281="","",MAX(B281+0,L281+0))</f>
        <v/>
      </c>
      <c r="S281" s="0" t="str">
        <f aca="true">IF(C281="","",IF(OR(K281="Approved",K281="Rejected",K281="Void"),"",TODAY()-R281))</f>
        <v/>
      </c>
    </row>
    <row r="282" customFormat="false" ht="15" hidden="false" customHeight="false" outlineLevel="0" collapsed="false">
      <c r="O282" s="0" t="str">
        <f aca="false">IF(C282="","",SUMIFS($N$2:N282,$C$2:C282,C282,$K$2:K282,"Approved"))</f>
        <v/>
      </c>
      <c r="R282" s="13" t="str">
        <f aca="false">IF(C282="","",MAX(B282+0,L282+0))</f>
        <v/>
      </c>
      <c r="S282" s="0" t="str">
        <f aca="true">IF(C282="","",IF(OR(K282="Approved",K282="Rejected",K282="Void"),"",TODAY()-R282))</f>
        <v/>
      </c>
    </row>
    <row r="283" customFormat="false" ht="15" hidden="false" customHeight="false" outlineLevel="0" collapsed="false">
      <c r="O283" s="0" t="str">
        <f aca="false">IF(C283="","",SUMIFS($N$2:N283,$C$2:C283,C283,$K$2:K283,"Approved"))</f>
        <v/>
      </c>
      <c r="R283" s="13" t="str">
        <f aca="false">IF(C283="","",MAX(B283+0,L283+0))</f>
        <v/>
      </c>
      <c r="S283" s="0" t="str">
        <f aca="true">IF(C283="","",IF(OR(K283="Approved",K283="Rejected",K283="Void"),"",TODAY()-R283))</f>
        <v/>
      </c>
    </row>
    <row r="284" customFormat="false" ht="15" hidden="false" customHeight="false" outlineLevel="0" collapsed="false">
      <c r="O284" s="0" t="str">
        <f aca="false">IF(C284="","",SUMIFS($N$2:N284,$C$2:C284,C284,$K$2:K284,"Approved"))</f>
        <v/>
      </c>
      <c r="R284" s="13" t="str">
        <f aca="false">IF(C284="","",MAX(B284+0,L284+0))</f>
        <v/>
      </c>
      <c r="S284" s="0" t="str">
        <f aca="true">IF(C284="","",IF(OR(K284="Approved",K284="Rejected",K284="Void"),"",TODAY()-R284))</f>
        <v/>
      </c>
    </row>
    <row r="285" customFormat="false" ht="15" hidden="false" customHeight="false" outlineLevel="0" collapsed="false">
      <c r="O285" s="0" t="str">
        <f aca="false">IF(C285="","",SUMIFS($N$2:N285,$C$2:C285,C285,$K$2:K285,"Approved"))</f>
        <v/>
      </c>
      <c r="R285" s="13" t="str">
        <f aca="false">IF(C285="","",MAX(B285+0,L285+0))</f>
        <v/>
      </c>
      <c r="S285" s="0" t="str">
        <f aca="true">IF(C285="","",IF(OR(K285="Approved",K285="Rejected",K285="Void"),"",TODAY()-R285))</f>
        <v/>
      </c>
    </row>
    <row r="286" customFormat="false" ht="15" hidden="false" customHeight="false" outlineLevel="0" collapsed="false">
      <c r="O286" s="0" t="str">
        <f aca="false">IF(C286="","",SUMIFS($N$2:N286,$C$2:C286,C286,$K$2:K286,"Approved"))</f>
        <v/>
      </c>
      <c r="R286" s="13" t="str">
        <f aca="false">IF(C286="","",MAX(B286+0,L286+0))</f>
        <v/>
      </c>
      <c r="S286" s="0" t="str">
        <f aca="true">IF(C286="","",IF(OR(K286="Approved",K286="Rejected",K286="Void"),"",TODAY()-R286))</f>
        <v/>
      </c>
    </row>
    <row r="287" customFormat="false" ht="15" hidden="false" customHeight="false" outlineLevel="0" collapsed="false">
      <c r="O287" s="0" t="str">
        <f aca="false">IF(C287="","",SUMIFS($N$2:N287,$C$2:C287,C287,$K$2:K287,"Approved"))</f>
        <v/>
      </c>
      <c r="R287" s="13" t="str">
        <f aca="false">IF(C287="","",MAX(B287+0,L287+0))</f>
        <v/>
      </c>
      <c r="S287" s="0" t="str">
        <f aca="true">IF(C287="","",IF(OR(K287="Approved",K287="Rejected",K287="Void"),"",TODAY()-R287))</f>
        <v/>
      </c>
    </row>
    <row r="288" customFormat="false" ht="15" hidden="false" customHeight="false" outlineLevel="0" collapsed="false">
      <c r="O288" s="0" t="str">
        <f aca="false">IF(C288="","",SUMIFS($N$2:N288,$C$2:C288,C288,$K$2:K288,"Approved"))</f>
        <v/>
      </c>
      <c r="R288" s="13" t="str">
        <f aca="false">IF(C288="","",MAX(B288+0,L288+0))</f>
        <v/>
      </c>
      <c r="S288" s="0" t="str">
        <f aca="true">IF(C288="","",IF(OR(K288="Approved",K288="Rejected",K288="Void"),"",TODAY()-R288))</f>
        <v/>
      </c>
    </row>
    <row r="289" customFormat="false" ht="15" hidden="false" customHeight="false" outlineLevel="0" collapsed="false">
      <c r="O289" s="0" t="str">
        <f aca="false">IF(C289="","",SUMIFS($N$2:N289,$C$2:C289,C289,$K$2:K289,"Approved"))</f>
        <v/>
      </c>
      <c r="R289" s="13" t="str">
        <f aca="false">IF(C289="","",MAX(B289+0,L289+0))</f>
        <v/>
      </c>
      <c r="S289" s="0" t="str">
        <f aca="true">IF(C289="","",IF(OR(K289="Approved",K289="Rejected",K289="Void"),"",TODAY()-R289))</f>
        <v/>
      </c>
    </row>
    <row r="290" customFormat="false" ht="15" hidden="false" customHeight="false" outlineLevel="0" collapsed="false">
      <c r="O290" s="0" t="str">
        <f aca="false">IF(C290="","",SUMIFS($N$2:N290,$C$2:C290,C290,$K$2:K290,"Approved"))</f>
        <v/>
      </c>
      <c r="R290" s="13" t="str">
        <f aca="false">IF(C290="","",MAX(B290+0,L290+0))</f>
        <v/>
      </c>
      <c r="S290" s="0" t="str">
        <f aca="true">IF(C290="","",IF(OR(K290="Approved",K290="Rejected",K290="Void"),"",TODAY()-R290))</f>
        <v/>
      </c>
    </row>
    <row r="291" customFormat="false" ht="15" hidden="false" customHeight="false" outlineLevel="0" collapsed="false">
      <c r="O291" s="0" t="str">
        <f aca="false">IF(C291="","",SUMIFS($N$2:N291,$C$2:C291,C291,$K$2:K291,"Approved"))</f>
        <v/>
      </c>
      <c r="R291" s="13" t="str">
        <f aca="false">IF(C291="","",MAX(B291+0,L291+0))</f>
        <v/>
      </c>
      <c r="S291" s="0" t="str">
        <f aca="true">IF(C291="","",IF(OR(K291="Approved",K291="Rejected",K291="Void"),"",TODAY()-R291))</f>
        <v/>
      </c>
    </row>
    <row r="292" customFormat="false" ht="15" hidden="false" customHeight="false" outlineLevel="0" collapsed="false">
      <c r="O292" s="0" t="str">
        <f aca="false">IF(C292="","",SUMIFS($N$2:N292,$C$2:C292,C292,$K$2:K292,"Approved"))</f>
        <v/>
      </c>
      <c r="R292" s="13" t="str">
        <f aca="false">IF(C292="","",MAX(B292+0,L292+0))</f>
        <v/>
      </c>
      <c r="S292" s="0" t="str">
        <f aca="true">IF(C292="","",IF(OR(K292="Approved",K292="Rejected",K292="Void"),"",TODAY()-R292))</f>
        <v/>
      </c>
    </row>
    <row r="293" customFormat="false" ht="15" hidden="false" customHeight="false" outlineLevel="0" collapsed="false">
      <c r="O293" s="0" t="str">
        <f aca="false">IF(C293="","",SUMIFS($N$2:N293,$C$2:C293,C293,$K$2:K293,"Approved"))</f>
        <v/>
      </c>
      <c r="R293" s="13" t="str">
        <f aca="false">IF(C293="","",MAX(B293+0,L293+0))</f>
        <v/>
      </c>
      <c r="S293" s="0" t="str">
        <f aca="true">IF(C293="","",IF(OR(K293="Approved",K293="Rejected",K293="Void"),"",TODAY()-R293))</f>
        <v/>
      </c>
    </row>
    <row r="294" customFormat="false" ht="15" hidden="false" customHeight="false" outlineLevel="0" collapsed="false">
      <c r="O294" s="0" t="str">
        <f aca="false">IF(C294="","",SUMIFS($N$2:N294,$C$2:C294,C294,$K$2:K294,"Approved"))</f>
        <v/>
      </c>
      <c r="R294" s="13" t="str">
        <f aca="false">IF(C294="","",MAX(B294+0,L294+0))</f>
        <v/>
      </c>
      <c r="S294" s="0" t="str">
        <f aca="true">IF(C294="","",IF(OR(K294="Approved",K294="Rejected",K294="Void"),"",TODAY()-R294))</f>
        <v/>
      </c>
    </row>
    <row r="295" customFormat="false" ht="15" hidden="false" customHeight="false" outlineLevel="0" collapsed="false">
      <c r="O295" s="0" t="str">
        <f aca="false">IF(C295="","",SUMIFS($N$2:N295,$C$2:C295,C295,$K$2:K295,"Approved"))</f>
        <v/>
      </c>
      <c r="R295" s="13" t="str">
        <f aca="false">IF(C295="","",MAX(B295+0,L295+0))</f>
        <v/>
      </c>
      <c r="S295" s="0" t="str">
        <f aca="true">IF(C295="","",IF(OR(K295="Approved",K295="Rejected",K295="Void"),"",TODAY()-R295))</f>
        <v/>
      </c>
    </row>
    <row r="296" customFormat="false" ht="15" hidden="false" customHeight="false" outlineLevel="0" collapsed="false">
      <c r="O296" s="0" t="str">
        <f aca="false">IF(C296="","",SUMIFS($N$2:N296,$C$2:C296,C296,$K$2:K296,"Approved"))</f>
        <v/>
      </c>
      <c r="R296" s="13" t="str">
        <f aca="false">IF(C296="","",MAX(B296+0,L296+0))</f>
        <v/>
      </c>
      <c r="S296" s="0" t="str">
        <f aca="true">IF(C296="","",IF(OR(K296="Approved",K296="Rejected",K296="Void"),"",TODAY()-R296))</f>
        <v/>
      </c>
    </row>
    <row r="297" customFormat="false" ht="15" hidden="false" customHeight="false" outlineLevel="0" collapsed="false">
      <c r="O297" s="0" t="str">
        <f aca="false">IF(C297="","",SUMIFS($N$2:N297,$C$2:C297,C297,$K$2:K297,"Approved"))</f>
        <v/>
      </c>
      <c r="R297" s="13" t="str">
        <f aca="false">IF(C297="","",MAX(B297+0,L297+0))</f>
        <v/>
      </c>
      <c r="S297" s="0" t="str">
        <f aca="true">IF(C297="","",IF(OR(K297="Approved",K297="Rejected",K297="Void"),"",TODAY()-R297))</f>
        <v/>
      </c>
    </row>
    <row r="298" customFormat="false" ht="15" hidden="false" customHeight="false" outlineLevel="0" collapsed="false">
      <c r="O298" s="0" t="str">
        <f aca="false">IF(C298="","",SUMIFS($N$2:N298,$C$2:C298,C298,$K$2:K298,"Approved"))</f>
        <v/>
      </c>
      <c r="R298" s="13" t="str">
        <f aca="false">IF(C298="","",MAX(B298+0,L298+0))</f>
        <v/>
      </c>
      <c r="S298" s="0" t="str">
        <f aca="true">IF(C298="","",IF(OR(K298="Approved",K298="Rejected",K298="Void"),"",TODAY()-R298))</f>
        <v/>
      </c>
    </row>
    <row r="299" customFormat="false" ht="15" hidden="false" customHeight="false" outlineLevel="0" collapsed="false">
      <c r="O299" s="0" t="str">
        <f aca="false">IF(C299="","",SUMIFS($N$2:N299,$C$2:C299,C299,$K$2:K299,"Approved"))</f>
        <v/>
      </c>
      <c r="R299" s="13" t="str">
        <f aca="false">IF(C299="","",MAX(B299+0,L299+0))</f>
        <v/>
      </c>
      <c r="S299" s="0" t="str">
        <f aca="true">IF(C299="","",IF(OR(K299="Approved",K299="Rejected",K299="Void"),"",TODAY()-R299))</f>
        <v/>
      </c>
    </row>
    <row r="302" customFormat="false" ht="15" hidden="false" customHeight="false" outlineLevel="0" collapsed="false">
      <c r="A302" s="3" t="s">
        <v>296</v>
      </c>
    </row>
  </sheetData>
  <conditionalFormatting sqref="K2:K300">
    <cfRule type="cellIs" priority="2" operator="equal" aboveAverage="0" equalAverage="0" bottom="0" percent="0" rank="0" text="" dxfId="1">
      <formula>"Rejected"</formula>
    </cfRule>
    <cfRule type="cellIs" priority="3" operator="equal" aboveAverage="0" equalAverage="0" bottom="0" percent="0" rank="0" text="" dxfId="0">
      <formula>"Under Review"</formula>
    </cfRule>
  </conditionalFormatting>
  <conditionalFormatting sqref="S2:S300">
    <cfRule type="cellIs" priority="4" operator="greaterThanOrEqual" aboveAverage="0" equalAverage="0" bottom="0" percent="0" rank="0" text="" dxfId="0">
      <formula>14</formula>
    </cfRule>
  </conditionalFormatting>
  <dataValidations count="2">
    <dataValidation allowBlank="true" errorStyle="stop" operator="between" showDropDown="false" showErrorMessage="false" showInputMessage="false" sqref="K2:K500" type="list">
      <formula1>"Submitted,Under Review,Approved,Pending,Rejected,Void"</formula1>
      <formula2>0</formula2>
    </dataValidation>
    <dataValidation allowBlank="true" errorStyle="stop" operator="between" showDropDown="false" showErrorMessage="false" showInputMessage="false" sqref="Q2:Q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P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26"/>
    <col collapsed="false" customWidth="true" hidden="false" outlineLevel="0" max="16" min="14" style="0" width="14"/>
  </cols>
  <sheetData>
    <row r="1" customFormat="false" ht="31.5" hidden="false" customHeight="true" outlineLevel="0" collapsed="false">
      <c r="A1" s="19" t="s">
        <v>297</v>
      </c>
      <c r="B1" s="19" t="s">
        <v>298</v>
      </c>
      <c r="C1" s="19" t="s">
        <v>299</v>
      </c>
      <c r="D1" s="19" t="s">
        <v>300</v>
      </c>
      <c r="E1" s="19" t="s">
        <v>301</v>
      </c>
      <c r="F1" s="19" t="s">
        <v>302</v>
      </c>
      <c r="G1" s="19" t="s">
        <v>234</v>
      </c>
      <c r="H1" s="19" t="s">
        <v>303</v>
      </c>
      <c r="I1" s="19" t="s">
        <v>304</v>
      </c>
      <c r="J1" s="19" t="s">
        <v>212</v>
      </c>
      <c r="K1" s="19" t="s">
        <v>208</v>
      </c>
      <c r="L1" s="19" t="s">
        <v>305</v>
      </c>
      <c r="M1" s="19" t="s">
        <v>214</v>
      </c>
      <c r="N1" s="19" t="s">
        <v>215</v>
      </c>
      <c r="O1" s="19" t="s">
        <v>218</v>
      </c>
      <c r="P1" s="19" t="s">
        <v>219</v>
      </c>
    </row>
    <row r="2" customFormat="false" ht="15" hidden="false" customHeight="false" outlineLevel="0" collapsed="false">
      <c r="A2" s="20" t="s">
        <v>306</v>
      </c>
      <c r="B2" s="20" t="s">
        <v>221</v>
      </c>
      <c r="C2" s="20" t="s">
        <v>307</v>
      </c>
      <c r="D2" s="22" t="n">
        <f aca="false">IF(A2="","",IF(AND(B2&lt;&gt;"",C2&lt;&gt;""),C2-B2,""))</f>
        <v>14</v>
      </c>
      <c r="E2" s="20" t="s">
        <v>308</v>
      </c>
      <c r="F2" s="22" t="str">
        <f aca="false">IF(A2="","",IF(AND(D2&lt;&gt;"",E2&lt;&gt;""),IF(D2&lt;=E2,"Yes","NO - LATE"),""))</f>
        <v>Yes</v>
      </c>
      <c r="G2" s="20" t="s">
        <v>309</v>
      </c>
      <c r="H2" s="20" t="s">
        <v>310</v>
      </c>
      <c r="I2" s="20" t="s">
        <v>311</v>
      </c>
      <c r="J2" s="20"/>
      <c r="K2" s="20" t="s">
        <v>312</v>
      </c>
      <c r="L2" s="20"/>
      <c r="M2" s="20" t="s">
        <v>313</v>
      </c>
      <c r="N2" s="20" t="s">
        <v>252</v>
      </c>
      <c r="O2" s="23" t="n">
        <f aca="false">IF(A2="","",MAX(B2+0,C2+0))</f>
        <v>46280</v>
      </c>
      <c r="P2" s="22" t="n">
        <f aca="true">IF(A2="","",IF(OR(K2="Approved",K2="Denied",K2="Withdrawn"),"",TODAY()-O2))</f>
        <v>13</v>
      </c>
    </row>
    <row r="3" customFormat="false" ht="15" hidden="false" customHeight="false" outlineLevel="0" collapsed="false">
      <c r="D3" s="0" t="str">
        <f aca="false">IF(A3="","",IF(AND(B3&lt;&gt;"",C3&lt;&gt;""),C3-B3,""))</f>
        <v/>
      </c>
      <c r="F3" s="0" t="str">
        <f aca="false">IF(A3="","",IF(AND(D3&lt;&gt;"",E3&lt;&gt;""),IF(D3&lt;=E3,"Yes","NO - LATE"),""))</f>
        <v/>
      </c>
      <c r="O3" s="13" t="str">
        <f aca="false">IF(A3="","",MAX(B3+0,C3+0))</f>
        <v/>
      </c>
      <c r="P3" s="0" t="str">
        <f aca="true">IF(A3="","",IF(OR(K3="Approved",K3="Denied",K3="Withdrawn"),"",TODAY()-O3))</f>
        <v/>
      </c>
    </row>
    <row r="4" customFormat="false" ht="15" hidden="false" customHeight="false" outlineLevel="0" collapsed="false">
      <c r="D4" s="0" t="str">
        <f aca="false">IF(A4="","",IF(AND(B4&lt;&gt;"",C4&lt;&gt;""),C4-B4,""))</f>
        <v/>
      </c>
      <c r="F4" s="0" t="str">
        <f aca="false">IF(A4="","",IF(AND(D4&lt;&gt;"",E4&lt;&gt;""),IF(D4&lt;=E4,"Yes","NO - LATE"),""))</f>
        <v/>
      </c>
      <c r="O4" s="13" t="str">
        <f aca="false">IF(A4="","",MAX(B4+0,C4+0))</f>
        <v/>
      </c>
      <c r="P4" s="0" t="str">
        <f aca="true">IF(A4="","",IF(OR(K4="Approved",K4="Denied",K4="Withdrawn"),"",TODAY()-O4))</f>
        <v/>
      </c>
    </row>
    <row r="5" customFormat="false" ht="15" hidden="false" customHeight="false" outlineLevel="0" collapsed="false">
      <c r="D5" s="0" t="str">
        <f aca="false">IF(A5="","",IF(AND(B5&lt;&gt;"",C5&lt;&gt;""),C5-B5,""))</f>
        <v/>
      </c>
      <c r="F5" s="0" t="str">
        <f aca="false">IF(A5="","",IF(AND(D5&lt;&gt;"",E5&lt;&gt;""),IF(D5&lt;=E5,"Yes","NO - LATE"),""))</f>
        <v/>
      </c>
      <c r="O5" s="13" t="str">
        <f aca="false">IF(A5="","",MAX(B5+0,C5+0))</f>
        <v/>
      </c>
      <c r="P5" s="0" t="str">
        <f aca="true">IF(A5="","",IF(OR(K5="Approved",K5="Denied",K5="Withdrawn"),"",TODAY()-O5))</f>
        <v/>
      </c>
    </row>
    <row r="6" customFormat="false" ht="15" hidden="false" customHeight="false" outlineLevel="0" collapsed="false">
      <c r="D6" s="0" t="str">
        <f aca="false">IF(A6="","",IF(AND(B6&lt;&gt;"",C6&lt;&gt;""),C6-B6,""))</f>
        <v/>
      </c>
      <c r="F6" s="0" t="str">
        <f aca="false">IF(A6="","",IF(AND(D6&lt;&gt;"",E6&lt;&gt;""),IF(D6&lt;=E6,"Yes","NO - LATE"),""))</f>
        <v/>
      </c>
      <c r="O6" s="13" t="str">
        <f aca="false">IF(A6="","",MAX(B6+0,C6+0))</f>
        <v/>
      </c>
      <c r="P6" s="0" t="str">
        <f aca="true">IF(A6="","",IF(OR(K6="Approved",K6="Denied",K6="Withdrawn"),"",TODAY()-O6))</f>
        <v/>
      </c>
    </row>
    <row r="7" customFormat="false" ht="15" hidden="false" customHeight="false" outlineLevel="0" collapsed="false">
      <c r="D7" s="0" t="str">
        <f aca="false">IF(A7="","",IF(AND(B7&lt;&gt;"",C7&lt;&gt;""),C7-B7,""))</f>
        <v/>
      </c>
      <c r="F7" s="0" t="str">
        <f aca="false">IF(A7="","",IF(AND(D7&lt;&gt;"",E7&lt;&gt;""),IF(D7&lt;=E7,"Yes","NO - LATE"),""))</f>
        <v/>
      </c>
      <c r="O7" s="13" t="str">
        <f aca="false">IF(A7="","",MAX(B7+0,C7+0))</f>
        <v/>
      </c>
      <c r="P7" s="0" t="str">
        <f aca="true">IF(A7="","",IF(OR(K7="Approved",K7="Denied",K7="Withdrawn"),"",TODAY()-O7))</f>
        <v/>
      </c>
    </row>
    <row r="8" customFormat="false" ht="15" hidden="false" customHeight="false" outlineLevel="0" collapsed="false">
      <c r="D8" s="0" t="str">
        <f aca="false">IF(A8="","",IF(AND(B8&lt;&gt;"",C8&lt;&gt;""),C8-B8,""))</f>
        <v/>
      </c>
      <c r="F8" s="0" t="str">
        <f aca="false">IF(A8="","",IF(AND(D8&lt;&gt;"",E8&lt;&gt;""),IF(D8&lt;=E8,"Yes","NO - LATE"),""))</f>
        <v/>
      </c>
      <c r="O8" s="13" t="str">
        <f aca="false">IF(A8="","",MAX(B8+0,C8+0))</f>
        <v/>
      </c>
      <c r="P8" s="0" t="str">
        <f aca="true">IF(A8="","",IF(OR(K8="Approved",K8="Denied",K8="Withdrawn"),"",TODAY()-O8))</f>
        <v/>
      </c>
    </row>
    <row r="9" customFormat="false" ht="15" hidden="false" customHeight="false" outlineLevel="0" collapsed="false">
      <c r="D9" s="0" t="str">
        <f aca="false">IF(A9="","",IF(AND(B9&lt;&gt;"",C9&lt;&gt;""),C9-B9,""))</f>
        <v/>
      </c>
      <c r="F9" s="0" t="str">
        <f aca="false">IF(A9="","",IF(AND(D9&lt;&gt;"",E9&lt;&gt;""),IF(D9&lt;=E9,"Yes","NO - LATE"),""))</f>
        <v/>
      </c>
      <c r="O9" s="13" t="str">
        <f aca="false">IF(A9="","",MAX(B9+0,C9+0))</f>
        <v/>
      </c>
      <c r="P9" s="0" t="str">
        <f aca="true">IF(A9="","",IF(OR(K9="Approved",K9="Denied",K9="Withdrawn"),"",TODAY()-O9))</f>
        <v/>
      </c>
    </row>
    <row r="10" customFormat="false" ht="15" hidden="false" customHeight="false" outlineLevel="0" collapsed="false">
      <c r="D10" s="0" t="str">
        <f aca="false">IF(A10="","",IF(AND(B10&lt;&gt;"",C10&lt;&gt;""),C10-B10,""))</f>
        <v/>
      </c>
      <c r="F10" s="0" t="str">
        <f aca="false">IF(A10="","",IF(AND(D10&lt;&gt;"",E10&lt;&gt;""),IF(D10&lt;=E10,"Yes","NO - LATE"),""))</f>
        <v/>
      </c>
      <c r="O10" s="13" t="str">
        <f aca="false">IF(A10="","",MAX(B10+0,C10+0))</f>
        <v/>
      </c>
      <c r="P10" s="0" t="str">
        <f aca="true">IF(A10="","",IF(OR(K10="Approved",K10="Denied",K10="Withdrawn"),"",TODAY()-O10))</f>
        <v/>
      </c>
    </row>
    <row r="11" customFormat="false" ht="15" hidden="false" customHeight="false" outlineLevel="0" collapsed="false">
      <c r="D11" s="0" t="str">
        <f aca="false">IF(A11="","",IF(AND(B11&lt;&gt;"",C11&lt;&gt;""),C11-B11,""))</f>
        <v/>
      </c>
      <c r="F11" s="0" t="str">
        <f aca="false">IF(A11="","",IF(AND(D11&lt;&gt;"",E11&lt;&gt;""),IF(D11&lt;=E11,"Yes","NO - LATE"),""))</f>
        <v/>
      </c>
      <c r="O11" s="13" t="str">
        <f aca="false">IF(A11="","",MAX(B11+0,C11+0))</f>
        <v/>
      </c>
      <c r="P11" s="0" t="str">
        <f aca="true">IF(A11="","",IF(OR(K11="Approved",K11="Denied",K11="Withdrawn"),"",TODAY()-O11))</f>
        <v/>
      </c>
    </row>
    <row r="12" customFormat="false" ht="15" hidden="false" customHeight="false" outlineLevel="0" collapsed="false">
      <c r="D12" s="0" t="str">
        <f aca="false">IF(A12="","",IF(AND(B12&lt;&gt;"",C12&lt;&gt;""),C12-B12,""))</f>
        <v/>
      </c>
      <c r="F12" s="0" t="str">
        <f aca="false">IF(A12="","",IF(AND(D12&lt;&gt;"",E12&lt;&gt;""),IF(D12&lt;=E12,"Yes","NO - LATE"),""))</f>
        <v/>
      </c>
      <c r="O12" s="13" t="str">
        <f aca="false">IF(A12="","",MAX(B12+0,C12+0))</f>
        <v/>
      </c>
      <c r="P12" s="0" t="str">
        <f aca="true">IF(A12="","",IF(OR(K12="Approved",K12="Denied",K12="Withdrawn"),"",TODAY()-O12))</f>
        <v/>
      </c>
    </row>
    <row r="13" customFormat="false" ht="15" hidden="false" customHeight="false" outlineLevel="0" collapsed="false">
      <c r="D13" s="0" t="str">
        <f aca="false">IF(A13="","",IF(AND(B13&lt;&gt;"",C13&lt;&gt;""),C13-B13,""))</f>
        <v/>
      </c>
      <c r="F13" s="0" t="str">
        <f aca="false">IF(A13="","",IF(AND(D13&lt;&gt;"",E13&lt;&gt;""),IF(D13&lt;=E13,"Yes","NO - LATE"),""))</f>
        <v/>
      </c>
      <c r="O13" s="13" t="str">
        <f aca="false">IF(A13="","",MAX(B13+0,C13+0))</f>
        <v/>
      </c>
      <c r="P13" s="0" t="str">
        <f aca="true">IF(A13="","",IF(OR(K13="Approved",K13="Denied",K13="Withdrawn"),"",TODAY()-O13))</f>
        <v/>
      </c>
    </row>
    <row r="14" customFormat="false" ht="15" hidden="false" customHeight="false" outlineLevel="0" collapsed="false">
      <c r="D14" s="0" t="str">
        <f aca="false">IF(A14="","",IF(AND(B14&lt;&gt;"",C14&lt;&gt;""),C14-B14,""))</f>
        <v/>
      </c>
      <c r="F14" s="0" t="str">
        <f aca="false">IF(A14="","",IF(AND(D14&lt;&gt;"",E14&lt;&gt;""),IF(D14&lt;=E14,"Yes","NO - LATE"),""))</f>
        <v/>
      </c>
      <c r="O14" s="13" t="str">
        <f aca="false">IF(A14="","",MAX(B14+0,C14+0))</f>
        <v/>
      </c>
      <c r="P14" s="0" t="str">
        <f aca="true">IF(A14="","",IF(OR(K14="Approved",K14="Denied",K14="Withdrawn"),"",TODAY()-O14))</f>
        <v/>
      </c>
    </row>
    <row r="15" customFormat="false" ht="15" hidden="false" customHeight="false" outlineLevel="0" collapsed="false">
      <c r="D15" s="0" t="str">
        <f aca="false">IF(A15="","",IF(AND(B15&lt;&gt;"",C15&lt;&gt;""),C15-B15,""))</f>
        <v/>
      </c>
      <c r="F15" s="0" t="str">
        <f aca="false">IF(A15="","",IF(AND(D15&lt;&gt;"",E15&lt;&gt;""),IF(D15&lt;=E15,"Yes","NO - LATE"),""))</f>
        <v/>
      </c>
      <c r="O15" s="13" t="str">
        <f aca="false">IF(A15="","",MAX(B15+0,C15+0))</f>
        <v/>
      </c>
      <c r="P15" s="0" t="str">
        <f aca="true">IF(A15="","",IF(OR(K15="Approved",K15="Denied",K15="Withdrawn"),"",TODAY()-O15))</f>
        <v/>
      </c>
    </row>
    <row r="16" customFormat="false" ht="15" hidden="false" customHeight="false" outlineLevel="0" collapsed="false">
      <c r="D16" s="0" t="str">
        <f aca="false">IF(A16="","",IF(AND(B16&lt;&gt;"",C16&lt;&gt;""),C16-B16,""))</f>
        <v/>
      </c>
      <c r="F16" s="0" t="str">
        <f aca="false">IF(A16="","",IF(AND(D16&lt;&gt;"",E16&lt;&gt;""),IF(D16&lt;=E16,"Yes","NO - LATE"),""))</f>
        <v/>
      </c>
      <c r="O16" s="13" t="str">
        <f aca="false">IF(A16="","",MAX(B16+0,C16+0))</f>
        <v/>
      </c>
      <c r="P16" s="0" t="str">
        <f aca="true">IF(A16="","",IF(OR(K16="Approved",K16="Denied",K16="Withdrawn"),"",TODAY()-O16))</f>
        <v/>
      </c>
    </row>
    <row r="17" customFormat="false" ht="15" hidden="false" customHeight="false" outlineLevel="0" collapsed="false">
      <c r="D17" s="0" t="str">
        <f aca="false">IF(A17="","",IF(AND(B17&lt;&gt;"",C17&lt;&gt;""),C17-B17,""))</f>
        <v/>
      </c>
      <c r="F17" s="0" t="str">
        <f aca="false">IF(A17="","",IF(AND(D17&lt;&gt;"",E17&lt;&gt;""),IF(D17&lt;=E17,"Yes","NO - LATE"),""))</f>
        <v/>
      </c>
      <c r="O17" s="13" t="str">
        <f aca="false">IF(A17="","",MAX(B17+0,C17+0))</f>
        <v/>
      </c>
      <c r="P17" s="0" t="str">
        <f aca="true">IF(A17="","",IF(OR(K17="Approved",K17="Denied",K17="Withdrawn"),"",TODAY()-O17))</f>
        <v/>
      </c>
    </row>
    <row r="18" customFormat="false" ht="15" hidden="false" customHeight="false" outlineLevel="0" collapsed="false">
      <c r="D18" s="0" t="str">
        <f aca="false">IF(A18="","",IF(AND(B18&lt;&gt;"",C18&lt;&gt;""),C18-B18,""))</f>
        <v/>
      </c>
      <c r="F18" s="0" t="str">
        <f aca="false">IF(A18="","",IF(AND(D18&lt;&gt;"",E18&lt;&gt;""),IF(D18&lt;=E18,"Yes","NO - LATE"),""))</f>
        <v/>
      </c>
      <c r="O18" s="13" t="str">
        <f aca="false">IF(A18="","",MAX(B18+0,C18+0))</f>
        <v/>
      </c>
      <c r="P18" s="0" t="str">
        <f aca="true">IF(A18="","",IF(OR(K18="Approved",K18="Denied",K18="Withdrawn"),"",TODAY()-O18))</f>
        <v/>
      </c>
    </row>
    <row r="19" customFormat="false" ht="15" hidden="false" customHeight="false" outlineLevel="0" collapsed="false">
      <c r="D19" s="0" t="str">
        <f aca="false">IF(A19="","",IF(AND(B19&lt;&gt;"",C19&lt;&gt;""),C19-B19,""))</f>
        <v/>
      </c>
      <c r="F19" s="0" t="str">
        <f aca="false">IF(A19="","",IF(AND(D19&lt;&gt;"",E19&lt;&gt;""),IF(D19&lt;=E19,"Yes","NO - LATE"),""))</f>
        <v/>
      </c>
      <c r="O19" s="13" t="str">
        <f aca="false">IF(A19="","",MAX(B19+0,C19+0))</f>
        <v/>
      </c>
      <c r="P19" s="0" t="str">
        <f aca="true">IF(A19="","",IF(OR(K19="Approved",K19="Denied",K19="Withdrawn"),"",TODAY()-O19))</f>
        <v/>
      </c>
    </row>
    <row r="20" customFormat="false" ht="15" hidden="false" customHeight="false" outlineLevel="0" collapsed="false">
      <c r="D20" s="0" t="str">
        <f aca="false">IF(A20="","",IF(AND(B20&lt;&gt;"",C20&lt;&gt;""),C20-B20,""))</f>
        <v/>
      </c>
      <c r="F20" s="0" t="str">
        <f aca="false">IF(A20="","",IF(AND(D20&lt;&gt;"",E20&lt;&gt;""),IF(D20&lt;=E20,"Yes","NO - LATE"),""))</f>
        <v/>
      </c>
      <c r="O20" s="13" t="str">
        <f aca="false">IF(A20="","",MAX(B20+0,C20+0))</f>
        <v/>
      </c>
      <c r="P20" s="0" t="str">
        <f aca="true">IF(A20="","",IF(OR(K20="Approved",K20="Denied",K20="Withdrawn"),"",TODAY()-O20))</f>
        <v/>
      </c>
    </row>
    <row r="21" customFormat="false" ht="15" hidden="false" customHeight="false" outlineLevel="0" collapsed="false">
      <c r="D21" s="0" t="str">
        <f aca="false">IF(A21="","",IF(AND(B21&lt;&gt;"",C21&lt;&gt;""),C21-B21,""))</f>
        <v/>
      </c>
      <c r="F21" s="0" t="str">
        <f aca="false">IF(A21="","",IF(AND(D21&lt;&gt;"",E21&lt;&gt;""),IF(D21&lt;=E21,"Yes","NO - LATE"),""))</f>
        <v/>
      </c>
      <c r="O21" s="13" t="str">
        <f aca="false">IF(A21="","",MAX(B21+0,C21+0))</f>
        <v/>
      </c>
      <c r="P21" s="0" t="str">
        <f aca="true">IF(A21="","",IF(OR(K21="Approved",K21="Denied",K21="Withdrawn"),"",TODAY()-O21))</f>
        <v/>
      </c>
    </row>
    <row r="22" customFormat="false" ht="15" hidden="false" customHeight="false" outlineLevel="0" collapsed="false">
      <c r="D22" s="0" t="str">
        <f aca="false">IF(A22="","",IF(AND(B22&lt;&gt;"",C22&lt;&gt;""),C22-B22,""))</f>
        <v/>
      </c>
      <c r="F22" s="0" t="str">
        <f aca="false">IF(A22="","",IF(AND(D22&lt;&gt;"",E22&lt;&gt;""),IF(D22&lt;=E22,"Yes","NO - LATE"),""))</f>
        <v/>
      </c>
      <c r="O22" s="13" t="str">
        <f aca="false">IF(A22="","",MAX(B22+0,C22+0))</f>
        <v/>
      </c>
      <c r="P22" s="0" t="str">
        <f aca="true">IF(A22="","",IF(OR(K22="Approved",K22="Denied",K22="Withdrawn"),"",TODAY()-O22))</f>
        <v/>
      </c>
    </row>
    <row r="23" customFormat="false" ht="15" hidden="false" customHeight="false" outlineLevel="0" collapsed="false">
      <c r="D23" s="0" t="str">
        <f aca="false">IF(A23="","",IF(AND(B23&lt;&gt;"",C23&lt;&gt;""),C23-B23,""))</f>
        <v/>
      </c>
      <c r="F23" s="0" t="str">
        <f aca="false">IF(A23="","",IF(AND(D23&lt;&gt;"",E23&lt;&gt;""),IF(D23&lt;=E23,"Yes","NO - LATE"),""))</f>
        <v/>
      </c>
      <c r="O23" s="13" t="str">
        <f aca="false">IF(A23="","",MAX(B23+0,C23+0))</f>
        <v/>
      </c>
      <c r="P23" s="0" t="str">
        <f aca="true">IF(A23="","",IF(OR(K23="Approved",K23="Denied",K23="Withdrawn"),"",TODAY()-O23))</f>
        <v/>
      </c>
    </row>
    <row r="24" customFormat="false" ht="15" hidden="false" customHeight="false" outlineLevel="0" collapsed="false">
      <c r="D24" s="0" t="str">
        <f aca="false">IF(A24="","",IF(AND(B24&lt;&gt;"",C24&lt;&gt;""),C24-B24,""))</f>
        <v/>
      </c>
      <c r="F24" s="0" t="str">
        <f aca="false">IF(A24="","",IF(AND(D24&lt;&gt;"",E24&lt;&gt;""),IF(D24&lt;=E24,"Yes","NO - LATE"),""))</f>
        <v/>
      </c>
      <c r="O24" s="13" t="str">
        <f aca="false">IF(A24="","",MAX(B24+0,C24+0))</f>
        <v/>
      </c>
      <c r="P24" s="0" t="str">
        <f aca="true">IF(A24="","",IF(OR(K24="Approved",K24="Denied",K24="Withdrawn"),"",TODAY()-O24))</f>
        <v/>
      </c>
    </row>
    <row r="25" customFormat="false" ht="15" hidden="false" customHeight="false" outlineLevel="0" collapsed="false">
      <c r="D25" s="0" t="str">
        <f aca="false">IF(A25="","",IF(AND(B25&lt;&gt;"",C25&lt;&gt;""),C25-B25,""))</f>
        <v/>
      </c>
      <c r="F25" s="0" t="str">
        <f aca="false">IF(A25="","",IF(AND(D25&lt;&gt;"",E25&lt;&gt;""),IF(D25&lt;=E25,"Yes","NO - LATE"),""))</f>
        <v/>
      </c>
      <c r="O25" s="13" t="str">
        <f aca="false">IF(A25="","",MAX(B25+0,C25+0))</f>
        <v/>
      </c>
      <c r="P25" s="0" t="str">
        <f aca="true">IF(A25="","",IF(OR(K25="Approved",K25="Denied",K25="Withdrawn"),"",TODAY()-O25))</f>
        <v/>
      </c>
    </row>
    <row r="26" customFormat="false" ht="15" hidden="false" customHeight="false" outlineLevel="0" collapsed="false">
      <c r="D26" s="0" t="str">
        <f aca="false">IF(A26="","",IF(AND(B26&lt;&gt;"",C26&lt;&gt;""),C26-B26,""))</f>
        <v/>
      </c>
      <c r="F26" s="0" t="str">
        <f aca="false">IF(A26="","",IF(AND(D26&lt;&gt;"",E26&lt;&gt;""),IF(D26&lt;=E26,"Yes","NO - LATE"),""))</f>
        <v/>
      </c>
      <c r="O26" s="13" t="str">
        <f aca="false">IF(A26="","",MAX(B26+0,C26+0))</f>
        <v/>
      </c>
      <c r="P26" s="0" t="str">
        <f aca="true">IF(A26="","",IF(OR(K26="Approved",K26="Denied",K26="Withdrawn"),"",TODAY()-O26))</f>
        <v/>
      </c>
    </row>
    <row r="27" customFormat="false" ht="15" hidden="false" customHeight="false" outlineLevel="0" collapsed="false">
      <c r="D27" s="0" t="str">
        <f aca="false">IF(A27="","",IF(AND(B27&lt;&gt;"",C27&lt;&gt;""),C27-B27,""))</f>
        <v/>
      </c>
      <c r="F27" s="0" t="str">
        <f aca="false">IF(A27="","",IF(AND(D27&lt;&gt;"",E27&lt;&gt;""),IF(D27&lt;=E27,"Yes","NO - LATE"),""))</f>
        <v/>
      </c>
      <c r="O27" s="13" t="str">
        <f aca="false">IF(A27="","",MAX(B27+0,C27+0))</f>
        <v/>
      </c>
      <c r="P27" s="0" t="str">
        <f aca="true">IF(A27="","",IF(OR(K27="Approved",K27="Denied",K27="Withdrawn"),"",TODAY()-O27))</f>
        <v/>
      </c>
    </row>
    <row r="28" customFormat="false" ht="15" hidden="false" customHeight="false" outlineLevel="0" collapsed="false">
      <c r="D28" s="0" t="str">
        <f aca="false">IF(A28="","",IF(AND(B28&lt;&gt;"",C28&lt;&gt;""),C28-B28,""))</f>
        <v/>
      </c>
      <c r="F28" s="0" t="str">
        <f aca="false">IF(A28="","",IF(AND(D28&lt;&gt;"",E28&lt;&gt;""),IF(D28&lt;=E28,"Yes","NO - LATE"),""))</f>
        <v/>
      </c>
      <c r="O28" s="13" t="str">
        <f aca="false">IF(A28="","",MAX(B28+0,C28+0))</f>
        <v/>
      </c>
      <c r="P28" s="0" t="str">
        <f aca="true">IF(A28="","",IF(OR(K28="Approved",K28="Denied",K28="Withdrawn"),"",TODAY()-O28))</f>
        <v/>
      </c>
    </row>
    <row r="29" customFormat="false" ht="15" hidden="false" customHeight="false" outlineLevel="0" collapsed="false">
      <c r="D29" s="0" t="str">
        <f aca="false">IF(A29="","",IF(AND(B29&lt;&gt;"",C29&lt;&gt;""),C29-B29,""))</f>
        <v/>
      </c>
      <c r="F29" s="0" t="str">
        <f aca="false">IF(A29="","",IF(AND(D29&lt;&gt;"",E29&lt;&gt;""),IF(D29&lt;=E29,"Yes","NO - LATE"),""))</f>
        <v/>
      </c>
      <c r="O29" s="13" t="str">
        <f aca="false">IF(A29="","",MAX(B29+0,C29+0))</f>
        <v/>
      </c>
      <c r="P29" s="0" t="str">
        <f aca="true">IF(A29="","",IF(OR(K29="Approved",K29="Denied",K29="Withdrawn"),"",TODAY()-O29))</f>
        <v/>
      </c>
    </row>
    <row r="30" customFormat="false" ht="15" hidden="false" customHeight="false" outlineLevel="0" collapsed="false">
      <c r="D30" s="0" t="str">
        <f aca="false">IF(A30="","",IF(AND(B30&lt;&gt;"",C30&lt;&gt;""),C30-B30,""))</f>
        <v/>
      </c>
      <c r="F30" s="0" t="str">
        <f aca="false">IF(A30="","",IF(AND(D30&lt;&gt;"",E30&lt;&gt;""),IF(D30&lt;=E30,"Yes","NO - LATE"),""))</f>
        <v/>
      </c>
      <c r="O30" s="13" t="str">
        <f aca="false">IF(A30="","",MAX(B30+0,C30+0))</f>
        <v/>
      </c>
      <c r="P30" s="0" t="str">
        <f aca="true">IF(A30="","",IF(OR(K30="Approved",K30="Denied",K30="Withdrawn"),"",TODAY()-O30))</f>
        <v/>
      </c>
    </row>
    <row r="31" customFormat="false" ht="15" hidden="false" customHeight="false" outlineLevel="0" collapsed="false">
      <c r="D31" s="0" t="str">
        <f aca="false">IF(A31="","",IF(AND(B31&lt;&gt;"",C31&lt;&gt;""),C31-B31,""))</f>
        <v/>
      </c>
      <c r="F31" s="0" t="str">
        <f aca="false">IF(A31="","",IF(AND(D31&lt;&gt;"",E31&lt;&gt;""),IF(D31&lt;=E31,"Yes","NO - LATE"),""))</f>
        <v/>
      </c>
      <c r="O31" s="13" t="str">
        <f aca="false">IF(A31="","",MAX(B31+0,C31+0))</f>
        <v/>
      </c>
      <c r="P31" s="0" t="str">
        <f aca="true">IF(A31="","",IF(OR(K31="Approved",K31="Denied",K31="Withdrawn"),"",TODAY()-O31))</f>
        <v/>
      </c>
    </row>
    <row r="32" customFormat="false" ht="15" hidden="false" customHeight="false" outlineLevel="0" collapsed="false">
      <c r="D32" s="0" t="str">
        <f aca="false">IF(A32="","",IF(AND(B32&lt;&gt;"",C32&lt;&gt;""),C32-B32,""))</f>
        <v/>
      </c>
      <c r="F32" s="0" t="str">
        <f aca="false">IF(A32="","",IF(AND(D32&lt;&gt;"",E32&lt;&gt;""),IF(D32&lt;=E32,"Yes","NO - LATE"),""))</f>
        <v/>
      </c>
      <c r="O32" s="13" t="str">
        <f aca="false">IF(A32="","",MAX(B32+0,C32+0))</f>
        <v/>
      </c>
      <c r="P32" s="0" t="str">
        <f aca="true">IF(A32="","",IF(OR(K32="Approved",K32="Denied",K32="Withdrawn"),"",TODAY()-O32))</f>
        <v/>
      </c>
    </row>
    <row r="33" customFormat="false" ht="15" hidden="false" customHeight="false" outlineLevel="0" collapsed="false">
      <c r="D33" s="0" t="str">
        <f aca="false">IF(A33="","",IF(AND(B33&lt;&gt;"",C33&lt;&gt;""),C33-B33,""))</f>
        <v/>
      </c>
      <c r="F33" s="0" t="str">
        <f aca="false">IF(A33="","",IF(AND(D33&lt;&gt;"",E33&lt;&gt;""),IF(D33&lt;=E33,"Yes","NO - LATE"),""))</f>
        <v/>
      </c>
      <c r="O33" s="13" t="str">
        <f aca="false">IF(A33="","",MAX(B33+0,C33+0))</f>
        <v/>
      </c>
      <c r="P33" s="0" t="str">
        <f aca="true">IF(A33="","",IF(OR(K33="Approved",K33="Denied",K33="Withdrawn"),"",TODAY()-O33))</f>
        <v/>
      </c>
    </row>
    <row r="34" customFormat="false" ht="15" hidden="false" customHeight="false" outlineLevel="0" collapsed="false">
      <c r="D34" s="0" t="str">
        <f aca="false">IF(A34="","",IF(AND(B34&lt;&gt;"",C34&lt;&gt;""),C34-B34,""))</f>
        <v/>
      </c>
      <c r="F34" s="0" t="str">
        <f aca="false">IF(A34="","",IF(AND(D34&lt;&gt;"",E34&lt;&gt;""),IF(D34&lt;=E34,"Yes","NO - LATE"),""))</f>
        <v/>
      </c>
      <c r="O34" s="13" t="str">
        <f aca="false">IF(A34="","",MAX(B34+0,C34+0))</f>
        <v/>
      </c>
      <c r="P34" s="0" t="str">
        <f aca="true">IF(A34="","",IF(OR(K34="Approved",K34="Denied",K34="Withdrawn"),"",TODAY()-O34))</f>
        <v/>
      </c>
    </row>
    <row r="35" customFormat="false" ht="15" hidden="false" customHeight="false" outlineLevel="0" collapsed="false">
      <c r="D35" s="0" t="str">
        <f aca="false">IF(A35="","",IF(AND(B35&lt;&gt;"",C35&lt;&gt;""),C35-B35,""))</f>
        <v/>
      </c>
      <c r="F35" s="0" t="str">
        <f aca="false">IF(A35="","",IF(AND(D35&lt;&gt;"",E35&lt;&gt;""),IF(D35&lt;=E35,"Yes","NO - LATE"),""))</f>
        <v/>
      </c>
      <c r="O35" s="13" t="str">
        <f aca="false">IF(A35="","",MAX(B35+0,C35+0))</f>
        <v/>
      </c>
      <c r="P35" s="0" t="str">
        <f aca="true">IF(A35="","",IF(OR(K35="Approved",K35="Denied",K35="Withdrawn"),"",TODAY()-O35))</f>
        <v/>
      </c>
    </row>
    <row r="36" customFormat="false" ht="15" hidden="false" customHeight="false" outlineLevel="0" collapsed="false">
      <c r="D36" s="0" t="str">
        <f aca="false">IF(A36="","",IF(AND(B36&lt;&gt;"",C36&lt;&gt;""),C36-B36,""))</f>
        <v/>
      </c>
      <c r="F36" s="0" t="str">
        <f aca="false">IF(A36="","",IF(AND(D36&lt;&gt;"",E36&lt;&gt;""),IF(D36&lt;=E36,"Yes","NO - LATE"),""))</f>
        <v/>
      </c>
      <c r="O36" s="13" t="str">
        <f aca="false">IF(A36="","",MAX(B36+0,C36+0))</f>
        <v/>
      </c>
      <c r="P36" s="0" t="str">
        <f aca="true">IF(A36="","",IF(OR(K36="Approved",K36="Denied",K36="Withdrawn"),"",TODAY()-O36))</f>
        <v/>
      </c>
    </row>
    <row r="37" customFormat="false" ht="15" hidden="false" customHeight="false" outlineLevel="0" collapsed="false">
      <c r="D37" s="0" t="str">
        <f aca="false">IF(A37="","",IF(AND(B37&lt;&gt;"",C37&lt;&gt;""),C37-B37,""))</f>
        <v/>
      </c>
      <c r="F37" s="0" t="str">
        <f aca="false">IF(A37="","",IF(AND(D37&lt;&gt;"",E37&lt;&gt;""),IF(D37&lt;=E37,"Yes","NO - LATE"),""))</f>
        <v/>
      </c>
      <c r="O37" s="13" t="str">
        <f aca="false">IF(A37="","",MAX(B37+0,C37+0))</f>
        <v/>
      </c>
      <c r="P37" s="0" t="str">
        <f aca="true">IF(A37="","",IF(OR(K37="Approved",K37="Denied",K37="Withdrawn"),"",TODAY()-O37))</f>
        <v/>
      </c>
    </row>
    <row r="38" customFormat="false" ht="15" hidden="false" customHeight="false" outlineLevel="0" collapsed="false">
      <c r="D38" s="0" t="str">
        <f aca="false">IF(A38="","",IF(AND(B38&lt;&gt;"",C38&lt;&gt;""),C38-B38,""))</f>
        <v/>
      </c>
      <c r="F38" s="0" t="str">
        <f aca="false">IF(A38="","",IF(AND(D38&lt;&gt;"",E38&lt;&gt;""),IF(D38&lt;=E38,"Yes","NO - LATE"),""))</f>
        <v/>
      </c>
      <c r="O38" s="13" t="str">
        <f aca="false">IF(A38="","",MAX(B38+0,C38+0))</f>
        <v/>
      </c>
      <c r="P38" s="0" t="str">
        <f aca="true">IF(A38="","",IF(OR(K38="Approved",K38="Denied",K38="Withdrawn"),"",TODAY()-O38))</f>
        <v/>
      </c>
    </row>
    <row r="39" customFormat="false" ht="15" hidden="false" customHeight="false" outlineLevel="0" collapsed="false">
      <c r="D39" s="0" t="str">
        <f aca="false">IF(A39="","",IF(AND(B39&lt;&gt;"",C39&lt;&gt;""),C39-B39,""))</f>
        <v/>
      </c>
      <c r="F39" s="0" t="str">
        <f aca="false">IF(A39="","",IF(AND(D39&lt;&gt;"",E39&lt;&gt;""),IF(D39&lt;=E39,"Yes","NO - LATE"),""))</f>
        <v/>
      </c>
      <c r="O39" s="13" t="str">
        <f aca="false">IF(A39="","",MAX(B39+0,C39+0))</f>
        <v/>
      </c>
      <c r="P39" s="0" t="str">
        <f aca="true">IF(A39="","",IF(OR(K39="Approved",K39="Denied",K39="Withdrawn"),"",TODAY()-O39))</f>
        <v/>
      </c>
    </row>
    <row r="40" customFormat="false" ht="15" hidden="false" customHeight="false" outlineLevel="0" collapsed="false">
      <c r="D40" s="0" t="str">
        <f aca="false">IF(A40="","",IF(AND(B40&lt;&gt;"",C40&lt;&gt;""),C40-B40,""))</f>
        <v/>
      </c>
      <c r="F40" s="0" t="str">
        <f aca="false">IF(A40="","",IF(AND(D40&lt;&gt;"",E40&lt;&gt;""),IF(D40&lt;=E40,"Yes","NO - LATE"),""))</f>
        <v/>
      </c>
      <c r="O40" s="13" t="str">
        <f aca="false">IF(A40="","",MAX(B40+0,C40+0))</f>
        <v/>
      </c>
      <c r="P40" s="0" t="str">
        <f aca="true">IF(A40="","",IF(OR(K40="Approved",K40="Denied",K40="Withdrawn"),"",TODAY()-O40))</f>
        <v/>
      </c>
    </row>
    <row r="41" customFormat="false" ht="15" hidden="false" customHeight="false" outlineLevel="0" collapsed="false">
      <c r="D41" s="0" t="str">
        <f aca="false">IF(A41="","",IF(AND(B41&lt;&gt;"",C41&lt;&gt;""),C41-B41,""))</f>
        <v/>
      </c>
      <c r="F41" s="0" t="str">
        <f aca="false">IF(A41="","",IF(AND(D41&lt;&gt;"",E41&lt;&gt;""),IF(D41&lt;=E41,"Yes","NO - LATE"),""))</f>
        <v/>
      </c>
      <c r="O41" s="13" t="str">
        <f aca="false">IF(A41="","",MAX(B41+0,C41+0))</f>
        <v/>
      </c>
      <c r="P41" s="0" t="str">
        <f aca="true">IF(A41="","",IF(OR(K41="Approved",K41="Denied",K41="Withdrawn"),"",TODAY()-O41))</f>
        <v/>
      </c>
    </row>
    <row r="42" customFormat="false" ht="15" hidden="false" customHeight="false" outlineLevel="0" collapsed="false">
      <c r="D42" s="0" t="str">
        <f aca="false">IF(A42="","",IF(AND(B42&lt;&gt;"",C42&lt;&gt;""),C42-B42,""))</f>
        <v/>
      </c>
      <c r="F42" s="0" t="str">
        <f aca="false">IF(A42="","",IF(AND(D42&lt;&gt;"",E42&lt;&gt;""),IF(D42&lt;=E42,"Yes","NO - LATE"),""))</f>
        <v/>
      </c>
      <c r="O42" s="13" t="str">
        <f aca="false">IF(A42="","",MAX(B42+0,C42+0))</f>
        <v/>
      </c>
      <c r="P42" s="0" t="str">
        <f aca="true">IF(A42="","",IF(OR(K42="Approved",K42="Denied",K42="Withdrawn"),"",TODAY()-O42))</f>
        <v/>
      </c>
    </row>
    <row r="43" customFormat="false" ht="15" hidden="false" customHeight="false" outlineLevel="0" collapsed="false">
      <c r="D43" s="0" t="str">
        <f aca="false">IF(A43="","",IF(AND(B43&lt;&gt;"",C43&lt;&gt;""),C43-B43,""))</f>
        <v/>
      </c>
      <c r="F43" s="0" t="str">
        <f aca="false">IF(A43="","",IF(AND(D43&lt;&gt;"",E43&lt;&gt;""),IF(D43&lt;=E43,"Yes","NO - LATE"),""))</f>
        <v/>
      </c>
      <c r="O43" s="13" t="str">
        <f aca="false">IF(A43="","",MAX(B43+0,C43+0))</f>
        <v/>
      </c>
      <c r="P43" s="0" t="str">
        <f aca="true">IF(A43="","",IF(OR(K43="Approved",K43="Denied",K43="Withdrawn"),"",TODAY()-O43))</f>
        <v/>
      </c>
    </row>
    <row r="44" customFormat="false" ht="15" hidden="false" customHeight="false" outlineLevel="0" collapsed="false">
      <c r="D44" s="0" t="str">
        <f aca="false">IF(A44="","",IF(AND(B44&lt;&gt;"",C44&lt;&gt;""),C44-B44,""))</f>
        <v/>
      </c>
      <c r="F44" s="0" t="str">
        <f aca="false">IF(A44="","",IF(AND(D44&lt;&gt;"",E44&lt;&gt;""),IF(D44&lt;=E44,"Yes","NO - LATE"),""))</f>
        <v/>
      </c>
      <c r="O44" s="13" t="str">
        <f aca="false">IF(A44="","",MAX(B44+0,C44+0))</f>
        <v/>
      </c>
      <c r="P44" s="0" t="str">
        <f aca="true">IF(A44="","",IF(OR(K44="Approved",K44="Denied",K44="Withdrawn"),"",TODAY()-O44))</f>
        <v/>
      </c>
    </row>
    <row r="45" customFormat="false" ht="15" hidden="false" customHeight="false" outlineLevel="0" collapsed="false">
      <c r="D45" s="0" t="str">
        <f aca="false">IF(A45="","",IF(AND(B45&lt;&gt;"",C45&lt;&gt;""),C45-B45,""))</f>
        <v/>
      </c>
      <c r="F45" s="0" t="str">
        <f aca="false">IF(A45="","",IF(AND(D45&lt;&gt;"",E45&lt;&gt;""),IF(D45&lt;=E45,"Yes","NO - LATE"),""))</f>
        <v/>
      </c>
      <c r="O45" s="13" t="str">
        <f aca="false">IF(A45="","",MAX(B45+0,C45+0))</f>
        <v/>
      </c>
      <c r="P45" s="0" t="str">
        <f aca="true">IF(A45="","",IF(OR(K45="Approved",K45="Denied",K45="Withdrawn"),"",TODAY()-O45))</f>
        <v/>
      </c>
    </row>
    <row r="46" customFormat="false" ht="15" hidden="false" customHeight="false" outlineLevel="0" collapsed="false">
      <c r="D46" s="0" t="str">
        <f aca="false">IF(A46="","",IF(AND(B46&lt;&gt;"",C46&lt;&gt;""),C46-B46,""))</f>
        <v/>
      </c>
      <c r="F46" s="0" t="str">
        <f aca="false">IF(A46="","",IF(AND(D46&lt;&gt;"",E46&lt;&gt;""),IF(D46&lt;=E46,"Yes","NO - LATE"),""))</f>
        <v/>
      </c>
      <c r="O46" s="13" t="str">
        <f aca="false">IF(A46="","",MAX(B46+0,C46+0))</f>
        <v/>
      </c>
      <c r="P46" s="0" t="str">
        <f aca="true">IF(A46="","",IF(OR(K46="Approved",K46="Denied",K46="Withdrawn"),"",TODAY()-O46))</f>
        <v/>
      </c>
    </row>
    <row r="47" customFormat="false" ht="15" hidden="false" customHeight="false" outlineLevel="0" collapsed="false">
      <c r="D47" s="0" t="str">
        <f aca="false">IF(A47="","",IF(AND(B47&lt;&gt;"",C47&lt;&gt;""),C47-B47,""))</f>
        <v/>
      </c>
      <c r="F47" s="0" t="str">
        <f aca="false">IF(A47="","",IF(AND(D47&lt;&gt;"",E47&lt;&gt;""),IF(D47&lt;=E47,"Yes","NO - LATE"),""))</f>
        <v/>
      </c>
      <c r="O47" s="13" t="str">
        <f aca="false">IF(A47="","",MAX(B47+0,C47+0))</f>
        <v/>
      </c>
      <c r="P47" s="0" t="str">
        <f aca="true">IF(A47="","",IF(OR(K47="Approved",K47="Denied",K47="Withdrawn"),"",TODAY()-O47))</f>
        <v/>
      </c>
    </row>
    <row r="48" customFormat="false" ht="15" hidden="false" customHeight="false" outlineLevel="0" collapsed="false">
      <c r="D48" s="0" t="str">
        <f aca="false">IF(A48="","",IF(AND(B48&lt;&gt;"",C48&lt;&gt;""),C48-B48,""))</f>
        <v/>
      </c>
      <c r="F48" s="0" t="str">
        <f aca="false">IF(A48="","",IF(AND(D48&lt;&gt;"",E48&lt;&gt;""),IF(D48&lt;=E48,"Yes","NO - LATE"),""))</f>
        <v/>
      </c>
      <c r="O48" s="13" t="str">
        <f aca="false">IF(A48="","",MAX(B48+0,C48+0))</f>
        <v/>
      </c>
      <c r="P48" s="0" t="str">
        <f aca="true">IF(A48="","",IF(OR(K48="Approved",K48="Denied",K48="Withdrawn"),"",TODAY()-O48))</f>
        <v/>
      </c>
    </row>
    <row r="49" customFormat="false" ht="15" hidden="false" customHeight="false" outlineLevel="0" collapsed="false">
      <c r="D49" s="0" t="str">
        <f aca="false">IF(A49="","",IF(AND(B49&lt;&gt;"",C49&lt;&gt;""),C49-B49,""))</f>
        <v/>
      </c>
      <c r="F49" s="0" t="str">
        <f aca="false">IF(A49="","",IF(AND(D49&lt;&gt;"",E49&lt;&gt;""),IF(D49&lt;=E49,"Yes","NO - LATE"),""))</f>
        <v/>
      </c>
      <c r="O49" s="13" t="str">
        <f aca="false">IF(A49="","",MAX(B49+0,C49+0))</f>
        <v/>
      </c>
      <c r="P49" s="0" t="str">
        <f aca="true">IF(A49="","",IF(OR(K49="Approved",K49="Denied",K49="Withdrawn"),"",TODAY()-O49))</f>
        <v/>
      </c>
    </row>
    <row r="50" customFormat="false" ht="15" hidden="false" customHeight="false" outlineLevel="0" collapsed="false">
      <c r="D50" s="0" t="str">
        <f aca="false">IF(A50="","",IF(AND(B50&lt;&gt;"",C50&lt;&gt;""),C50-B50,""))</f>
        <v/>
      </c>
      <c r="F50" s="0" t="str">
        <f aca="false">IF(A50="","",IF(AND(D50&lt;&gt;"",E50&lt;&gt;""),IF(D50&lt;=E50,"Yes","NO - LATE"),""))</f>
        <v/>
      </c>
      <c r="O50" s="13" t="str">
        <f aca="false">IF(A50="","",MAX(B50+0,C50+0))</f>
        <v/>
      </c>
      <c r="P50" s="0" t="str">
        <f aca="true">IF(A50="","",IF(OR(K50="Approved",K50="Denied",K50="Withdrawn"),"",TODAY()-O50))</f>
        <v/>
      </c>
    </row>
    <row r="51" customFormat="false" ht="15" hidden="false" customHeight="false" outlineLevel="0" collapsed="false">
      <c r="D51" s="0" t="str">
        <f aca="false">IF(A51="","",IF(AND(B51&lt;&gt;"",C51&lt;&gt;""),C51-B51,""))</f>
        <v/>
      </c>
      <c r="F51" s="0" t="str">
        <f aca="false">IF(A51="","",IF(AND(D51&lt;&gt;"",E51&lt;&gt;""),IF(D51&lt;=E51,"Yes","NO - LATE"),""))</f>
        <v/>
      </c>
      <c r="O51" s="13" t="str">
        <f aca="false">IF(A51="","",MAX(B51+0,C51+0))</f>
        <v/>
      </c>
      <c r="P51" s="0" t="str">
        <f aca="true">IF(A51="","",IF(OR(K51="Approved",K51="Denied",K51="Withdrawn"),"",TODAY()-O51))</f>
        <v/>
      </c>
    </row>
    <row r="52" customFormat="false" ht="15" hidden="false" customHeight="false" outlineLevel="0" collapsed="false">
      <c r="D52" s="0" t="str">
        <f aca="false">IF(A52="","",IF(AND(B52&lt;&gt;"",C52&lt;&gt;""),C52-B52,""))</f>
        <v/>
      </c>
      <c r="F52" s="0" t="str">
        <f aca="false">IF(A52="","",IF(AND(D52&lt;&gt;"",E52&lt;&gt;""),IF(D52&lt;=E52,"Yes","NO - LATE"),""))</f>
        <v/>
      </c>
      <c r="O52" s="13" t="str">
        <f aca="false">IF(A52="","",MAX(B52+0,C52+0))</f>
        <v/>
      </c>
      <c r="P52" s="0" t="str">
        <f aca="true">IF(A52="","",IF(OR(K52="Approved",K52="Denied",K52="Withdrawn"),"",TODAY()-O52))</f>
        <v/>
      </c>
    </row>
    <row r="53" customFormat="false" ht="15" hidden="false" customHeight="false" outlineLevel="0" collapsed="false">
      <c r="D53" s="0" t="str">
        <f aca="false">IF(A53="","",IF(AND(B53&lt;&gt;"",C53&lt;&gt;""),C53-B53,""))</f>
        <v/>
      </c>
      <c r="F53" s="0" t="str">
        <f aca="false">IF(A53="","",IF(AND(D53&lt;&gt;"",E53&lt;&gt;""),IF(D53&lt;=E53,"Yes","NO - LATE"),""))</f>
        <v/>
      </c>
      <c r="O53" s="13" t="str">
        <f aca="false">IF(A53="","",MAX(B53+0,C53+0))</f>
        <v/>
      </c>
      <c r="P53" s="0" t="str">
        <f aca="true">IF(A53="","",IF(OR(K53="Approved",K53="Denied",K53="Withdrawn"),"",TODAY()-O53))</f>
        <v/>
      </c>
    </row>
    <row r="54" customFormat="false" ht="15" hidden="false" customHeight="false" outlineLevel="0" collapsed="false">
      <c r="D54" s="0" t="str">
        <f aca="false">IF(A54="","",IF(AND(B54&lt;&gt;"",C54&lt;&gt;""),C54-B54,""))</f>
        <v/>
      </c>
      <c r="F54" s="0" t="str">
        <f aca="false">IF(A54="","",IF(AND(D54&lt;&gt;"",E54&lt;&gt;""),IF(D54&lt;=E54,"Yes","NO - LATE"),""))</f>
        <v/>
      </c>
      <c r="O54" s="13" t="str">
        <f aca="false">IF(A54="","",MAX(B54+0,C54+0))</f>
        <v/>
      </c>
      <c r="P54" s="0" t="str">
        <f aca="true">IF(A54="","",IF(OR(K54="Approved",K54="Denied",K54="Withdrawn"),"",TODAY()-O54))</f>
        <v/>
      </c>
    </row>
    <row r="55" customFormat="false" ht="15" hidden="false" customHeight="false" outlineLevel="0" collapsed="false">
      <c r="D55" s="0" t="str">
        <f aca="false">IF(A55="","",IF(AND(B55&lt;&gt;"",C55&lt;&gt;""),C55-B55,""))</f>
        <v/>
      </c>
      <c r="F55" s="0" t="str">
        <f aca="false">IF(A55="","",IF(AND(D55&lt;&gt;"",E55&lt;&gt;""),IF(D55&lt;=E55,"Yes","NO - LATE"),""))</f>
        <v/>
      </c>
      <c r="O55" s="13" t="str">
        <f aca="false">IF(A55="","",MAX(B55+0,C55+0))</f>
        <v/>
      </c>
      <c r="P55" s="0" t="str">
        <f aca="true">IF(A55="","",IF(OR(K55="Approved",K55="Denied",K55="Withdrawn"),"",TODAY()-O55))</f>
        <v/>
      </c>
    </row>
    <row r="56" customFormat="false" ht="15" hidden="false" customHeight="false" outlineLevel="0" collapsed="false">
      <c r="D56" s="0" t="str">
        <f aca="false">IF(A56="","",IF(AND(B56&lt;&gt;"",C56&lt;&gt;""),C56-B56,""))</f>
        <v/>
      </c>
      <c r="F56" s="0" t="str">
        <f aca="false">IF(A56="","",IF(AND(D56&lt;&gt;"",E56&lt;&gt;""),IF(D56&lt;=E56,"Yes","NO - LATE"),""))</f>
        <v/>
      </c>
      <c r="O56" s="13" t="str">
        <f aca="false">IF(A56="","",MAX(B56+0,C56+0))</f>
        <v/>
      </c>
      <c r="P56" s="0" t="str">
        <f aca="true">IF(A56="","",IF(OR(K56="Approved",K56="Denied",K56="Withdrawn"),"",TODAY()-O56))</f>
        <v/>
      </c>
    </row>
    <row r="57" customFormat="false" ht="15" hidden="false" customHeight="false" outlineLevel="0" collapsed="false">
      <c r="D57" s="0" t="str">
        <f aca="false">IF(A57="","",IF(AND(B57&lt;&gt;"",C57&lt;&gt;""),C57-B57,""))</f>
        <v/>
      </c>
      <c r="F57" s="0" t="str">
        <f aca="false">IF(A57="","",IF(AND(D57&lt;&gt;"",E57&lt;&gt;""),IF(D57&lt;=E57,"Yes","NO - LATE"),""))</f>
        <v/>
      </c>
      <c r="O57" s="13" t="str">
        <f aca="false">IF(A57="","",MAX(B57+0,C57+0))</f>
        <v/>
      </c>
      <c r="P57" s="0" t="str">
        <f aca="true">IF(A57="","",IF(OR(K57="Approved",K57="Denied",K57="Withdrawn"),"",TODAY()-O57))</f>
        <v/>
      </c>
    </row>
    <row r="58" customFormat="false" ht="15" hidden="false" customHeight="false" outlineLevel="0" collapsed="false">
      <c r="D58" s="0" t="str">
        <f aca="false">IF(A58="","",IF(AND(B58&lt;&gt;"",C58&lt;&gt;""),C58-B58,""))</f>
        <v/>
      </c>
      <c r="F58" s="0" t="str">
        <f aca="false">IF(A58="","",IF(AND(D58&lt;&gt;"",E58&lt;&gt;""),IF(D58&lt;=E58,"Yes","NO - LATE"),""))</f>
        <v/>
      </c>
      <c r="O58" s="13" t="str">
        <f aca="false">IF(A58="","",MAX(B58+0,C58+0))</f>
        <v/>
      </c>
      <c r="P58" s="0" t="str">
        <f aca="true">IF(A58="","",IF(OR(K58="Approved",K58="Denied",K58="Withdrawn"),"",TODAY()-O58))</f>
        <v/>
      </c>
    </row>
    <row r="59" customFormat="false" ht="15" hidden="false" customHeight="false" outlineLevel="0" collapsed="false">
      <c r="D59" s="0" t="str">
        <f aca="false">IF(A59="","",IF(AND(B59&lt;&gt;"",C59&lt;&gt;""),C59-B59,""))</f>
        <v/>
      </c>
      <c r="F59" s="0" t="str">
        <f aca="false">IF(A59="","",IF(AND(D59&lt;&gt;"",E59&lt;&gt;""),IF(D59&lt;=E59,"Yes","NO - LATE"),""))</f>
        <v/>
      </c>
      <c r="O59" s="13" t="str">
        <f aca="false">IF(A59="","",MAX(B59+0,C59+0))</f>
        <v/>
      </c>
      <c r="P59" s="0" t="str">
        <f aca="true">IF(A59="","",IF(OR(K59="Approved",K59="Denied",K59="Withdrawn"),"",TODAY()-O59))</f>
        <v/>
      </c>
    </row>
    <row r="60" customFormat="false" ht="15" hidden="false" customHeight="false" outlineLevel="0" collapsed="false">
      <c r="D60" s="0" t="str">
        <f aca="false">IF(A60="","",IF(AND(B60&lt;&gt;"",C60&lt;&gt;""),C60-B60,""))</f>
        <v/>
      </c>
      <c r="F60" s="0" t="str">
        <f aca="false">IF(A60="","",IF(AND(D60&lt;&gt;"",E60&lt;&gt;""),IF(D60&lt;=E60,"Yes","NO - LATE"),""))</f>
        <v/>
      </c>
      <c r="O60" s="13" t="str">
        <f aca="false">IF(A60="","",MAX(B60+0,C60+0))</f>
        <v/>
      </c>
      <c r="P60" s="0" t="str">
        <f aca="true">IF(A60="","",IF(OR(K60="Approved",K60="Denied",K60="Withdrawn"),"",TODAY()-O60))</f>
        <v/>
      </c>
    </row>
    <row r="61" customFormat="false" ht="15" hidden="false" customHeight="false" outlineLevel="0" collapsed="false">
      <c r="D61" s="0" t="str">
        <f aca="false">IF(A61="","",IF(AND(B61&lt;&gt;"",C61&lt;&gt;""),C61-B61,""))</f>
        <v/>
      </c>
      <c r="F61" s="0" t="str">
        <f aca="false">IF(A61="","",IF(AND(D61&lt;&gt;"",E61&lt;&gt;""),IF(D61&lt;=E61,"Yes","NO - LATE"),""))</f>
        <v/>
      </c>
      <c r="O61" s="13" t="str">
        <f aca="false">IF(A61="","",MAX(B61+0,C61+0))</f>
        <v/>
      </c>
      <c r="P61" s="0" t="str">
        <f aca="true">IF(A61="","",IF(OR(K61="Approved",K61="Denied",K61="Withdrawn"),"",TODAY()-O61))</f>
        <v/>
      </c>
    </row>
    <row r="62" customFormat="false" ht="15" hidden="false" customHeight="false" outlineLevel="0" collapsed="false">
      <c r="D62" s="0" t="str">
        <f aca="false">IF(A62="","",IF(AND(B62&lt;&gt;"",C62&lt;&gt;""),C62-B62,""))</f>
        <v/>
      </c>
      <c r="F62" s="0" t="str">
        <f aca="false">IF(A62="","",IF(AND(D62&lt;&gt;"",E62&lt;&gt;""),IF(D62&lt;=E62,"Yes","NO - LATE"),""))</f>
        <v/>
      </c>
      <c r="O62" s="13" t="str">
        <f aca="false">IF(A62="","",MAX(B62+0,C62+0))</f>
        <v/>
      </c>
      <c r="P62" s="0" t="str">
        <f aca="true">IF(A62="","",IF(OR(K62="Approved",K62="Denied",K62="Withdrawn"),"",TODAY()-O62))</f>
        <v/>
      </c>
    </row>
    <row r="63" customFormat="false" ht="15" hidden="false" customHeight="false" outlineLevel="0" collapsed="false">
      <c r="D63" s="0" t="str">
        <f aca="false">IF(A63="","",IF(AND(B63&lt;&gt;"",C63&lt;&gt;""),C63-B63,""))</f>
        <v/>
      </c>
      <c r="F63" s="0" t="str">
        <f aca="false">IF(A63="","",IF(AND(D63&lt;&gt;"",E63&lt;&gt;""),IF(D63&lt;=E63,"Yes","NO - LATE"),""))</f>
        <v/>
      </c>
      <c r="O63" s="13" t="str">
        <f aca="false">IF(A63="","",MAX(B63+0,C63+0))</f>
        <v/>
      </c>
      <c r="P63" s="0" t="str">
        <f aca="true">IF(A63="","",IF(OR(K63="Approved",K63="Denied",K63="Withdrawn"),"",TODAY()-O63))</f>
        <v/>
      </c>
    </row>
    <row r="64" customFormat="false" ht="15" hidden="false" customHeight="false" outlineLevel="0" collapsed="false">
      <c r="D64" s="0" t="str">
        <f aca="false">IF(A64="","",IF(AND(B64&lt;&gt;"",C64&lt;&gt;""),C64-B64,""))</f>
        <v/>
      </c>
      <c r="F64" s="0" t="str">
        <f aca="false">IF(A64="","",IF(AND(D64&lt;&gt;"",E64&lt;&gt;""),IF(D64&lt;=E64,"Yes","NO - LATE"),""))</f>
        <v/>
      </c>
      <c r="O64" s="13" t="str">
        <f aca="false">IF(A64="","",MAX(B64+0,C64+0))</f>
        <v/>
      </c>
      <c r="P64" s="0" t="str">
        <f aca="true">IF(A64="","",IF(OR(K64="Approved",K64="Denied",K64="Withdrawn"),"",TODAY()-O64))</f>
        <v/>
      </c>
    </row>
    <row r="65" customFormat="false" ht="15" hidden="false" customHeight="false" outlineLevel="0" collapsed="false">
      <c r="D65" s="0" t="str">
        <f aca="false">IF(A65="","",IF(AND(B65&lt;&gt;"",C65&lt;&gt;""),C65-B65,""))</f>
        <v/>
      </c>
      <c r="F65" s="0" t="str">
        <f aca="false">IF(A65="","",IF(AND(D65&lt;&gt;"",E65&lt;&gt;""),IF(D65&lt;=E65,"Yes","NO - LATE"),""))</f>
        <v/>
      </c>
      <c r="O65" s="13" t="str">
        <f aca="false">IF(A65="","",MAX(B65+0,C65+0))</f>
        <v/>
      </c>
      <c r="P65" s="0" t="str">
        <f aca="true">IF(A65="","",IF(OR(K65="Approved",K65="Denied",K65="Withdrawn"),"",TODAY()-O65))</f>
        <v/>
      </c>
    </row>
    <row r="66" customFormat="false" ht="15" hidden="false" customHeight="false" outlineLevel="0" collapsed="false">
      <c r="D66" s="0" t="str">
        <f aca="false">IF(A66="","",IF(AND(B66&lt;&gt;"",C66&lt;&gt;""),C66-B66,""))</f>
        <v/>
      </c>
      <c r="F66" s="0" t="str">
        <f aca="false">IF(A66="","",IF(AND(D66&lt;&gt;"",E66&lt;&gt;""),IF(D66&lt;=E66,"Yes","NO - LATE"),""))</f>
        <v/>
      </c>
      <c r="O66" s="13" t="str">
        <f aca="false">IF(A66="","",MAX(B66+0,C66+0))</f>
        <v/>
      </c>
      <c r="P66" s="0" t="str">
        <f aca="true">IF(A66="","",IF(OR(K66="Approved",K66="Denied",K66="Withdrawn"),"",TODAY()-O66))</f>
        <v/>
      </c>
    </row>
    <row r="67" customFormat="false" ht="15" hidden="false" customHeight="false" outlineLevel="0" collapsed="false">
      <c r="D67" s="0" t="str">
        <f aca="false">IF(A67="","",IF(AND(B67&lt;&gt;"",C67&lt;&gt;""),C67-B67,""))</f>
        <v/>
      </c>
      <c r="F67" s="0" t="str">
        <f aca="false">IF(A67="","",IF(AND(D67&lt;&gt;"",E67&lt;&gt;""),IF(D67&lt;=E67,"Yes","NO - LATE"),""))</f>
        <v/>
      </c>
      <c r="O67" s="13" t="str">
        <f aca="false">IF(A67="","",MAX(B67+0,C67+0))</f>
        <v/>
      </c>
      <c r="P67" s="0" t="str">
        <f aca="true">IF(A67="","",IF(OR(K67="Approved",K67="Denied",K67="Withdrawn"),"",TODAY()-O67))</f>
        <v/>
      </c>
    </row>
    <row r="68" customFormat="false" ht="15" hidden="false" customHeight="false" outlineLevel="0" collapsed="false">
      <c r="D68" s="0" t="str">
        <f aca="false">IF(A68="","",IF(AND(B68&lt;&gt;"",C68&lt;&gt;""),C68-B68,""))</f>
        <v/>
      </c>
      <c r="F68" s="0" t="str">
        <f aca="false">IF(A68="","",IF(AND(D68&lt;&gt;"",E68&lt;&gt;""),IF(D68&lt;=E68,"Yes","NO - LATE"),""))</f>
        <v/>
      </c>
      <c r="O68" s="13" t="str">
        <f aca="false">IF(A68="","",MAX(B68+0,C68+0))</f>
        <v/>
      </c>
      <c r="P68" s="0" t="str">
        <f aca="true">IF(A68="","",IF(OR(K68="Approved",K68="Denied",K68="Withdrawn"),"",TODAY()-O68))</f>
        <v/>
      </c>
    </row>
    <row r="69" customFormat="false" ht="15" hidden="false" customHeight="false" outlineLevel="0" collapsed="false">
      <c r="D69" s="0" t="str">
        <f aca="false">IF(A69="","",IF(AND(B69&lt;&gt;"",C69&lt;&gt;""),C69-B69,""))</f>
        <v/>
      </c>
      <c r="F69" s="0" t="str">
        <f aca="false">IF(A69="","",IF(AND(D69&lt;&gt;"",E69&lt;&gt;""),IF(D69&lt;=E69,"Yes","NO - LATE"),""))</f>
        <v/>
      </c>
      <c r="O69" s="13" t="str">
        <f aca="false">IF(A69="","",MAX(B69+0,C69+0))</f>
        <v/>
      </c>
      <c r="P69" s="0" t="str">
        <f aca="true">IF(A69="","",IF(OR(K69="Approved",K69="Denied",K69="Withdrawn"),"",TODAY()-O69))</f>
        <v/>
      </c>
    </row>
    <row r="70" customFormat="false" ht="15" hidden="false" customHeight="false" outlineLevel="0" collapsed="false">
      <c r="D70" s="0" t="str">
        <f aca="false">IF(A70="","",IF(AND(B70&lt;&gt;"",C70&lt;&gt;""),C70-B70,""))</f>
        <v/>
      </c>
      <c r="F70" s="0" t="str">
        <f aca="false">IF(A70="","",IF(AND(D70&lt;&gt;"",E70&lt;&gt;""),IF(D70&lt;=E70,"Yes","NO - LATE"),""))</f>
        <v/>
      </c>
      <c r="O70" s="13" t="str">
        <f aca="false">IF(A70="","",MAX(B70+0,C70+0))</f>
        <v/>
      </c>
      <c r="P70" s="0" t="str">
        <f aca="true">IF(A70="","",IF(OR(K70="Approved",K70="Denied",K70="Withdrawn"),"",TODAY()-O70))</f>
        <v/>
      </c>
    </row>
    <row r="71" customFormat="false" ht="15" hidden="false" customHeight="false" outlineLevel="0" collapsed="false">
      <c r="D71" s="0" t="str">
        <f aca="false">IF(A71="","",IF(AND(B71&lt;&gt;"",C71&lt;&gt;""),C71-B71,""))</f>
        <v/>
      </c>
      <c r="F71" s="0" t="str">
        <f aca="false">IF(A71="","",IF(AND(D71&lt;&gt;"",E71&lt;&gt;""),IF(D71&lt;=E71,"Yes","NO - LATE"),""))</f>
        <v/>
      </c>
      <c r="O71" s="13" t="str">
        <f aca="false">IF(A71="","",MAX(B71+0,C71+0))</f>
        <v/>
      </c>
      <c r="P71" s="0" t="str">
        <f aca="true">IF(A71="","",IF(OR(K71="Approved",K71="Denied",K71="Withdrawn"),"",TODAY()-O71))</f>
        <v/>
      </c>
    </row>
    <row r="72" customFormat="false" ht="15" hidden="false" customHeight="false" outlineLevel="0" collapsed="false">
      <c r="D72" s="0" t="str">
        <f aca="false">IF(A72="","",IF(AND(B72&lt;&gt;"",C72&lt;&gt;""),C72-B72,""))</f>
        <v/>
      </c>
      <c r="F72" s="0" t="str">
        <f aca="false">IF(A72="","",IF(AND(D72&lt;&gt;"",E72&lt;&gt;""),IF(D72&lt;=E72,"Yes","NO - LATE"),""))</f>
        <v/>
      </c>
      <c r="O72" s="13" t="str">
        <f aca="false">IF(A72="","",MAX(B72+0,C72+0))</f>
        <v/>
      </c>
      <c r="P72" s="0" t="str">
        <f aca="true">IF(A72="","",IF(OR(K72="Approved",K72="Denied",K72="Withdrawn"),"",TODAY()-O72))</f>
        <v/>
      </c>
    </row>
    <row r="73" customFormat="false" ht="15" hidden="false" customHeight="false" outlineLevel="0" collapsed="false">
      <c r="D73" s="0" t="str">
        <f aca="false">IF(A73="","",IF(AND(B73&lt;&gt;"",C73&lt;&gt;""),C73-B73,""))</f>
        <v/>
      </c>
      <c r="F73" s="0" t="str">
        <f aca="false">IF(A73="","",IF(AND(D73&lt;&gt;"",E73&lt;&gt;""),IF(D73&lt;=E73,"Yes","NO - LATE"),""))</f>
        <v/>
      </c>
      <c r="O73" s="13" t="str">
        <f aca="false">IF(A73="","",MAX(B73+0,C73+0))</f>
        <v/>
      </c>
      <c r="P73" s="0" t="str">
        <f aca="true">IF(A73="","",IF(OR(K73="Approved",K73="Denied",K73="Withdrawn"),"",TODAY()-O73))</f>
        <v/>
      </c>
    </row>
    <row r="74" customFormat="false" ht="15" hidden="false" customHeight="false" outlineLevel="0" collapsed="false">
      <c r="D74" s="0" t="str">
        <f aca="false">IF(A74="","",IF(AND(B74&lt;&gt;"",C74&lt;&gt;""),C74-B74,""))</f>
        <v/>
      </c>
      <c r="F74" s="0" t="str">
        <f aca="false">IF(A74="","",IF(AND(D74&lt;&gt;"",E74&lt;&gt;""),IF(D74&lt;=E74,"Yes","NO - LATE"),""))</f>
        <v/>
      </c>
      <c r="O74" s="13" t="str">
        <f aca="false">IF(A74="","",MAX(B74+0,C74+0))</f>
        <v/>
      </c>
      <c r="P74" s="0" t="str">
        <f aca="true">IF(A74="","",IF(OR(K74="Approved",K74="Denied",K74="Withdrawn"),"",TODAY()-O74))</f>
        <v/>
      </c>
    </row>
    <row r="75" customFormat="false" ht="15" hidden="false" customHeight="false" outlineLevel="0" collapsed="false">
      <c r="D75" s="0" t="str">
        <f aca="false">IF(A75="","",IF(AND(B75&lt;&gt;"",C75&lt;&gt;""),C75-B75,""))</f>
        <v/>
      </c>
      <c r="F75" s="0" t="str">
        <f aca="false">IF(A75="","",IF(AND(D75&lt;&gt;"",E75&lt;&gt;""),IF(D75&lt;=E75,"Yes","NO - LATE"),""))</f>
        <v/>
      </c>
      <c r="O75" s="13" t="str">
        <f aca="false">IF(A75="","",MAX(B75+0,C75+0))</f>
        <v/>
      </c>
      <c r="P75" s="0" t="str">
        <f aca="true">IF(A75="","",IF(OR(K75="Approved",K75="Denied",K75="Withdrawn"),"",TODAY()-O75))</f>
        <v/>
      </c>
    </row>
    <row r="76" customFormat="false" ht="15" hidden="false" customHeight="false" outlineLevel="0" collapsed="false">
      <c r="D76" s="0" t="str">
        <f aca="false">IF(A76="","",IF(AND(B76&lt;&gt;"",C76&lt;&gt;""),C76-B76,""))</f>
        <v/>
      </c>
      <c r="F76" s="0" t="str">
        <f aca="false">IF(A76="","",IF(AND(D76&lt;&gt;"",E76&lt;&gt;""),IF(D76&lt;=E76,"Yes","NO - LATE"),""))</f>
        <v/>
      </c>
      <c r="O76" s="13" t="str">
        <f aca="false">IF(A76="","",MAX(B76+0,C76+0))</f>
        <v/>
      </c>
      <c r="P76" s="0" t="str">
        <f aca="true">IF(A76="","",IF(OR(K76="Approved",K76="Denied",K76="Withdrawn"),"",TODAY()-O76))</f>
        <v/>
      </c>
    </row>
    <row r="77" customFormat="false" ht="15" hidden="false" customHeight="false" outlineLevel="0" collapsed="false">
      <c r="D77" s="0" t="str">
        <f aca="false">IF(A77="","",IF(AND(B77&lt;&gt;"",C77&lt;&gt;""),C77-B77,""))</f>
        <v/>
      </c>
      <c r="F77" s="0" t="str">
        <f aca="false">IF(A77="","",IF(AND(D77&lt;&gt;"",E77&lt;&gt;""),IF(D77&lt;=E77,"Yes","NO - LATE"),""))</f>
        <v/>
      </c>
      <c r="O77" s="13" t="str">
        <f aca="false">IF(A77="","",MAX(B77+0,C77+0))</f>
        <v/>
      </c>
      <c r="P77" s="0" t="str">
        <f aca="true">IF(A77="","",IF(OR(K77="Approved",K77="Denied",K77="Withdrawn"),"",TODAY()-O77))</f>
        <v/>
      </c>
    </row>
    <row r="78" customFormat="false" ht="15" hidden="false" customHeight="false" outlineLevel="0" collapsed="false">
      <c r="D78" s="0" t="str">
        <f aca="false">IF(A78="","",IF(AND(B78&lt;&gt;"",C78&lt;&gt;""),C78-B78,""))</f>
        <v/>
      </c>
      <c r="F78" s="0" t="str">
        <f aca="false">IF(A78="","",IF(AND(D78&lt;&gt;"",E78&lt;&gt;""),IF(D78&lt;=E78,"Yes","NO - LATE"),""))</f>
        <v/>
      </c>
      <c r="O78" s="13" t="str">
        <f aca="false">IF(A78="","",MAX(B78+0,C78+0))</f>
        <v/>
      </c>
      <c r="P78" s="0" t="str">
        <f aca="true">IF(A78="","",IF(OR(K78="Approved",K78="Denied",K78="Withdrawn"),"",TODAY()-O78))</f>
        <v/>
      </c>
    </row>
    <row r="79" customFormat="false" ht="15" hidden="false" customHeight="false" outlineLevel="0" collapsed="false">
      <c r="D79" s="0" t="str">
        <f aca="false">IF(A79="","",IF(AND(B79&lt;&gt;"",C79&lt;&gt;""),C79-B79,""))</f>
        <v/>
      </c>
      <c r="F79" s="0" t="str">
        <f aca="false">IF(A79="","",IF(AND(D79&lt;&gt;"",E79&lt;&gt;""),IF(D79&lt;=E79,"Yes","NO - LATE"),""))</f>
        <v/>
      </c>
      <c r="O79" s="13" t="str">
        <f aca="false">IF(A79="","",MAX(B79+0,C79+0))</f>
        <v/>
      </c>
      <c r="P79" s="0" t="str">
        <f aca="true">IF(A79="","",IF(OR(K79="Approved",K79="Denied",K79="Withdrawn"),"",TODAY()-O79))</f>
        <v/>
      </c>
    </row>
    <row r="80" customFormat="false" ht="15" hidden="false" customHeight="false" outlineLevel="0" collapsed="false">
      <c r="D80" s="0" t="str">
        <f aca="false">IF(A80="","",IF(AND(B80&lt;&gt;"",C80&lt;&gt;""),C80-B80,""))</f>
        <v/>
      </c>
      <c r="F80" s="0" t="str">
        <f aca="false">IF(A80="","",IF(AND(D80&lt;&gt;"",E80&lt;&gt;""),IF(D80&lt;=E80,"Yes","NO - LATE"),""))</f>
        <v/>
      </c>
      <c r="O80" s="13" t="str">
        <f aca="false">IF(A80="","",MAX(B80+0,C80+0))</f>
        <v/>
      </c>
      <c r="P80" s="0" t="str">
        <f aca="true">IF(A80="","",IF(OR(K80="Approved",K80="Denied",K80="Withdrawn"),"",TODAY()-O80))</f>
        <v/>
      </c>
    </row>
    <row r="81" customFormat="false" ht="15" hidden="false" customHeight="false" outlineLevel="0" collapsed="false">
      <c r="D81" s="0" t="str">
        <f aca="false">IF(A81="","",IF(AND(B81&lt;&gt;"",C81&lt;&gt;""),C81-B81,""))</f>
        <v/>
      </c>
      <c r="F81" s="0" t="str">
        <f aca="false">IF(A81="","",IF(AND(D81&lt;&gt;"",E81&lt;&gt;""),IF(D81&lt;=E81,"Yes","NO - LATE"),""))</f>
        <v/>
      </c>
      <c r="O81" s="13" t="str">
        <f aca="false">IF(A81="","",MAX(B81+0,C81+0))</f>
        <v/>
      </c>
      <c r="P81" s="0" t="str">
        <f aca="true">IF(A81="","",IF(OR(K81="Approved",K81="Denied",K81="Withdrawn"),"",TODAY()-O81))</f>
        <v/>
      </c>
    </row>
    <row r="82" customFormat="false" ht="15" hidden="false" customHeight="false" outlineLevel="0" collapsed="false">
      <c r="D82" s="0" t="str">
        <f aca="false">IF(A82="","",IF(AND(B82&lt;&gt;"",C82&lt;&gt;""),C82-B82,""))</f>
        <v/>
      </c>
      <c r="F82" s="0" t="str">
        <f aca="false">IF(A82="","",IF(AND(D82&lt;&gt;"",E82&lt;&gt;""),IF(D82&lt;=E82,"Yes","NO - LATE"),""))</f>
        <v/>
      </c>
      <c r="O82" s="13" t="str">
        <f aca="false">IF(A82="","",MAX(B82+0,C82+0))</f>
        <v/>
      </c>
      <c r="P82" s="0" t="str">
        <f aca="true">IF(A82="","",IF(OR(K82="Approved",K82="Denied",K82="Withdrawn"),"",TODAY()-O82))</f>
        <v/>
      </c>
    </row>
    <row r="83" customFormat="false" ht="15" hidden="false" customHeight="false" outlineLevel="0" collapsed="false">
      <c r="D83" s="0" t="str">
        <f aca="false">IF(A83="","",IF(AND(B83&lt;&gt;"",C83&lt;&gt;""),C83-B83,""))</f>
        <v/>
      </c>
      <c r="F83" s="0" t="str">
        <f aca="false">IF(A83="","",IF(AND(D83&lt;&gt;"",E83&lt;&gt;""),IF(D83&lt;=E83,"Yes","NO - LATE"),""))</f>
        <v/>
      </c>
      <c r="O83" s="13" t="str">
        <f aca="false">IF(A83="","",MAX(B83+0,C83+0))</f>
        <v/>
      </c>
      <c r="P83" s="0" t="str">
        <f aca="true">IF(A83="","",IF(OR(K83="Approved",K83="Denied",K83="Withdrawn"),"",TODAY()-O83))</f>
        <v/>
      </c>
    </row>
    <row r="84" customFormat="false" ht="15" hidden="false" customHeight="false" outlineLevel="0" collapsed="false">
      <c r="D84" s="0" t="str">
        <f aca="false">IF(A84="","",IF(AND(B84&lt;&gt;"",C84&lt;&gt;""),C84-B84,""))</f>
        <v/>
      </c>
      <c r="F84" s="0" t="str">
        <f aca="false">IF(A84="","",IF(AND(D84&lt;&gt;"",E84&lt;&gt;""),IF(D84&lt;=E84,"Yes","NO - LATE"),""))</f>
        <v/>
      </c>
      <c r="O84" s="13" t="str">
        <f aca="false">IF(A84="","",MAX(B84+0,C84+0))</f>
        <v/>
      </c>
      <c r="P84" s="0" t="str">
        <f aca="true">IF(A84="","",IF(OR(K84="Approved",K84="Denied",K84="Withdrawn"),"",TODAY()-O84))</f>
        <v/>
      </c>
    </row>
    <row r="85" customFormat="false" ht="15" hidden="false" customHeight="false" outlineLevel="0" collapsed="false">
      <c r="D85" s="0" t="str">
        <f aca="false">IF(A85="","",IF(AND(B85&lt;&gt;"",C85&lt;&gt;""),C85-B85,""))</f>
        <v/>
      </c>
      <c r="F85" s="0" t="str">
        <f aca="false">IF(A85="","",IF(AND(D85&lt;&gt;"",E85&lt;&gt;""),IF(D85&lt;=E85,"Yes","NO - LATE"),""))</f>
        <v/>
      </c>
      <c r="O85" s="13" t="str">
        <f aca="false">IF(A85="","",MAX(B85+0,C85+0))</f>
        <v/>
      </c>
      <c r="P85" s="0" t="str">
        <f aca="true">IF(A85="","",IF(OR(K85="Approved",K85="Denied",K85="Withdrawn"),"",TODAY()-O85))</f>
        <v/>
      </c>
    </row>
    <row r="86" customFormat="false" ht="15" hidden="false" customHeight="false" outlineLevel="0" collapsed="false">
      <c r="D86" s="0" t="str">
        <f aca="false">IF(A86="","",IF(AND(B86&lt;&gt;"",C86&lt;&gt;""),C86-B86,""))</f>
        <v/>
      </c>
      <c r="F86" s="0" t="str">
        <f aca="false">IF(A86="","",IF(AND(D86&lt;&gt;"",E86&lt;&gt;""),IF(D86&lt;=E86,"Yes","NO - LATE"),""))</f>
        <v/>
      </c>
      <c r="O86" s="13" t="str">
        <f aca="false">IF(A86="","",MAX(B86+0,C86+0))</f>
        <v/>
      </c>
      <c r="P86" s="0" t="str">
        <f aca="true">IF(A86="","",IF(OR(K86="Approved",K86="Denied",K86="Withdrawn"),"",TODAY()-O86))</f>
        <v/>
      </c>
    </row>
    <row r="87" customFormat="false" ht="15" hidden="false" customHeight="false" outlineLevel="0" collapsed="false">
      <c r="D87" s="0" t="str">
        <f aca="false">IF(A87="","",IF(AND(B87&lt;&gt;"",C87&lt;&gt;""),C87-B87,""))</f>
        <v/>
      </c>
      <c r="F87" s="0" t="str">
        <f aca="false">IF(A87="","",IF(AND(D87&lt;&gt;"",E87&lt;&gt;""),IF(D87&lt;=E87,"Yes","NO - LATE"),""))</f>
        <v/>
      </c>
      <c r="O87" s="13" t="str">
        <f aca="false">IF(A87="","",MAX(B87+0,C87+0))</f>
        <v/>
      </c>
      <c r="P87" s="0" t="str">
        <f aca="true">IF(A87="","",IF(OR(K87="Approved",K87="Denied",K87="Withdrawn"),"",TODAY()-O87))</f>
        <v/>
      </c>
    </row>
    <row r="88" customFormat="false" ht="15" hidden="false" customHeight="false" outlineLevel="0" collapsed="false">
      <c r="D88" s="0" t="str">
        <f aca="false">IF(A88="","",IF(AND(B88&lt;&gt;"",C88&lt;&gt;""),C88-B88,""))</f>
        <v/>
      </c>
      <c r="F88" s="0" t="str">
        <f aca="false">IF(A88="","",IF(AND(D88&lt;&gt;"",E88&lt;&gt;""),IF(D88&lt;=E88,"Yes","NO - LATE"),""))</f>
        <v/>
      </c>
      <c r="O88" s="13" t="str">
        <f aca="false">IF(A88="","",MAX(B88+0,C88+0))</f>
        <v/>
      </c>
      <c r="P88" s="0" t="str">
        <f aca="true">IF(A88="","",IF(OR(K88="Approved",K88="Denied",K88="Withdrawn"),"",TODAY()-O88))</f>
        <v/>
      </c>
    </row>
    <row r="89" customFormat="false" ht="15" hidden="false" customHeight="false" outlineLevel="0" collapsed="false">
      <c r="D89" s="0" t="str">
        <f aca="false">IF(A89="","",IF(AND(B89&lt;&gt;"",C89&lt;&gt;""),C89-B89,""))</f>
        <v/>
      </c>
      <c r="F89" s="0" t="str">
        <f aca="false">IF(A89="","",IF(AND(D89&lt;&gt;"",E89&lt;&gt;""),IF(D89&lt;=E89,"Yes","NO - LATE"),""))</f>
        <v/>
      </c>
      <c r="O89" s="13" t="str">
        <f aca="false">IF(A89="","",MAX(B89+0,C89+0))</f>
        <v/>
      </c>
      <c r="P89" s="0" t="str">
        <f aca="true">IF(A89="","",IF(OR(K89="Approved",K89="Denied",K89="Withdrawn"),"",TODAY()-O89))</f>
        <v/>
      </c>
    </row>
    <row r="90" customFormat="false" ht="15" hidden="false" customHeight="false" outlineLevel="0" collapsed="false">
      <c r="D90" s="0" t="str">
        <f aca="false">IF(A90="","",IF(AND(B90&lt;&gt;"",C90&lt;&gt;""),C90-B90,""))</f>
        <v/>
      </c>
      <c r="F90" s="0" t="str">
        <f aca="false">IF(A90="","",IF(AND(D90&lt;&gt;"",E90&lt;&gt;""),IF(D90&lt;=E90,"Yes","NO - LATE"),""))</f>
        <v/>
      </c>
      <c r="O90" s="13" t="str">
        <f aca="false">IF(A90="","",MAX(B90+0,C90+0))</f>
        <v/>
      </c>
      <c r="P90" s="0" t="str">
        <f aca="true">IF(A90="","",IF(OR(K90="Approved",K90="Denied",K90="Withdrawn"),"",TODAY()-O90))</f>
        <v/>
      </c>
    </row>
    <row r="91" customFormat="false" ht="15" hidden="false" customHeight="false" outlineLevel="0" collapsed="false">
      <c r="D91" s="0" t="str">
        <f aca="false">IF(A91="","",IF(AND(B91&lt;&gt;"",C91&lt;&gt;""),C91-B91,""))</f>
        <v/>
      </c>
      <c r="F91" s="0" t="str">
        <f aca="false">IF(A91="","",IF(AND(D91&lt;&gt;"",E91&lt;&gt;""),IF(D91&lt;=E91,"Yes","NO - LATE"),""))</f>
        <v/>
      </c>
      <c r="O91" s="13" t="str">
        <f aca="false">IF(A91="","",MAX(B91+0,C91+0))</f>
        <v/>
      </c>
      <c r="P91" s="0" t="str">
        <f aca="true">IF(A91="","",IF(OR(K91="Approved",K91="Denied",K91="Withdrawn"),"",TODAY()-O91))</f>
        <v/>
      </c>
    </row>
    <row r="92" customFormat="false" ht="15" hidden="false" customHeight="false" outlineLevel="0" collapsed="false">
      <c r="D92" s="0" t="str">
        <f aca="false">IF(A92="","",IF(AND(B92&lt;&gt;"",C92&lt;&gt;""),C92-B92,""))</f>
        <v/>
      </c>
      <c r="F92" s="0" t="str">
        <f aca="false">IF(A92="","",IF(AND(D92&lt;&gt;"",E92&lt;&gt;""),IF(D92&lt;=E92,"Yes","NO - LATE"),""))</f>
        <v/>
      </c>
      <c r="O92" s="13" t="str">
        <f aca="false">IF(A92="","",MAX(B92+0,C92+0))</f>
        <v/>
      </c>
      <c r="P92" s="0" t="str">
        <f aca="true">IF(A92="","",IF(OR(K92="Approved",K92="Denied",K92="Withdrawn"),"",TODAY()-O92))</f>
        <v/>
      </c>
    </row>
    <row r="93" customFormat="false" ht="15" hidden="false" customHeight="false" outlineLevel="0" collapsed="false">
      <c r="D93" s="0" t="str">
        <f aca="false">IF(A93="","",IF(AND(B93&lt;&gt;"",C93&lt;&gt;""),C93-B93,""))</f>
        <v/>
      </c>
      <c r="F93" s="0" t="str">
        <f aca="false">IF(A93="","",IF(AND(D93&lt;&gt;"",E93&lt;&gt;""),IF(D93&lt;=E93,"Yes","NO - LATE"),""))</f>
        <v/>
      </c>
      <c r="O93" s="13" t="str">
        <f aca="false">IF(A93="","",MAX(B93+0,C93+0))</f>
        <v/>
      </c>
      <c r="P93" s="0" t="str">
        <f aca="true">IF(A93="","",IF(OR(K93="Approved",K93="Denied",K93="Withdrawn"),"",TODAY()-O93))</f>
        <v/>
      </c>
    </row>
    <row r="94" customFormat="false" ht="15" hidden="false" customHeight="false" outlineLevel="0" collapsed="false">
      <c r="D94" s="0" t="str">
        <f aca="false">IF(A94="","",IF(AND(B94&lt;&gt;"",C94&lt;&gt;""),C94-B94,""))</f>
        <v/>
      </c>
      <c r="F94" s="0" t="str">
        <f aca="false">IF(A94="","",IF(AND(D94&lt;&gt;"",E94&lt;&gt;""),IF(D94&lt;=E94,"Yes","NO - LATE"),""))</f>
        <v/>
      </c>
      <c r="O94" s="13" t="str">
        <f aca="false">IF(A94="","",MAX(B94+0,C94+0))</f>
        <v/>
      </c>
      <c r="P94" s="0" t="str">
        <f aca="true">IF(A94="","",IF(OR(K94="Approved",K94="Denied",K94="Withdrawn"),"",TODAY()-O94))</f>
        <v/>
      </c>
    </row>
    <row r="95" customFormat="false" ht="15" hidden="false" customHeight="false" outlineLevel="0" collapsed="false">
      <c r="D95" s="0" t="str">
        <f aca="false">IF(A95="","",IF(AND(B95&lt;&gt;"",C95&lt;&gt;""),C95-B95,""))</f>
        <v/>
      </c>
      <c r="F95" s="0" t="str">
        <f aca="false">IF(A95="","",IF(AND(D95&lt;&gt;"",E95&lt;&gt;""),IF(D95&lt;=E95,"Yes","NO - LATE"),""))</f>
        <v/>
      </c>
      <c r="O95" s="13" t="str">
        <f aca="false">IF(A95="","",MAX(B95+0,C95+0))</f>
        <v/>
      </c>
      <c r="P95" s="0" t="str">
        <f aca="true">IF(A95="","",IF(OR(K95="Approved",K95="Denied",K95="Withdrawn"),"",TODAY()-O95))</f>
        <v/>
      </c>
    </row>
    <row r="96" customFormat="false" ht="15" hidden="false" customHeight="false" outlineLevel="0" collapsed="false">
      <c r="D96" s="0" t="str">
        <f aca="false">IF(A96="","",IF(AND(B96&lt;&gt;"",C96&lt;&gt;""),C96-B96,""))</f>
        <v/>
      </c>
      <c r="F96" s="0" t="str">
        <f aca="false">IF(A96="","",IF(AND(D96&lt;&gt;"",E96&lt;&gt;""),IF(D96&lt;=E96,"Yes","NO - LATE"),""))</f>
        <v/>
      </c>
      <c r="O96" s="13" t="str">
        <f aca="false">IF(A96="","",MAX(B96+0,C96+0))</f>
        <v/>
      </c>
      <c r="P96" s="0" t="str">
        <f aca="true">IF(A96="","",IF(OR(K96="Approved",K96="Denied",K96="Withdrawn"),"",TODAY()-O96))</f>
        <v/>
      </c>
    </row>
    <row r="97" customFormat="false" ht="15" hidden="false" customHeight="false" outlineLevel="0" collapsed="false">
      <c r="D97" s="0" t="str">
        <f aca="false">IF(A97="","",IF(AND(B97&lt;&gt;"",C97&lt;&gt;""),C97-B97,""))</f>
        <v/>
      </c>
      <c r="F97" s="0" t="str">
        <f aca="false">IF(A97="","",IF(AND(D97&lt;&gt;"",E97&lt;&gt;""),IF(D97&lt;=E97,"Yes","NO - LATE"),""))</f>
        <v/>
      </c>
      <c r="O97" s="13" t="str">
        <f aca="false">IF(A97="","",MAX(B97+0,C97+0))</f>
        <v/>
      </c>
      <c r="P97" s="0" t="str">
        <f aca="true">IF(A97="","",IF(OR(K97="Approved",K97="Denied",K97="Withdrawn"),"",TODAY()-O97))</f>
        <v/>
      </c>
    </row>
    <row r="98" customFormat="false" ht="15" hidden="false" customHeight="false" outlineLevel="0" collapsed="false">
      <c r="D98" s="0" t="str">
        <f aca="false">IF(A98="","",IF(AND(B98&lt;&gt;"",C98&lt;&gt;""),C98-B98,""))</f>
        <v/>
      </c>
      <c r="F98" s="0" t="str">
        <f aca="false">IF(A98="","",IF(AND(D98&lt;&gt;"",E98&lt;&gt;""),IF(D98&lt;=E98,"Yes","NO - LATE"),""))</f>
        <v/>
      </c>
      <c r="O98" s="13" t="str">
        <f aca="false">IF(A98="","",MAX(B98+0,C98+0))</f>
        <v/>
      </c>
      <c r="P98" s="0" t="str">
        <f aca="true">IF(A98="","",IF(OR(K98="Approved",K98="Denied",K98="Withdrawn"),"",TODAY()-O98))</f>
        <v/>
      </c>
    </row>
    <row r="99" customFormat="false" ht="15" hidden="false" customHeight="false" outlineLevel="0" collapsed="false">
      <c r="D99" s="0" t="str">
        <f aca="false">IF(A99="","",IF(AND(B99&lt;&gt;"",C99&lt;&gt;""),C99-B99,""))</f>
        <v/>
      </c>
      <c r="F99" s="0" t="str">
        <f aca="false">IF(A99="","",IF(AND(D99&lt;&gt;"",E99&lt;&gt;""),IF(D99&lt;=E99,"Yes","NO - LATE"),""))</f>
        <v/>
      </c>
      <c r="O99" s="13" t="str">
        <f aca="false">IF(A99="","",MAX(B99+0,C99+0))</f>
        <v/>
      </c>
      <c r="P99" s="0" t="str">
        <f aca="true">IF(A99="","",IF(OR(K99="Approved",K99="Denied",K99="Withdrawn"),"",TODAY()-O99))</f>
        <v/>
      </c>
    </row>
    <row r="100" customFormat="false" ht="15" hidden="false" customHeight="false" outlineLevel="0" collapsed="false">
      <c r="D100" s="0" t="str">
        <f aca="false">IF(A100="","",IF(AND(B100&lt;&gt;"",C100&lt;&gt;""),C100-B100,""))</f>
        <v/>
      </c>
      <c r="F100" s="0" t="str">
        <f aca="false">IF(A100="","",IF(AND(D100&lt;&gt;"",E100&lt;&gt;""),IF(D100&lt;=E100,"Yes","NO - LATE"),""))</f>
        <v/>
      </c>
      <c r="O100" s="13" t="str">
        <f aca="false">IF(A100="","",MAX(B100+0,C100+0))</f>
        <v/>
      </c>
      <c r="P100" s="0" t="str">
        <f aca="true">IF(A100="","",IF(OR(K100="Approved",K100="Denied",K100="Withdrawn"),"",TODAY()-O100))</f>
        <v/>
      </c>
    </row>
    <row r="101" customFormat="false" ht="15" hidden="false" customHeight="false" outlineLevel="0" collapsed="false">
      <c r="D101" s="0" t="str">
        <f aca="false">IF(A101="","",IF(AND(B101&lt;&gt;"",C101&lt;&gt;""),C101-B101,""))</f>
        <v/>
      </c>
      <c r="F101" s="0" t="str">
        <f aca="false">IF(A101="","",IF(AND(D101&lt;&gt;"",E101&lt;&gt;""),IF(D101&lt;=E101,"Yes","NO - LATE"),""))</f>
        <v/>
      </c>
      <c r="O101" s="13" t="str">
        <f aca="false">IF(A101="","",MAX(B101+0,C101+0))</f>
        <v/>
      </c>
      <c r="P101" s="0" t="str">
        <f aca="true">IF(A101="","",IF(OR(K101="Approved",K101="Denied",K101="Withdrawn"),"",TODAY()-O101))</f>
        <v/>
      </c>
    </row>
    <row r="102" customFormat="false" ht="15" hidden="false" customHeight="false" outlineLevel="0" collapsed="false">
      <c r="D102" s="0" t="str">
        <f aca="false">IF(A102="","",IF(AND(B102&lt;&gt;"",C102&lt;&gt;""),C102-B102,""))</f>
        <v/>
      </c>
      <c r="F102" s="0" t="str">
        <f aca="false">IF(A102="","",IF(AND(D102&lt;&gt;"",E102&lt;&gt;""),IF(D102&lt;=E102,"Yes","NO - LATE"),""))</f>
        <v/>
      </c>
      <c r="O102" s="13" t="str">
        <f aca="false">IF(A102="","",MAX(B102+0,C102+0))</f>
        <v/>
      </c>
      <c r="P102" s="0" t="str">
        <f aca="true">IF(A102="","",IF(OR(K102="Approved",K102="Denied",K102="Withdrawn"),"",TODAY()-O102))</f>
        <v/>
      </c>
    </row>
    <row r="103" customFormat="false" ht="15" hidden="false" customHeight="false" outlineLevel="0" collapsed="false">
      <c r="D103" s="0" t="str">
        <f aca="false">IF(A103="","",IF(AND(B103&lt;&gt;"",C103&lt;&gt;""),C103-B103,""))</f>
        <v/>
      </c>
      <c r="F103" s="0" t="str">
        <f aca="false">IF(A103="","",IF(AND(D103&lt;&gt;"",E103&lt;&gt;""),IF(D103&lt;=E103,"Yes","NO - LATE"),""))</f>
        <v/>
      </c>
      <c r="O103" s="13" t="str">
        <f aca="false">IF(A103="","",MAX(B103+0,C103+0))</f>
        <v/>
      </c>
      <c r="P103" s="0" t="str">
        <f aca="true">IF(A103="","",IF(OR(K103="Approved",K103="Denied",K103="Withdrawn"),"",TODAY()-O103))</f>
        <v/>
      </c>
    </row>
    <row r="104" customFormat="false" ht="15" hidden="false" customHeight="false" outlineLevel="0" collapsed="false">
      <c r="D104" s="0" t="str">
        <f aca="false">IF(A104="","",IF(AND(B104&lt;&gt;"",C104&lt;&gt;""),C104-B104,""))</f>
        <v/>
      </c>
      <c r="F104" s="0" t="str">
        <f aca="false">IF(A104="","",IF(AND(D104&lt;&gt;"",E104&lt;&gt;""),IF(D104&lt;=E104,"Yes","NO - LATE"),""))</f>
        <v/>
      </c>
      <c r="O104" s="13" t="str">
        <f aca="false">IF(A104="","",MAX(B104+0,C104+0))</f>
        <v/>
      </c>
      <c r="P104" s="0" t="str">
        <f aca="true">IF(A104="","",IF(OR(K104="Approved",K104="Denied",K104="Withdrawn"),"",TODAY()-O104))</f>
        <v/>
      </c>
    </row>
    <row r="105" customFormat="false" ht="15" hidden="false" customHeight="false" outlineLevel="0" collapsed="false">
      <c r="D105" s="0" t="str">
        <f aca="false">IF(A105="","",IF(AND(B105&lt;&gt;"",C105&lt;&gt;""),C105-B105,""))</f>
        <v/>
      </c>
      <c r="F105" s="0" t="str">
        <f aca="false">IF(A105="","",IF(AND(D105&lt;&gt;"",E105&lt;&gt;""),IF(D105&lt;=E105,"Yes","NO - LATE"),""))</f>
        <v/>
      </c>
      <c r="O105" s="13" t="str">
        <f aca="false">IF(A105="","",MAX(B105+0,C105+0))</f>
        <v/>
      </c>
      <c r="P105" s="0" t="str">
        <f aca="true">IF(A105="","",IF(OR(K105="Approved",K105="Denied",K105="Withdrawn"),"",TODAY()-O105))</f>
        <v/>
      </c>
    </row>
    <row r="106" customFormat="false" ht="15" hidden="false" customHeight="false" outlineLevel="0" collapsed="false">
      <c r="D106" s="0" t="str">
        <f aca="false">IF(A106="","",IF(AND(B106&lt;&gt;"",C106&lt;&gt;""),C106-B106,""))</f>
        <v/>
      </c>
      <c r="F106" s="0" t="str">
        <f aca="false">IF(A106="","",IF(AND(D106&lt;&gt;"",E106&lt;&gt;""),IF(D106&lt;=E106,"Yes","NO - LATE"),""))</f>
        <v/>
      </c>
      <c r="O106" s="13" t="str">
        <f aca="false">IF(A106="","",MAX(B106+0,C106+0))</f>
        <v/>
      </c>
      <c r="P106" s="0" t="str">
        <f aca="true">IF(A106="","",IF(OR(K106="Approved",K106="Denied",K106="Withdrawn"),"",TODAY()-O106))</f>
        <v/>
      </c>
    </row>
    <row r="107" customFormat="false" ht="15" hidden="false" customHeight="false" outlineLevel="0" collapsed="false">
      <c r="D107" s="0" t="str">
        <f aca="false">IF(A107="","",IF(AND(B107&lt;&gt;"",C107&lt;&gt;""),C107-B107,""))</f>
        <v/>
      </c>
      <c r="F107" s="0" t="str">
        <f aca="false">IF(A107="","",IF(AND(D107&lt;&gt;"",E107&lt;&gt;""),IF(D107&lt;=E107,"Yes","NO - LATE"),""))</f>
        <v/>
      </c>
      <c r="O107" s="13" t="str">
        <f aca="false">IF(A107="","",MAX(B107+0,C107+0))</f>
        <v/>
      </c>
      <c r="P107" s="0" t="str">
        <f aca="true">IF(A107="","",IF(OR(K107="Approved",K107="Denied",K107="Withdrawn"),"",TODAY()-O107))</f>
        <v/>
      </c>
    </row>
    <row r="108" customFormat="false" ht="15" hidden="false" customHeight="false" outlineLevel="0" collapsed="false">
      <c r="D108" s="0" t="str">
        <f aca="false">IF(A108="","",IF(AND(B108&lt;&gt;"",C108&lt;&gt;""),C108-B108,""))</f>
        <v/>
      </c>
      <c r="F108" s="0" t="str">
        <f aca="false">IF(A108="","",IF(AND(D108&lt;&gt;"",E108&lt;&gt;""),IF(D108&lt;=E108,"Yes","NO - LATE"),""))</f>
        <v/>
      </c>
      <c r="O108" s="13" t="str">
        <f aca="false">IF(A108="","",MAX(B108+0,C108+0))</f>
        <v/>
      </c>
      <c r="P108" s="0" t="str">
        <f aca="true">IF(A108="","",IF(OR(K108="Approved",K108="Denied",K108="Withdrawn"),"",TODAY()-O108))</f>
        <v/>
      </c>
    </row>
    <row r="109" customFormat="false" ht="15" hidden="false" customHeight="false" outlineLevel="0" collapsed="false">
      <c r="D109" s="0" t="str">
        <f aca="false">IF(A109="","",IF(AND(B109&lt;&gt;"",C109&lt;&gt;""),C109-B109,""))</f>
        <v/>
      </c>
      <c r="F109" s="0" t="str">
        <f aca="false">IF(A109="","",IF(AND(D109&lt;&gt;"",E109&lt;&gt;""),IF(D109&lt;=E109,"Yes","NO - LATE"),""))</f>
        <v/>
      </c>
      <c r="O109" s="13" t="str">
        <f aca="false">IF(A109="","",MAX(B109+0,C109+0))</f>
        <v/>
      </c>
      <c r="P109" s="0" t="str">
        <f aca="true">IF(A109="","",IF(OR(K109="Approved",K109="Denied",K109="Withdrawn"),"",TODAY()-O109))</f>
        <v/>
      </c>
    </row>
    <row r="110" customFormat="false" ht="15" hidden="false" customHeight="false" outlineLevel="0" collapsed="false">
      <c r="D110" s="0" t="str">
        <f aca="false">IF(A110="","",IF(AND(B110&lt;&gt;"",C110&lt;&gt;""),C110-B110,""))</f>
        <v/>
      </c>
      <c r="F110" s="0" t="str">
        <f aca="false">IF(A110="","",IF(AND(D110&lt;&gt;"",E110&lt;&gt;""),IF(D110&lt;=E110,"Yes","NO - LATE"),""))</f>
        <v/>
      </c>
      <c r="O110" s="13" t="str">
        <f aca="false">IF(A110="","",MAX(B110+0,C110+0))</f>
        <v/>
      </c>
      <c r="P110" s="0" t="str">
        <f aca="true">IF(A110="","",IF(OR(K110="Approved",K110="Denied",K110="Withdrawn"),"",TODAY()-O110))</f>
        <v/>
      </c>
    </row>
    <row r="111" customFormat="false" ht="15" hidden="false" customHeight="false" outlineLevel="0" collapsed="false">
      <c r="D111" s="0" t="str">
        <f aca="false">IF(A111="","",IF(AND(B111&lt;&gt;"",C111&lt;&gt;""),C111-B111,""))</f>
        <v/>
      </c>
      <c r="F111" s="0" t="str">
        <f aca="false">IF(A111="","",IF(AND(D111&lt;&gt;"",E111&lt;&gt;""),IF(D111&lt;=E111,"Yes","NO - LATE"),""))</f>
        <v/>
      </c>
      <c r="O111" s="13" t="str">
        <f aca="false">IF(A111="","",MAX(B111+0,C111+0))</f>
        <v/>
      </c>
      <c r="P111" s="0" t="str">
        <f aca="true">IF(A111="","",IF(OR(K111="Approved",K111="Denied",K111="Withdrawn"),"",TODAY()-O111))</f>
        <v/>
      </c>
    </row>
    <row r="112" customFormat="false" ht="15" hidden="false" customHeight="false" outlineLevel="0" collapsed="false">
      <c r="D112" s="0" t="str">
        <f aca="false">IF(A112="","",IF(AND(B112&lt;&gt;"",C112&lt;&gt;""),C112-B112,""))</f>
        <v/>
      </c>
      <c r="F112" s="0" t="str">
        <f aca="false">IF(A112="","",IF(AND(D112&lt;&gt;"",E112&lt;&gt;""),IF(D112&lt;=E112,"Yes","NO - LATE"),""))</f>
        <v/>
      </c>
      <c r="O112" s="13" t="str">
        <f aca="false">IF(A112="","",MAX(B112+0,C112+0))</f>
        <v/>
      </c>
      <c r="P112" s="0" t="str">
        <f aca="true">IF(A112="","",IF(OR(K112="Approved",K112="Denied",K112="Withdrawn"),"",TODAY()-O112))</f>
        <v/>
      </c>
    </row>
    <row r="113" customFormat="false" ht="15" hidden="false" customHeight="false" outlineLevel="0" collapsed="false">
      <c r="D113" s="0" t="str">
        <f aca="false">IF(A113="","",IF(AND(B113&lt;&gt;"",C113&lt;&gt;""),C113-B113,""))</f>
        <v/>
      </c>
      <c r="F113" s="0" t="str">
        <f aca="false">IF(A113="","",IF(AND(D113&lt;&gt;"",E113&lt;&gt;""),IF(D113&lt;=E113,"Yes","NO - LATE"),""))</f>
        <v/>
      </c>
      <c r="O113" s="13" t="str">
        <f aca="false">IF(A113="","",MAX(B113+0,C113+0))</f>
        <v/>
      </c>
      <c r="P113" s="0" t="str">
        <f aca="true">IF(A113="","",IF(OR(K113="Approved",K113="Denied",K113="Withdrawn"),"",TODAY()-O113))</f>
        <v/>
      </c>
    </row>
    <row r="114" customFormat="false" ht="15" hidden="false" customHeight="false" outlineLevel="0" collapsed="false">
      <c r="D114" s="0" t="str">
        <f aca="false">IF(A114="","",IF(AND(B114&lt;&gt;"",C114&lt;&gt;""),C114-B114,""))</f>
        <v/>
      </c>
      <c r="F114" s="0" t="str">
        <f aca="false">IF(A114="","",IF(AND(D114&lt;&gt;"",E114&lt;&gt;""),IF(D114&lt;=E114,"Yes","NO - LATE"),""))</f>
        <v/>
      </c>
      <c r="O114" s="13" t="str">
        <f aca="false">IF(A114="","",MAX(B114+0,C114+0))</f>
        <v/>
      </c>
      <c r="P114" s="0" t="str">
        <f aca="true">IF(A114="","",IF(OR(K114="Approved",K114="Denied",K114="Withdrawn"),"",TODAY()-O114))</f>
        <v/>
      </c>
    </row>
    <row r="115" customFormat="false" ht="15" hidden="false" customHeight="false" outlineLevel="0" collapsed="false">
      <c r="D115" s="0" t="str">
        <f aca="false">IF(A115="","",IF(AND(B115&lt;&gt;"",C115&lt;&gt;""),C115-B115,""))</f>
        <v/>
      </c>
      <c r="F115" s="0" t="str">
        <f aca="false">IF(A115="","",IF(AND(D115&lt;&gt;"",E115&lt;&gt;""),IF(D115&lt;=E115,"Yes","NO - LATE"),""))</f>
        <v/>
      </c>
      <c r="O115" s="13" t="str">
        <f aca="false">IF(A115="","",MAX(B115+0,C115+0))</f>
        <v/>
      </c>
      <c r="P115" s="0" t="str">
        <f aca="true">IF(A115="","",IF(OR(K115="Approved",K115="Denied",K115="Withdrawn"),"",TODAY()-O115))</f>
        <v/>
      </c>
    </row>
    <row r="116" customFormat="false" ht="15" hidden="false" customHeight="false" outlineLevel="0" collapsed="false">
      <c r="D116" s="0" t="str">
        <f aca="false">IF(A116="","",IF(AND(B116&lt;&gt;"",C116&lt;&gt;""),C116-B116,""))</f>
        <v/>
      </c>
      <c r="F116" s="0" t="str">
        <f aca="false">IF(A116="","",IF(AND(D116&lt;&gt;"",E116&lt;&gt;""),IF(D116&lt;=E116,"Yes","NO - LATE"),""))</f>
        <v/>
      </c>
      <c r="O116" s="13" t="str">
        <f aca="false">IF(A116="","",MAX(B116+0,C116+0))</f>
        <v/>
      </c>
      <c r="P116" s="0" t="str">
        <f aca="true">IF(A116="","",IF(OR(K116="Approved",K116="Denied",K116="Withdrawn"),"",TODAY()-O116))</f>
        <v/>
      </c>
    </row>
    <row r="117" customFormat="false" ht="15" hidden="false" customHeight="false" outlineLevel="0" collapsed="false">
      <c r="D117" s="0" t="str">
        <f aca="false">IF(A117="","",IF(AND(B117&lt;&gt;"",C117&lt;&gt;""),C117-B117,""))</f>
        <v/>
      </c>
      <c r="F117" s="0" t="str">
        <f aca="false">IF(A117="","",IF(AND(D117&lt;&gt;"",E117&lt;&gt;""),IF(D117&lt;=E117,"Yes","NO - LATE"),""))</f>
        <v/>
      </c>
      <c r="O117" s="13" t="str">
        <f aca="false">IF(A117="","",MAX(B117+0,C117+0))</f>
        <v/>
      </c>
      <c r="P117" s="0" t="str">
        <f aca="true">IF(A117="","",IF(OR(K117="Approved",K117="Denied",K117="Withdrawn"),"",TODAY()-O117))</f>
        <v/>
      </c>
    </row>
    <row r="118" customFormat="false" ht="15" hidden="false" customHeight="false" outlineLevel="0" collapsed="false">
      <c r="D118" s="0" t="str">
        <f aca="false">IF(A118="","",IF(AND(B118&lt;&gt;"",C118&lt;&gt;""),C118-B118,""))</f>
        <v/>
      </c>
      <c r="F118" s="0" t="str">
        <f aca="false">IF(A118="","",IF(AND(D118&lt;&gt;"",E118&lt;&gt;""),IF(D118&lt;=E118,"Yes","NO - LATE"),""))</f>
        <v/>
      </c>
      <c r="O118" s="13" t="str">
        <f aca="false">IF(A118="","",MAX(B118+0,C118+0))</f>
        <v/>
      </c>
      <c r="P118" s="0" t="str">
        <f aca="true">IF(A118="","",IF(OR(K118="Approved",K118="Denied",K118="Withdrawn"),"",TODAY()-O118))</f>
        <v/>
      </c>
    </row>
    <row r="119" customFormat="false" ht="15" hidden="false" customHeight="false" outlineLevel="0" collapsed="false">
      <c r="D119" s="0" t="str">
        <f aca="false">IF(A119="","",IF(AND(B119&lt;&gt;"",C119&lt;&gt;""),C119-B119,""))</f>
        <v/>
      </c>
      <c r="F119" s="0" t="str">
        <f aca="false">IF(A119="","",IF(AND(D119&lt;&gt;"",E119&lt;&gt;""),IF(D119&lt;=E119,"Yes","NO - LATE"),""))</f>
        <v/>
      </c>
      <c r="O119" s="13" t="str">
        <f aca="false">IF(A119="","",MAX(B119+0,C119+0))</f>
        <v/>
      </c>
      <c r="P119" s="0" t="str">
        <f aca="true">IF(A119="","",IF(OR(K119="Approved",K119="Denied",K119="Withdrawn"),"",TODAY()-O119))</f>
        <v/>
      </c>
    </row>
    <row r="120" customFormat="false" ht="15" hidden="false" customHeight="false" outlineLevel="0" collapsed="false">
      <c r="D120" s="0" t="str">
        <f aca="false">IF(A120="","",IF(AND(B120&lt;&gt;"",C120&lt;&gt;""),C120-B120,""))</f>
        <v/>
      </c>
      <c r="F120" s="0" t="str">
        <f aca="false">IF(A120="","",IF(AND(D120&lt;&gt;"",E120&lt;&gt;""),IF(D120&lt;=E120,"Yes","NO - LATE"),""))</f>
        <v/>
      </c>
      <c r="O120" s="13" t="str">
        <f aca="false">IF(A120="","",MAX(B120+0,C120+0))</f>
        <v/>
      </c>
      <c r="P120" s="0" t="str">
        <f aca="true">IF(A120="","",IF(OR(K120="Approved",K120="Denied",K120="Withdrawn"),"",TODAY()-O120))</f>
        <v/>
      </c>
    </row>
    <row r="121" customFormat="false" ht="15" hidden="false" customHeight="false" outlineLevel="0" collapsed="false">
      <c r="D121" s="0" t="str">
        <f aca="false">IF(A121="","",IF(AND(B121&lt;&gt;"",C121&lt;&gt;""),C121-B121,""))</f>
        <v/>
      </c>
      <c r="F121" s="0" t="str">
        <f aca="false">IF(A121="","",IF(AND(D121&lt;&gt;"",E121&lt;&gt;""),IF(D121&lt;=E121,"Yes","NO - LATE"),""))</f>
        <v/>
      </c>
      <c r="O121" s="13" t="str">
        <f aca="false">IF(A121="","",MAX(B121+0,C121+0))</f>
        <v/>
      </c>
      <c r="P121" s="0" t="str">
        <f aca="true">IF(A121="","",IF(OR(K121="Approved",K121="Denied",K121="Withdrawn"),"",TODAY()-O121))</f>
        <v/>
      </c>
    </row>
    <row r="122" customFormat="false" ht="15" hidden="false" customHeight="false" outlineLevel="0" collapsed="false">
      <c r="D122" s="0" t="str">
        <f aca="false">IF(A122="","",IF(AND(B122&lt;&gt;"",C122&lt;&gt;""),C122-B122,""))</f>
        <v/>
      </c>
      <c r="F122" s="0" t="str">
        <f aca="false">IF(A122="","",IF(AND(D122&lt;&gt;"",E122&lt;&gt;""),IF(D122&lt;=E122,"Yes","NO - LATE"),""))</f>
        <v/>
      </c>
      <c r="O122" s="13" t="str">
        <f aca="false">IF(A122="","",MAX(B122+0,C122+0))</f>
        <v/>
      </c>
      <c r="P122" s="0" t="str">
        <f aca="true">IF(A122="","",IF(OR(K122="Approved",K122="Denied",K122="Withdrawn"),"",TODAY()-O122))</f>
        <v/>
      </c>
    </row>
    <row r="123" customFormat="false" ht="15" hidden="false" customHeight="false" outlineLevel="0" collapsed="false">
      <c r="D123" s="0" t="str">
        <f aca="false">IF(A123="","",IF(AND(B123&lt;&gt;"",C123&lt;&gt;""),C123-B123,""))</f>
        <v/>
      </c>
      <c r="F123" s="0" t="str">
        <f aca="false">IF(A123="","",IF(AND(D123&lt;&gt;"",E123&lt;&gt;""),IF(D123&lt;=E123,"Yes","NO - LATE"),""))</f>
        <v/>
      </c>
      <c r="O123" s="13" t="str">
        <f aca="false">IF(A123="","",MAX(B123+0,C123+0))</f>
        <v/>
      </c>
      <c r="P123" s="0" t="str">
        <f aca="true">IF(A123="","",IF(OR(K123="Approved",K123="Denied",K123="Withdrawn"),"",TODAY()-O123))</f>
        <v/>
      </c>
    </row>
    <row r="124" customFormat="false" ht="15" hidden="false" customHeight="false" outlineLevel="0" collapsed="false">
      <c r="D124" s="0" t="str">
        <f aca="false">IF(A124="","",IF(AND(B124&lt;&gt;"",C124&lt;&gt;""),C124-B124,""))</f>
        <v/>
      </c>
      <c r="F124" s="0" t="str">
        <f aca="false">IF(A124="","",IF(AND(D124&lt;&gt;"",E124&lt;&gt;""),IF(D124&lt;=E124,"Yes","NO - LATE"),""))</f>
        <v/>
      </c>
      <c r="O124" s="13" t="str">
        <f aca="false">IF(A124="","",MAX(B124+0,C124+0))</f>
        <v/>
      </c>
      <c r="P124" s="0" t="str">
        <f aca="true">IF(A124="","",IF(OR(K124="Approved",K124="Denied",K124="Withdrawn"),"",TODAY()-O124))</f>
        <v/>
      </c>
    </row>
    <row r="125" customFormat="false" ht="15" hidden="false" customHeight="false" outlineLevel="0" collapsed="false">
      <c r="D125" s="0" t="str">
        <f aca="false">IF(A125="","",IF(AND(B125&lt;&gt;"",C125&lt;&gt;""),C125-B125,""))</f>
        <v/>
      </c>
      <c r="F125" s="0" t="str">
        <f aca="false">IF(A125="","",IF(AND(D125&lt;&gt;"",E125&lt;&gt;""),IF(D125&lt;=E125,"Yes","NO - LATE"),""))</f>
        <v/>
      </c>
      <c r="O125" s="13" t="str">
        <f aca="false">IF(A125="","",MAX(B125+0,C125+0))</f>
        <v/>
      </c>
      <c r="P125" s="0" t="str">
        <f aca="true">IF(A125="","",IF(OR(K125="Approved",K125="Denied",K125="Withdrawn"),"",TODAY()-O125))</f>
        <v/>
      </c>
    </row>
    <row r="126" customFormat="false" ht="15" hidden="false" customHeight="false" outlineLevel="0" collapsed="false">
      <c r="D126" s="0" t="str">
        <f aca="false">IF(A126="","",IF(AND(B126&lt;&gt;"",C126&lt;&gt;""),C126-B126,""))</f>
        <v/>
      </c>
      <c r="F126" s="0" t="str">
        <f aca="false">IF(A126="","",IF(AND(D126&lt;&gt;"",E126&lt;&gt;""),IF(D126&lt;=E126,"Yes","NO - LATE"),""))</f>
        <v/>
      </c>
      <c r="O126" s="13" t="str">
        <f aca="false">IF(A126="","",MAX(B126+0,C126+0))</f>
        <v/>
      </c>
      <c r="P126" s="0" t="str">
        <f aca="true">IF(A126="","",IF(OR(K126="Approved",K126="Denied",K126="Withdrawn"),"",TODAY()-O126))</f>
        <v/>
      </c>
    </row>
    <row r="127" customFormat="false" ht="15" hidden="false" customHeight="false" outlineLevel="0" collapsed="false">
      <c r="D127" s="0" t="str">
        <f aca="false">IF(A127="","",IF(AND(B127&lt;&gt;"",C127&lt;&gt;""),C127-B127,""))</f>
        <v/>
      </c>
      <c r="F127" s="0" t="str">
        <f aca="false">IF(A127="","",IF(AND(D127&lt;&gt;"",E127&lt;&gt;""),IF(D127&lt;=E127,"Yes","NO - LATE"),""))</f>
        <v/>
      </c>
      <c r="O127" s="13" t="str">
        <f aca="false">IF(A127="","",MAX(B127+0,C127+0))</f>
        <v/>
      </c>
      <c r="P127" s="0" t="str">
        <f aca="true">IF(A127="","",IF(OR(K127="Approved",K127="Denied",K127="Withdrawn"),"",TODAY()-O127))</f>
        <v/>
      </c>
    </row>
    <row r="128" customFormat="false" ht="15" hidden="false" customHeight="false" outlineLevel="0" collapsed="false">
      <c r="D128" s="0" t="str">
        <f aca="false">IF(A128="","",IF(AND(B128&lt;&gt;"",C128&lt;&gt;""),C128-B128,""))</f>
        <v/>
      </c>
      <c r="F128" s="0" t="str">
        <f aca="false">IF(A128="","",IF(AND(D128&lt;&gt;"",E128&lt;&gt;""),IF(D128&lt;=E128,"Yes","NO - LATE"),""))</f>
        <v/>
      </c>
      <c r="O128" s="13" t="str">
        <f aca="false">IF(A128="","",MAX(B128+0,C128+0))</f>
        <v/>
      </c>
      <c r="P128" s="0" t="str">
        <f aca="true">IF(A128="","",IF(OR(K128="Approved",K128="Denied",K128="Withdrawn"),"",TODAY()-O128))</f>
        <v/>
      </c>
    </row>
    <row r="129" customFormat="false" ht="15" hidden="false" customHeight="false" outlineLevel="0" collapsed="false">
      <c r="D129" s="0" t="str">
        <f aca="false">IF(A129="","",IF(AND(B129&lt;&gt;"",C129&lt;&gt;""),C129-B129,""))</f>
        <v/>
      </c>
      <c r="F129" s="0" t="str">
        <f aca="false">IF(A129="","",IF(AND(D129&lt;&gt;"",E129&lt;&gt;""),IF(D129&lt;=E129,"Yes","NO - LATE"),""))</f>
        <v/>
      </c>
      <c r="O129" s="13" t="str">
        <f aca="false">IF(A129="","",MAX(B129+0,C129+0))</f>
        <v/>
      </c>
      <c r="P129" s="0" t="str">
        <f aca="true">IF(A129="","",IF(OR(K129="Approved",K129="Denied",K129="Withdrawn"),"",TODAY()-O129))</f>
        <v/>
      </c>
    </row>
    <row r="130" customFormat="false" ht="15" hidden="false" customHeight="false" outlineLevel="0" collapsed="false">
      <c r="D130" s="0" t="str">
        <f aca="false">IF(A130="","",IF(AND(B130&lt;&gt;"",C130&lt;&gt;""),C130-B130,""))</f>
        <v/>
      </c>
      <c r="F130" s="0" t="str">
        <f aca="false">IF(A130="","",IF(AND(D130&lt;&gt;"",E130&lt;&gt;""),IF(D130&lt;=E130,"Yes","NO - LATE"),""))</f>
        <v/>
      </c>
      <c r="O130" s="13" t="str">
        <f aca="false">IF(A130="","",MAX(B130+0,C130+0))</f>
        <v/>
      </c>
      <c r="P130" s="0" t="str">
        <f aca="true">IF(A130="","",IF(OR(K130="Approved",K130="Denied",K130="Withdrawn"),"",TODAY()-O130))</f>
        <v/>
      </c>
    </row>
    <row r="131" customFormat="false" ht="15" hidden="false" customHeight="false" outlineLevel="0" collapsed="false">
      <c r="D131" s="0" t="str">
        <f aca="false">IF(A131="","",IF(AND(B131&lt;&gt;"",C131&lt;&gt;""),C131-B131,""))</f>
        <v/>
      </c>
      <c r="F131" s="0" t="str">
        <f aca="false">IF(A131="","",IF(AND(D131&lt;&gt;"",E131&lt;&gt;""),IF(D131&lt;=E131,"Yes","NO - LATE"),""))</f>
        <v/>
      </c>
      <c r="O131" s="13" t="str">
        <f aca="false">IF(A131="","",MAX(B131+0,C131+0))</f>
        <v/>
      </c>
      <c r="P131" s="0" t="str">
        <f aca="true">IF(A131="","",IF(OR(K131="Approved",K131="Denied",K131="Withdrawn"),"",TODAY()-O131))</f>
        <v/>
      </c>
    </row>
    <row r="132" customFormat="false" ht="15" hidden="false" customHeight="false" outlineLevel="0" collapsed="false">
      <c r="D132" s="0" t="str">
        <f aca="false">IF(A132="","",IF(AND(B132&lt;&gt;"",C132&lt;&gt;""),C132-B132,""))</f>
        <v/>
      </c>
      <c r="F132" s="0" t="str">
        <f aca="false">IF(A132="","",IF(AND(D132&lt;&gt;"",E132&lt;&gt;""),IF(D132&lt;=E132,"Yes","NO - LATE"),""))</f>
        <v/>
      </c>
      <c r="O132" s="13" t="str">
        <f aca="false">IF(A132="","",MAX(B132+0,C132+0))</f>
        <v/>
      </c>
      <c r="P132" s="0" t="str">
        <f aca="true">IF(A132="","",IF(OR(K132="Approved",K132="Denied",K132="Withdrawn"),"",TODAY()-O132))</f>
        <v/>
      </c>
    </row>
    <row r="133" customFormat="false" ht="15" hidden="false" customHeight="false" outlineLevel="0" collapsed="false">
      <c r="D133" s="0" t="str">
        <f aca="false">IF(A133="","",IF(AND(B133&lt;&gt;"",C133&lt;&gt;""),C133-B133,""))</f>
        <v/>
      </c>
      <c r="F133" s="0" t="str">
        <f aca="false">IF(A133="","",IF(AND(D133&lt;&gt;"",E133&lt;&gt;""),IF(D133&lt;=E133,"Yes","NO - LATE"),""))</f>
        <v/>
      </c>
      <c r="O133" s="13" t="str">
        <f aca="false">IF(A133="","",MAX(B133+0,C133+0))</f>
        <v/>
      </c>
      <c r="P133" s="0" t="str">
        <f aca="true">IF(A133="","",IF(OR(K133="Approved",K133="Denied",K133="Withdrawn"),"",TODAY()-O133))</f>
        <v/>
      </c>
    </row>
    <row r="134" customFormat="false" ht="15" hidden="false" customHeight="false" outlineLevel="0" collapsed="false">
      <c r="D134" s="0" t="str">
        <f aca="false">IF(A134="","",IF(AND(B134&lt;&gt;"",C134&lt;&gt;""),C134-B134,""))</f>
        <v/>
      </c>
      <c r="F134" s="0" t="str">
        <f aca="false">IF(A134="","",IF(AND(D134&lt;&gt;"",E134&lt;&gt;""),IF(D134&lt;=E134,"Yes","NO - LATE"),""))</f>
        <v/>
      </c>
      <c r="O134" s="13" t="str">
        <f aca="false">IF(A134="","",MAX(B134+0,C134+0))</f>
        <v/>
      </c>
      <c r="P134" s="0" t="str">
        <f aca="true">IF(A134="","",IF(OR(K134="Approved",K134="Denied",K134="Withdrawn"),"",TODAY()-O134))</f>
        <v/>
      </c>
    </row>
    <row r="135" customFormat="false" ht="15" hidden="false" customHeight="false" outlineLevel="0" collapsed="false">
      <c r="D135" s="0" t="str">
        <f aca="false">IF(A135="","",IF(AND(B135&lt;&gt;"",C135&lt;&gt;""),C135-B135,""))</f>
        <v/>
      </c>
      <c r="F135" s="0" t="str">
        <f aca="false">IF(A135="","",IF(AND(D135&lt;&gt;"",E135&lt;&gt;""),IF(D135&lt;=E135,"Yes","NO - LATE"),""))</f>
        <v/>
      </c>
      <c r="O135" s="13" t="str">
        <f aca="false">IF(A135="","",MAX(B135+0,C135+0))</f>
        <v/>
      </c>
      <c r="P135" s="0" t="str">
        <f aca="true">IF(A135="","",IF(OR(K135="Approved",K135="Denied",K135="Withdrawn"),"",TODAY()-O135))</f>
        <v/>
      </c>
    </row>
    <row r="136" customFormat="false" ht="15" hidden="false" customHeight="false" outlineLevel="0" collapsed="false">
      <c r="D136" s="0" t="str">
        <f aca="false">IF(A136="","",IF(AND(B136&lt;&gt;"",C136&lt;&gt;""),C136-B136,""))</f>
        <v/>
      </c>
      <c r="F136" s="0" t="str">
        <f aca="false">IF(A136="","",IF(AND(D136&lt;&gt;"",E136&lt;&gt;""),IF(D136&lt;=E136,"Yes","NO - LATE"),""))</f>
        <v/>
      </c>
      <c r="O136" s="13" t="str">
        <f aca="false">IF(A136="","",MAX(B136+0,C136+0))</f>
        <v/>
      </c>
      <c r="P136" s="0" t="str">
        <f aca="true">IF(A136="","",IF(OR(K136="Approved",K136="Denied",K136="Withdrawn"),"",TODAY()-O136))</f>
        <v/>
      </c>
    </row>
    <row r="137" customFormat="false" ht="15" hidden="false" customHeight="false" outlineLevel="0" collapsed="false">
      <c r="D137" s="0" t="str">
        <f aca="false">IF(A137="","",IF(AND(B137&lt;&gt;"",C137&lt;&gt;""),C137-B137,""))</f>
        <v/>
      </c>
      <c r="F137" s="0" t="str">
        <f aca="false">IF(A137="","",IF(AND(D137&lt;&gt;"",E137&lt;&gt;""),IF(D137&lt;=E137,"Yes","NO - LATE"),""))</f>
        <v/>
      </c>
      <c r="O137" s="13" t="str">
        <f aca="false">IF(A137="","",MAX(B137+0,C137+0))</f>
        <v/>
      </c>
      <c r="P137" s="0" t="str">
        <f aca="true">IF(A137="","",IF(OR(K137="Approved",K137="Denied",K137="Withdrawn"),"",TODAY()-O137))</f>
        <v/>
      </c>
    </row>
    <row r="138" customFormat="false" ht="15" hidden="false" customHeight="false" outlineLevel="0" collapsed="false">
      <c r="D138" s="0" t="str">
        <f aca="false">IF(A138="","",IF(AND(B138&lt;&gt;"",C138&lt;&gt;""),C138-B138,""))</f>
        <v/>
      </c>
      <c r="F138" s="0" t="str">
        <f aca="false">IF(A138="","",IF(AND(D138&lt;&gt;"",E138&lt;&gt;""),IF(D138&lt;=E138,"Yes","NO - LATE"),""))</f>
        <v/>
      </c>
      <c r="O138" s="13" t="str">
        <f aca="false">IF(A138="","",MAX(B138+0,C138+0))</f>
        <v/>
      </c>
      <c r="P138" s="0" t="str">
        <f aca="true">IF(A138="","",IF(OR(K138="Approved",K138="Denied",K138="Withdrawn"),"",TODAY()-O138))</f>
        <v/>
      </c>
    </row>
    <row r="139" customFormat="false" ht="15" hidden="false" customHeight="false" outlineLevel="0" collapsed="false">
      <c r="D139" s="0" t="str">
        <f aca="false">IF(A139="","",IF(AND(B139&lt;&gt;"",C139&lt;&gt;""),C139-B139,""))</f>
        <v/>
      </c>
      <c r="F139" s="0" t="str">
        <f aca="false">IF(A139="","",IF(AND(D139&lt;&gt;"",E139&lt;&gt;""),IF(D139&lt;=E139,"Yes","NO - LATE"),""))</f>
        <v/>
      </c>
      <c r="O139" s="13" t="str">
        <f aca="false">IF(A139="","",MAX(B139+0,C139+0))</f>
        <v/>
      </c>
      <c r="P139" s="0" t="str">
        <f aca="true">IF(A139="","",IF(OR(K139="Approved",K139="Denied",K139="Withdrawn"),"",TODAY()-O139))</f>
        <v/>
      </c>
    </row>
    <row r="140" customFormat="false" ht="15" hidden="false" customHeight="false" outlineLevel="0" collapsed="false">
      <c r="D140" s="0" t="str">
        <f aca="false">IF(A140="","",IF(AND(B140&lt;&gt;"",C140&lt;&gt;""),C140-B140,""))</f>
        <v/>
      </c>
      <c r="F140" s="0" t="str">
        <f aca="false">IF(A140="","",IF(AND(D140&lt;&gt;"",E140&lt;&gt;""),IF(D140&lt;=E140,"Yes","NO - LATE"),""))</f>
        <v/>
      </c>
      <c r="O140" s="13" t="str">
        <f aca="false">IF(A140="","",MAX(B140+0,C140+0))</f>
        <v/>
      </c>
      <c r="P140" s="0" t="str">
        <f aca="true">IF(A140="","",IF(OR(K140="Approved",K140="Denied",K140="Withdrawn"),"",TODAY()-O140))</f>
        <v/>
      </c>
    </row>
    <row r="141" customFormat="false" ht="15" hidden="false" customHeight="false" outlineLevel="0" collapsed="false">
      <c r="D141" s="0" t="str">
        <f aca="false">IF(A141="","",IF(AND(B141&lt;&gt;"",C141&lt;&gt;""),C141-B141,""))</f>
        <v/>
      </c>
      <c r="F141" s="0" t="str">
        <f aca="false">IF(A141="","",IF(AND(D141&lt;&gt;"",E141&lt;&gt;""),IF(D141&lt;=E141,"Yes","NO - LATE"),""))</f>
        <v/>
      </c>
      <c r="O141" s="13" t="str">
        <f aca="false">IF(A141="","",MAX(B141+0,C141+0))</f>
        <v/>
      </c>
      <c r="P141" s="0" t="str">
        <f aca="true">IF(A141="","",IF(OR(K141="Approved",K141="Denied",K141="Withdrawn"),"",TODAY()-O141))</f>
        <v/>
      </c>
    </row>
    <row r="142" customFormat="false" ht="15" hidden="false" customHeight="false" outlineLevel="0" collapsed="false">
      <c r="D142" s="0" t="str">
        <f aca="false">IF(A142="","",IF(AND(B142&lt;&gt;"",C142&lt;&gt;""),C142-B142,""))</f>
        <v/>
      </c>
      <c r="F142" s="0" t="str">
        <f aca="false">IF(A142="","",IF(AND(D142&lt;&gt;"",E142&lt;&gt;""),IF(D142&lt;=E142,"Yes","NO - LATE"),""))</f>
        <v/>
      </c>
      <c r="O142" s="13" t="str">
        <f aca="false">IF(A142="","",MAX(B142+0,C142+0))</f>
        <v/>
      </c>
      <c r="P142" s="0" t="str">
        <f aca="true">IF(A142="","",IF(OR(K142="Approved",K142="Denied",K142="Withdrawn"),"",TODAY()-O142))</f>
        <v/>
      </c>
    </row>
    <row r="143" customFormat="false" ht="15" hidden="false" customHeight="false" outlineLevel="0" collapsed="false">
      <c r="D143" s="0" t="str">
        <f aca="false">IF(A143="","",IF(AND(B143&lt;&gt;"",C143&lt;&gt;""),C143-B143,""))</f>
        <v/>
      </c>
      <c r="F143" s="0" t="str">
        <f aca="false">IF(A143="","",IF(AND(D143&lt;&gt;"",E143&lt;&gt;""),IF(D143&lt;=E143,"Yes","NO - LATE"),""))</f>
        <v/>
      </c>
      <c r="O143" s="13" t="str">
        <f aca="false">IF(A143="","",MAX(B143+0,C143+0))</f>
        <v/>
      </c>
      <c r="P143" s="0" t="str">
        <f aca="true">IF(A143="","",IF(OR(K143="Approved",K143="Denied",K143="Withdrawn"),"",TODAY()-O143))</f>
        <v/>
      </c>
    </row>
    <row r="144" customFormat="false" ht="15" hidden="false" customHeight="false" outlineLevel="0" collapsed="false">
      <c r="D144" s="0" t="str">
        <f aca="false">IF(A144="","",IF(AND(B144&lt;&gt;"",C144&lt;&gt;""),C144-B144,""))</f>
        <v/>
      </c>
      <c r="F144" s="0" t="str">
        <f aca="false">IF(A144="","",IF(AND(D144&lt;&gt;"",E144&lt;&gt;""),IF(D144&lt;=E144,"Yes","NO - LATE"),""))</f>
        <v/>
      </c>
      <c r="O144" s="13" t="str">
        <f aca="false">IF(A144="","",MAX(B144+0,C144+0))</f>
        <v/>
      </c>
      <c r="P144" s="0" t="str">
        <f aca="true">IF(A144="","",IF(OR(K144="Approved",K144="Denied",K144="Withdrawn"),"",TODAY()-O144))</f>
        <v/>
      </c>
    </row>
    <row r="145" customFormat="false" ht="15" hidden="false" customHeight="false" outlineLevel="0" collapsed="false">
      <c r="D145" s="0" t="str">
        <f aca="false">IF(A145="","",IF(AND(B145&lt;&gt;"",C145&lt;&gt;""),C145-B145,""))</f>
        <v/>
      </c>
      <c r="F145" s="0" t="str">
        <f aca="false">IF(A145="","",IF(AND(D145&lt;&gt;"",E145&lt;&gt;""),IF(D145&lt;=E145,"Yes","NO - LATE"),""))</f>
        <v/>
      </c>
      <c r="O145" s="13" t="str">
        <f aca="false">IF(A145="","",MAX(B145+0,C145+0))</f>
        <v/>
      </c>
      <c r="P145" s="0" t="str">
        <f aca="true">IF(A145="","",IF(OR(K145="Approved",K145="Denied",K145="Withdrawn"),"",TODAY()-O145))</f>
        <v/>
      </c>
    </row>
    <row r="146" customFormat="false" ht="15" hidden="false" customHeight="false" outlineLevel="0" collapsed="false">
      <c r="D146" s="0" t="str">
        <f aca="false">IF(A146="","",IF(AND(B146&lt;&gt;"",C146&lt;&gt;""),C146-B146,""))</f>
        <v/>
      </c>
      <c r="F146" s="0" t="str">
        <f aca="false">IF(A146="","",IF(AND(D146&lt;&gt;"",E146&lt;&gt;""),IF(D146&lt;=E146,"Yes","NO - LATE"),""))</f>
        <v/>
      </c>
      <c r="O146" s="13" t="str">
        <f aca="false">IF(A146="","",MAX(B146+0,C146+0))</f>
        <v/>
      </c>
      <c r="P146" s="0" t="str">
        <f aca="true">IF(A146="","",IF(OR(K146="Approved",K146="Denied",K146="Withdrawn"),"",TODAY()-O146))</f>
        <v/>
      </c>
    </row>
    <row r="147" customFormat="false" ht="15" hidden="false" customHeight="false" outlineLevel="0" collapsed="false">
      <c r="D147" s="0" t="str">
        <f aca="false">IF(A147="","",IF(AND(B147&lt;&gt;"",C147&lt;&gt;""),C147-B147,""))</f>
        <v/>
      </c>
      <c r="F147" s="0" t="str">
        <f aca="false">IF(A147="","",IF(AND(D147&lt;&gt;"",E147&lt;&gt;""),IF(D147&lt;=E147,"Yes","NO - LATE"),""))</f>
        <v/>
      </c>
      <c r="O147" s="13" t="str">
        <f aca="false">IF(A147="","",MAX(B147+0,C147+0))</f>
        <v/>
      </c>
      <c r="P147" s="0" t="str">
        <f aca="true">IF(A147="","",IF(OR(K147="Approved",K147="Denied",K147="Withdrawn"),"",TODAY()-O147))</f>
        <v/>
      </c>
    </row>
    <row r="148" customFormat="false" ht="15" hidden="false" customHeight="false" outlineLevel="0" collapsed="false">
      <c r="D148" s="0" t="str">
        <f aca="false">IF(A148="","",IF(AND(B148&lt;&gt;"",C148&lt;&gt;""),C148-B148,""))</f>
        <v/>
      </c>
      <c r="F148" s="0" t="str">
        <f aca="false">IF(A148="","",IF(AND(D148&lt;&gt;"",E148&lt;&gt;""),IF(D148&lt;=E148,"Yes","NO - LATE"),""))</f>
        <v/>
      </c>
      <c r="O148" s="13" t="str">
        <f aca="false">IF(A148="","",MAX(B148+0,C148+0))</f>
        <v/>
      </c>
      <c r="P148" s="0" t="str">
        <f aca="true">IF(A148="","",IF(OR(K148="Approved",K148="Denied",K148="Withdrawn"),"",TODAY()-O148))</f>
        <v/>
      </c>
    </row>
    <row r="149" customFormat="false" ht="15" hidden="false" customHeight="false" outlineLevel="0" collapsed="false">
      <c r="D149" s="0" t="str">
        <f aca="false">IF(A149="","",IF(AND(B149&lt;&gt;"",C149&lt;&gt;""),C149-B149,""))</f>
        <v/>
      </c>
      <c r="F149" s="0" t="str">
        <f aca="false">IF(A149="","",IF(AND(D149&lt;&gt;"",E149&lt;&gt;""),IF(D149&lt;=E149,"Yes","NO - LATE"),""))</f>
        <v/>
      </c>
      <c r="O149" s="13" t="str">
        <f aca="false">IF(A149="","",MAX(B149+0,C149+0))</f>
        <v/>
      </c>
      <c r="P149" s="0" t="str">
        <f aca="true">IF(A149="","",IF(OR(K149="Approved",K149="Denied",K149="Withdrawn"),"",TODAY()-O149))</f>
        <v/>
      </c>
    </row>
    <row r="150" customFormat="false" ht="15" hidden="false" customHeight="false" outlineLevel="0" collapsed="false">
      <c r="D150" s="0" t="str">
        <f aca="false">IF(A150="","",IF(AND(B150&lt;&gt;"",C150&lt;&gt;""),C150-B150,""))</f>
        <v/>
      </c>
      <c r="F150" s="0" t="str">
        <f aca="false">IF(A150="","",IF(AND(D150&lt;&gt;"",E150&lt;&gt;""),IF(D150&lt;=E150,"Yes","NO - LATE"),""))</f>
        <v/>
      </c>
      <c r="O150" s="13" t="str">
        <f aca="false">IF(A150="","",MAX(B150+0,C150+0))</f>
        <v/>
      </c>
      <c r="P150" s="0" t="str">
        <f aca="true">IF(A150="","",IF(OR(K150="Approved",K150="Denied",K150="Withdrawn"),"",TODAY()-O150))</f>
        <v/>
      </c>
    </row>
    <row r="151" customFormat="false" ht="15" hidden="false" customHeight="false" outlineLevel="0" collapsed="false">
      <c r="D151" s="0" t="str">
        <f aca="false">IF(A151="","",IF(AND(B151&lt;&gt;"",C151&lt;&gt;""),C151-B151,""))</f>
        <v/>
      </c>
      <c r="F151" s="0" t="str">
        <f aca="false">IF(A151="","",IF(AND(D151&lt;&gt;"",E151&lt;&gt;""),IF(D151&lt;=E151,"Yes","NO - LATE"),""))</f>
        <v/>
      </c>
      <c r="O151" s="13" t="str">
        <f aca="false">IF(A151="","",MAX(B151+0,C151+0))</f>
        <v/>
      </c>
      <c r="P151" s="0" t="str">
        <f aca="true">IF(A151="","",IF(OR(K151="Approved",K151="Denied",K151="Withdrawn"),"",TODAY()-O151))</f>
        <v/>
      </c>
    </row>
    <row r="152" customFormat="false" ht="15" hidden="false" customHeight="false" outlineLevel="0" collapsed="false">
      <c r="D152" s="0" t="str">
        <f aca="false">IF(A152="","",IF(AND(B152&lt;&gt;"",C152&lt;&gt;""),C152-B152,""))</f>
        <v/>
      </c>
      <c r="F152" s="0" t="str">
        <f aca="false">IF(A152="","",IF(AND(D152&lt;&gt;"",E152&lt;&gt;""),IF(D152&lt;=E152,"Yes","NO - LATE"),""))</f>
        <v/>
      </c>
      <c r="O152" s="13" t="str">
        <f aca="false">IF(A152="","",MAX(B152+0,C152+0))</f>
        <v/>
      </c>
      <c r="P152" s="0" t="str">
        <f aca="true">IF(A152="","",IF(OR(K152="Approved",K152="Denied",K152="Withdrawn"),"",TODAY()-O152))</f>
        <v/>
      </c>
    </row>
    <row r="153" customFormat="false" ht="15" hidden="false" customHeight="false" outlineLevel="0" collapsed="false">
      <c r="D153" s="0" t="str">
        <f aca="false">IF(A153="","",IF(AND(B153&lt;&gt;"",C153&lt;&gt;""),C153-B153,""))</f>
        <v/>
      </c>
      <c r="F153" s="0" t="str">
        <f aca="false">IF(A153="","",IF(AND(D153&lt;&gt;"",E153&lt;&gt;""),IF(D153&lt;=E153,"Yes","NO - LATE"),""))</f>
        <v/>
      </c>
      <c r="O153" s="13" t="str">
        <f aca="false">IF(A153="","",MAX(B153+0,C153+0))</f>
        <v/>
      </c>
      <c r="P153" s="0" t="str">
        <f aca="true">IF(A153="","",IF(OR(K153="Approved",K153="Denied",K153="Withdrawn"),"",TODAY()-O153))</f>
        <v/>
      </c>
    </row>
    <row r="154" customFormat="false" ht="15" hidden="false" customHeight="false" outlineLevel="0" collapsed="false">
      <c r="D154" s="0" t="str">
        <f aca="false">IF(A154="","",IF(AND(B154&lt;&gt;"",C154&lt;&gt;""),C154-B154,""))</f>
        <v/>
      </c>
      <c r="F154" s="0" t="str">
        <f aca="false">IF(A154="","",IF(AND(D154&lt;&gt;"",E154&lt;&gt;""),IF(D154&lt;=E154,"Yes","NO - LATE"),""))</f>
        <v/>
      </c>
      <c r="O154" s="13" t="str">
        <f aca="false">IF(A154="","",MAX(B154+0,C154+0))</f>
        <v/>
      </c>
      <c r="P154" s="0" t="str">
        <f aca="true">IF(A154="","",IF(OR(K154="Approved",K154="Denied",K154="Withdrawn"),"",TODAY()-O154))</f>
        <v/>
      </c>
    </row>
    <row r="155" customFormat="false" ht="15" hidden="false" customHeight="false" outlineLevel="0" collapsed="false">
      <c r="D155" s="0" t="str">
        <f aca="false">IF(A155="","",IF(AND(B155&lt;&gt;"",C155&lt;&gt;""),C155-B155,""))</f>
        <v/>
      </c>
      <c r="F155" s="0" t="str">
        <f aca="false">IF(A155="","",IF(AND(D155&lt;&gt;"",E155&lt;&gt;""),IF(D155&lt;=E155,"Yes","NO - LATE"),""))</f>
        <v/>
      </c>
      <c r="O155" s="13" t="str">
        <f aca="false">IF(A155="","",MAX(B155+0,C155+0))</f>
        <v/>
      </c>
      <c r="P155" s="0" t="str">
        <f aca="true">IF(A155="","",IF(OR(K155="Approved",K155="Denied",K155="Withdrawn"),"",TODAY()-O155))</f>
        <v/>
      </c>
    </row>
    <row r="156" customFormat="false" ht="15" hidden="false" customHeight="false" outlineLevel="0" collapsed="false">
      <c r="D156" s="0" t="str">
        <f aca="false">IF(A156="","",IF(AND(B156&lt;&gt;"",C156&lt;&gt;""),C156-B156,""))</f>
        <v/>
      </c>
      <c r="F156" s="0" t="str">
        <f aca="false">IF(A156="","",IF(AND(D156&lt;&gt;"",E156&lt;&gt;""),IF(D156&lt;=E156,"Yes","NO - LATE"),""))</f>
        <v/>
      </c>
      <c r="O156" s="13" t="str">
        <f aca="false">IF(A156="","",MAX(B156+0,C156+0))</f>
        <v/>
      </c>
      <c r="P156" s="0" t="str">
        <f aca="true">IF(A156="","",IF(OR(K156="Approved",K156="Denied",K156="Withdrawn"),"",TODAY()-O156))</f>
        <v/>
      </c>
    </row>
    <row r="157" customFormat="false" ht="15" hidden="false" customHeight="false" outlineLevel="0" collapsed="false">
      <c r="D157" s="0" t="str">
        <f aca="false">IF(A157="","",IF(AND(B157&lt;&gt;"",C157&lt;&gt;""),C157-B157,""))</f>
        <v/>
      </c>
      <c r="F157" s="0" t="str">
        <f aca="false">IF(A157="","",IF(AND(D157&lt;&gt;"",E157&lt;&gt;""),IF(D157&lt;=E157,"Yes","NO - LATE"),""))</f>
        <v/>
      </c>
      <c r="O157" s="13" t="str">
        <f aca="false">IF(A157="","",MAX(B157+0,C157+0))</f>
        <v/>
      </c>
      <c r="P157" s="0" t="str">
        <f aca="true">IF(A157="","",IF(OR(K157="Approved",K157="Denied",K157="Withdrawn"),"",TODAY()-O157))</f>
        <v/>
      </c>
    </row>
    <row r="158" customFormat="false" ht="15" hidden="false" customHeight="false" outlineLevel="0" collapsed="false">
      <c r="D158" s="0" t="str">
        <f aca="false">IF(A158="","",IF(AND(B158&lt;&gt;"",C158&lt;&gt;""),C158-B158,""))</f>
        <v/>
      </c>
      <c r="F158" s="0" t="str">
        <f aca="false">IF(A158="","",IF(AND(D158&lt;&gt;"",E158&lt;&gt;""),IF(D158&lt;=E158,"Yes","NO - LATE"),""))</f>
        <v/>
      </c>
      <c r="O158" s="13" t="str">
        <f aca="false">IF(A158="","",MAX(B158+0,C158+0))</f>
        <v/>
      </c>
      <c r="P158" s="0" t="str">
        <f aca="true">IF(A158="","",IF(OR(K158="Approved",K158="Denied",K158="Withdrawn"),"",TODAY()-O158))</f>
        <v/>
      </c>
    </row>
    <row r="159" customFormat="false" ht="15" hidden="false" customHeight="false" outlineLevel="0" collapsed="false">
      <c r="D159" s="0" t="str">
        <f aca="false">IF(A159="","",IF(AND(B159&lt;&gt;"",C159&lt;&gt;""),C159-B159,""))</f>
        <v/>
      </c>
      <c r="F159" s="0" t="str">
        <f aca="false">IF(A159="","",IF(AND(D159&lt;&gt;"",E159&lt;&gt;""),IF(D159&lt;=E159,"Yes","NO - LATE"),""))</f>
        <v/>
      </c>
      <c r="O159" s="13" t="str">
        <f aca="false">IF(A159="","",MAX(B159+0,C159+0))</f>
        <v/>
      </c>
      <c r="P159" s="0" t="str">
        <f aca="true">IF(A159="","",IF(OR(K159="Approved",K159="Denied",K159="Withdrawn"),"",TODAY()-O159))</f>
        <v/>
      </c>
    </row>
    <row r="160" customFormat="false" ht="15" hidden="false" customHeight="false" outlineLevel="0" collapsed="false">
      <c r="D160" s="0" t="str">
        <f aca="false">IF(A160="","",IF(AND(B160&lt;&gt;"",C160&lt;&gt;""),C160-B160,""))</f>
        <v/>
      </c>
      <c r="F160" s="0" t="str">
        <f aca="false">IF(A160="","",IF(AND(D160&lt;&gt;"",E160&lt;&gt;""),IF(D160&lt;=E160,"Yes","NO - LATE"),""))</f>
        <v/>
      </c>
      <c r="O160" s="13" t="str">
        <f aca="false">IF(A160="","",MAX(B160+0,C160+0))</f>
        <v/>
      </c>
      <c r="P160" s="0" t="str">
        <f aca="true">IF(A160="","",IF(OR(K160="Approved",K160="Denied",K160="Withdrawn"),"",TODAY()-O160))</f>
        <v/>
      </c>
    </row>
    <row r="161" customFormat="false" ht="15" hidden="false" customHeight="false" outlineLevel="0" collapsed="false">
      <c r="D161" s="0" t="str">
        <f aca="false">IF(A161="","",IF(AND(B161&lt;&gt;"",C161&lt;&gt;""),C161-B161,""))</f>
        <v/>
      </c>
      <c r="F161" s="0" t="str">
        <f aca="false">IF(A161="","",IF(AND(D161&lt;&gt;"",E161&lt;&gt;""),IF(D161&lt;=E161,"Yes","NO - LATE"),""))</f>
        <v/>
      </c>
      <c r="O161" s="13" t="str">
        <f aca="false">IF(A161="","",MAX(B161+0,C161+0))</f>
        <v/>
      </c>
      <c r="P161" s="0" t="str">
        <f aca="true">IF(A161="","",IF(OR(K161="Approved",K161="Denied",K161="Withdrawn"),"",TODAY()-O161))</f>
        <v/>
      </c>
    </row>
    <row r="162" customFormat="false" ht="15" hidden="false" customHeight="false" outlineLevel="0" collapsed="false">
      <c r="D162" s="0" t="str">
        <f aca="false">IF(A162="","",IF(AND(B162&lt;&gt;"",C162&lt;&gt;""),C162-B162,""))</f>
        <v/>
      </c>
      <c r="F162" s="0" t="str">
        <f aca="false">IF(A162="","",IF(AND(D162&lt;&gt;"",E162&lt;&gt;""),IF(D162&lt;=E162,"Yes","NO - LATE"),""))</f>
        <v/>
      </c>
      <c r="O162" s="13" t="str">
        <f aca="false">IF(A162="","",MAX(B162+0,C162+0))</f>
        <v/>
      </c>
      <c r="P162" s="0" t="str">
        <f aca="true">IF(A162="","",IF(OR(K162="Approved",K162="Denied",K162="Withdrawn"),"",TODAY()-O162))</f>
        <v/>
      </c>
    </row>
    <row r="163" customFormat="false" ht="15" hidden="false" customHeight="false" outlineLevel="0" collapsed="false">
      <c r="D163" s="0" t="str">
        <f aca="false">IF(A163="","",IF(AND(B163&lt;&gt;"",C163&lt;&gt;""),C163-B163,""))</f>
        <v/>
      </c>
      <c r="F163" s="0" t="str">
        <f aca="false">IF(A163="","",IF(AND(D163&lt;&gt;"",E163&lt;&gt;""),IF(D163&lt;=E163,"Yes","NO - LATE"),""))</f>
        <v/>
      </c>
      <c r="O163" s="13" t="str">
        <f aca="false">IF(A163="","",MAX(B163+0,C163+0))</f>
        <v/>
      </c>
      <c r="P163" s="0" t="str">
        <f aca="true">IF(A163="","",IF(OR(K163="Approved",K163="Denied",K163="Withdrawn"),"",TODAY()-O163))</f>
        <v/>
      </c>
    </row>
    <row r="164" customFormat="false" ht="15" hidden="false" customHeight="false" outlineLevel="0" collapsed="false">
      <c r="D164" s="0" t="str">
        <f aca="false">IF(A164="","",IF(AND(B164&lt;&gt;"",C164&lt;&gt;""),C164-B164,""))</f>
        <v/>
      </c>
      <c r="F164" s="0" t="str">
        <f aca="false">IF(A164="","",IF(AND(D164&lt;&gt;"",E164&lt;&gt;""),IF(D164&lt;=E164,"Yes","NO - LATE"),""))</f>
        <v/>
      </c>
      <c r="O164" s="13" t="str">
        <f aca="false">IF(A164="","",MAX(B164+0,C164+0))</f>
        <v/>
      </c>
      <c r="P164" s="0" t="str">
        <f aca="true">IF(A164="","",IF(OR(K164="Approved",K164="Denied",K164="Withdrawn"),"",TODAY()-O164))</f>
        <v/>
      </c>
    </row>
    <row r="165" customFormat="false" ht="15" hidden="false" customHeight="false" outlineLevel="0" collapsed="false">
      <c r="D165" s="0" t="str">
        <f aca="false">IF(A165="","",IF(AND(B165&lt;&gt;"",C165&lt;&gt;""),C165-B165,""))</f>
        <v/>
      </c>
      <c r="F165" s="0" t="str">
        <f aca="false">IF(A165="","",IF(AND(D165&lt;&gt;"",E165&lt;&gt;""),IF(D165&lt;=E165,"Yes","NO - LATE"),""))</f>
        <v/>
      </c>
      <c r="O165" s="13" t="str">
        <f aca="false">IF(A165="","",MAX(B165+0,C165+0))</f>
        <v/>
      </c>
      <c r="P165" s="0" t="str">
        <f aca="true">IF(A165="","",IF(OR(K165="Approved",K165="Denied",K165="Withdrawn"),"",TODAY()-O165))</f>
        <v/>
      </c>
    </row>
    <row r="166" customFormat="false" ht="15" hidden="false" customHeight="false" outlineLevel="0" collapsed="false">
      <c r="D166" s="0" t="str">
        <f aca="false">IF(A166="","",IF(AND(B166&lt;&gt;"",C166&lt;&gt;""),C166-B166,""))</f>
        <v/>
      </c>
      <c r="F166" s="0" t="str">
        <f aca="false">IF(A166="","",IF(AND(D166&lt;&gt;"",E166&lt;&gt;""),IF(D166&lt;=E166,"Yes","NO - LATE"),""))</f>
        <v/>
      </c>
      <c r="O166" s="13" t="str">
        <f aca="false">IF(A166="","",MAX(B166+0,C166+0))</f>
        <v/>
      </c>
      <c r="P166" s="0" t="str">
        <f aca="true">IF(A166="","",IF(OR(K166="Approved",K166="Denied",K166="Withdrawn"),"",TODAY()-O166))</f>
        <v/>
      </c>
    </row>
    <row r="167" customFormat="false" ht="15" hidden="false" customHeight="false" outlineLevel="0" collapsed="false">
      <c r="D167" s="0" t="str">
        <f aca="false">IF(A167="","",IF(AND(B167&lt;&gt;"",C167&lt;&gt;""),C167-B167,""))</f>
        <v/>
      </c>
      <c r="F167" s="0" t="str">
        <f aca="false">IF(A167="","",IF(AND(D167&lt;&gt;"",E167&lt;&gt;""),IF(D167&lt;=E167,"Yes","NO - LATE"),""))</f>
        <v/>
      </c>
      <c r="O167" s="13" t="str">
        <f aca="false">IF(A167="","",MAX(B167+0,C167+0))</f>
        <v/>
      </c>
      <c r="P167" s="0" t="str">
        <f aca="true">IF(A167="","",IF(OR(K167="Approved",K167="Denied",K167="Withdrawn"),"",TODAY()-O167))</f>
        <v/>
      </c>
    </row>
    <row r="168" customFormat="false" ht="15" hidden="false" customHeight="false" outlineLevel="0" collapsed="false">
      <c r="D168" s="0" t="str">
        <f aca="false">IF(A168="","",IF(AND(B168&lt;&gt;"",C168&lt;&gt;""),C168-B168,""))</f>
        <v/>
      </c>
      <c r="F168" s="0" t="str">
        <f aca="false">IF(A168="","",IF(AND(D168&lt;&gt;"",E168&lt;&gt;""),IF(D168&lt;=E168,"Yes","NO - LATE"),""))</f>
        <v/>
      </c>
      <c r="O168" s="13" t="str">
        <f aca="false">IF(A168="","",MAX(B168+0,C168+0))</f>
        <v/>
      </c>
      <c r="P168" s="0" t="str">
        <f aca="true">IF(A168="","",IF(OR(K168="Approved",K168="Denied",K168="Withdrawn"),"",TODAY()-O168))</f>
        <v/>
      </c>
    </row>
    <row r="169" customFormat="false" ht="15" hidden="false" customHeight="false" outlineLevel="0" collapsed="false">
      <c r="D169" s="0" t="str">
        <f aca="false">IF(A169="","",IF(AND(B169&lt;&gt;"",C169&lt;&gt;""),C169-B169,""))</f>
        <v/>
      </c>
      <c r="F169" s="0" t="str">
        <f aca="false">IF(A169="","",IF(AND(D169&lt;&gt;"",E169&lt;&gt;""),IF(D169&lt;=E169,"Yes","NO - LATE"),""))</f>
        <v/>
      </c>
      <c r="O169" s="13" t="str">
        <f aca="false">IF(A169="","",MAX(B169+0,C169+0))</f>
        <v/>
      </c>
      <c r="P169" s="0" t="str">
        <f aca="true">IF(A169="","",IF(OR(K169="Approved",K169="Denied",K169="Withdrawn"),"",TODAY()-O169))</f>
        <v/>
      </c>
    </row>
    <row r="170" customFormat="false" ht="15" hidden="false" customHeight="false" outlineLevel="0" collapsed="false">
      <c r="D170" s="0" t="str">
        <f aca="false">IF(A170="","",IF(AND(B170&lt;&gt;"",C170&lt;&gt;""),C170-B170,""))</f>
        <v/>
      </c>
      <c r="F170" s="0" t="str">
        <f aca="false">IF(A170="","",IF(AND(D170&lt;&gt;"",E170&lt;&gt;""),IF(D170&lt;=E170,"Yes","NO - LATE"),""))</f>
        <v/>
      </c>
      <c r="O170" s="13" t="str">
        <f aca="false">IF(A170="","",MAX(B170+0,C170+0))</f>
        <v/>
      </c>
      <c r="P170" s="0" t="str">
        <f aca="true">IF(A170="","",IF(OR(K170="Approved",K170="Denied",K170="Withdrawn"),"",TODAY()-O170))</f>
        <v/>
      </c>
    </row>
    <row r="171" customFormat="false" ht="15" hidden="false" customHeight="false" outlineLevel="0" collapsed="false">
      <c r="D171" s="0" t="str">
        <f aca="false">IF(A171="","",IF(AND(B171&lt;&gt;"",C171&lt;&gt;""),C171-B171,""))</f>
        <v/>
      </c>
      <c r="F171" s="0" t="str">
        <f aca="false">IF(A171="","",IF(AND(D171&lt;&gt;"",E171&lt;&gt;""),IF(D171&lt;=E171,"Yes","NO - LATE"),""))</f>
        <v/>
      </c>
      <c r="O171" s="13" t="str">
        <f aca="false">IF(A171="","",MAX(B171+0,C171+0))</f>
        <v/>
      </c>
      <c r="P171" s="0" t="str">
        <f aca="true">IF(A171="","",IF(OR(K171="Approved",K171="Denied",K171="Withdrawn"),"",TODAY()-O171))</f>
        <v/>
      </c>
    </row>
    <row r="172" customFormat="false" ht="15" hidden="false" customHeight="false" outlineLevel="0" collapsed="false">
      <c r="D172" s="0" t="str">
        <f aca="false">IF(A172="","",IF(AND(B172&lt;&gt;"",C172&lt;&gt;""),C172-B172,""))</f>
        <v/>
      </c>
      <c r="F172" s="0" t="str">
        <f aca="false">IF(A172="","",IF(AND(D172&lt;&gt;"",E172&lt;&gt;""),IF(D172&lt;=E172,"Yes","NO - LATE"),""))</f>
        <v/>
      </c>
      <c r="O172" s="13" t="str">
        <f aca="false">IF(A172="","",MAX(B172+0,C172+0))</f>
        <v/>
      </c>
      <c r="P172" s="0" t="str">
        <f aca="true">IF(A172="","",IF(OR(K172="Approved",K172="Denied",K172="Withdrawn"),"",TODAY()-O172))</f>
        <v/>
      </c>
    </row>
    <row r="173" customFormat="false" ht="15" hidden="false" customHeight="false" outlineLevel="0" collapsed="false">
      <c r="D173" s="0" t="str">
        <f aca="false">IF(A173="","",IF(AND(B173&lt;&gt;"",C173&lt;&gt;""),C173-B173,""))</f>
        <v/>
      </c>
      <c r="F173" s="0" t="str">
        <f aca="false">IF(A173="","",IF(AND(D173&lt;&gt;"",E173&lt;&gt;""),IF(D173&lt;=E173,"Yes","NO - LATE"),""))</f>
        <v/>
      </c>
      <c r="O173" s="13" t="str">
        <f aca="false">IF(A173="","",MAX(B173+0,C173+0))</f>
        <v/>
      </c>
      <c r="P173" s="0" t="str">
        <f aca="true">IF(A173="","",IF(OR(K173="Approved",K173="Denied",K173="Withdrawn"),"",TODAY()-O173))</f>
        <v/>
      </c>
    </row>
    <row r="174" customFormat="false" ht="15" hidden="false" customHeight="false" outlineLevel="0" collapsed="false">
      <c r="D174" s="0" t="str">
        <f aca="false">IF(A174="","",IF(AND(B174&lt;&gt;"",C174&lt;&gt;""),C174-B174,""))</f>
        <v/>
      </c>
      <c r="F174" s="0" t="str">
        <f aca="false">IF(A174="","",IF(AND(D174&lt;&gt;"",E174&lt;&gt;""),IF(D174&lt;=E174,"Yes","NO - LATE"),""))</f>
        <v/>
      </c>
      <c r="O174" s="13" t="str">
        <f aca="false">IF(A174="","",MAX(B174+0,C174+0))</f>
        <v/>
      </c>
      <c r="P174" s="0" t="str">
        <f aca="true">IF(A174="","",IF(OR(K174="Approved",K174="Denied",K174="Withdrawn"),"",TODAY()-O174))</f>
        <v/>
      </c>
    </row>
    <row r="175" customFormat="false" ht="15" hidden="false" customHeight="false" outlineLevel="0" collapsed="false">
      <c r="D175" s="0" t="str">
        <f aca="false">IF(A175="","",IF(AND(B175&lt;&gt;"",C175&lt;&gt;""),C175-B175,""))</f>
        <v/>
      </c>
      <c r="F175" s="0" t="str">
        <f aca="false">IF(A175="","",IF(AND(D175&lt;&gt;"",E175&lt;&gt;""),IF(D175&lt;=E175,"Yes","NO - LATE"),""))</f>
        <v/>
      </c>
      <c r="O175" s="13" t="str">
        <f aca="false">IF(A175="","",MAX(B175+0,C175+0))</f>
        <v/>
      </c>
      <c r="P175" s="0" t="str">
        <f aca="true">IF(A175="","",IF(OR(K175="Approved",K175="Denied",K175="Withdrawn"),"",TODAY()-O175))</f>
        <v/>
      </c>
    </row>
    <row r="176" customFormat="false" ht="15" hidden="false" customHeight="false" outlineLevel="0" collapsed="false">
      <c r="D176" s="0" t="str">
        <f aca="false">IF(A176="","",IF(AND(B176&lt;&gt;"",C176&lt;&gt;""),C176-B176,""))</f>
        <v/>
      </c>
      <c r="F176" s="0" t="str">
        <f aca="false">IF(A176="","",IF(AND(D176&lt;&gt;"",E176&lt;&gt;""),IF(D176&lt;=E176,"Yes","NO - LATE"),""))</f>
        <v/>
      </c>
      <c r="O176" s="13" t="str">
        <f aca="false">IF(A176="","",MAX(B176+0,C176+0))</f>
        <v/>
      </c>
      <c r="P176" s="0" t="str">
        <f aca="true">IF(A176="","",IF(OR(K176="Approved",K176="Denied",K176="Withdrawn"),"",TODAY()-O176))</f>
        <v/>
      </c>
    </row>
    <row r="177" customFormat="false" ht="15" hidden="false" customHeight="false" outlineLevel="0" collapsed="false">
      <c r="D177" s="0" t="str">
        <f aca="false">IF(A177="","",IF(AND(B177&lt;&gt;"",C177&lt;&gt;""),C177-B177,""))</f>
        <v/>
      </c>
      <c r="F177" s="0" t="str">
        <f aca="false">IF(A177="","",IF(AND(D177&lt;&gt;"",E177&lt;&gt;""),IF(D177&lt;=E177,"Yes","NO - LATE"),""))</f>
        <v/>
      </c>
      <c r="O177" s="13" t="str">
        <f aca="false">IF(A177="","",MAX(B177+0,C177+0))</f>
        <v/>
      </c>
      <c r="P177" s="0" t="str">
        <f aca="true">IF(A177="","",IF(OR(K177="Approved",K177="Denied",K177="Withdrawn"),"",TODAY()-O177))</f>
        <v/>
      </c>
    </row>
    <row r="178" customFormat="false" ht="15" hidden="false" customHeight="false" outlineLevel="0" collapsed="false">
      <c r="D178" s="0" t="str">
        <f aca="false">IF(A178="","",IF(AND(B178&lt;&gt;"",C178&lt;&gt;""),C178-B178,""))</f>
        <v/>
      </c>
      <c r="F178" s="0" t="str">
        <f aca="false">IF(A178="","",IF(AND(D178&lt;&gt;"",E178&lt;&gt;""),IF(D178&lt;=E178,"Yes","NO - LATE"),""))</f>
        <v/>
      </c>
      <c r="O178" s="13" t="str">
        <f aca="false">IF(A178="","",MAX(B178+0,C178+0))</f>
        <v/>
      </c>
      <c r="P178" s="0" t="str">
        <f aca="true">IF(A178="","",IF(OR(K178="Approved",K178="Denied",K178="Withdrawn"),"",TODAY()-O178))</f>
        <v/>
      </c>
    </row>
    <row r="179" customFormat="false" ht="15" hidden="false" customHeight="false" outlineLevel="0" collapsed="false">
      <c r="D179" s="0" t="str">
        <f aca="false">IF(A179="","",IF(AND(B179&lt;&gt;"",C179&lt;&gt;""),C179-B179,""))</f>
        <v/>
      </c>
      <c r="F179" s="0" t="str">
        <f aca="false">IF(A179="","",IF(AND(D179&lt;&gt;"",E179&lt;&gt;""),IF(D179&lt;=E179,"Yes","NO - LATE"),""))</f>
        <v/>
      </c>
      <c r="O179" s="13" t="str">
        <f aca="false">IF(A179="","",MAX(B179+0,C179+0))</f>
        <v/>
      </c>
      <c r="P179" s="0" t="str">
        <f aca="true">IF(A179="","",IF(OR(K179="Approved",K179="Denied",K179="Withdrawn"),"",TODAY()-O179))</f>
        <v/>
      </c>
    </row>
    <row r="180" customFormat="false" ht="15" hidden="false" customHeight="false" outlineLevel="0" collapsed="false">
      <c r="D180" s="0" t="str">
        <f aca="false">IF(A180="","",IF(AND(B180&lt;&gt;"",C180&lt;&gt;""),C180-B180,""))</f>
        <v/>
      </c>
      <c r="F180" s="0" t="str">
        <f aca="false">IF(A180="","",IF(AND(D180&lt;&gt;"",E180&lt;&gt;""),IF(D180&lt;=E180,"Yes","NO - LATE"),""))</f>
        <v/>
      </c>
      <c r="O180" s="13" t="str">
        <f aca="false">IF(A180="","",MAX(B180+0,C180+0))</f>
        <v/>
      </c>
      <c r="P180" s="0" t="str">
        <f aca="true">IF(A180="","",IF(OR(K180="Approved",K180="Denied",K180="Withdrawn"),"",TODAY()-O180))</f>
        <v/>
      </c>
    </row>
    <row r="181" customFormat="false" ht="15" hidden="false" customHeight="false" outlineLevel="0" collapsed="false">
      <c r="D181" s="0" t="str">
        <f aca="false">IF(A181="","",IF(AND(B181&lt;&gt;"",C181&lt;&gt;""),C181-B181,""))</f>
        <v/>
      </c>
      <c r="F181" s="0" t="str">
        <f aca="false">IF(A181="","",IF(AND(D181&lt;&gt;"",E181&lt;&gt;""),IF(D181&lt;=E181,"Yes","NO - LATE"),""))</f>
        <v/>
      </c>
      <c r="O181" s="13" t="str">
        <f aca="false">IF(A181="","",MAX(B181+0,C181+0))</f>
        <v/>
      </c>
      <c r="P181" s="0" t="str">
        <f aca="true">IF(A181="","",IF(OR(K181="Approved",K181="Denied",K181="Withdrawn"),"",TODAY()-O181))</f>
        <v/>
      </c>
    </row>
    <row r="182" customFormat="false" ht="15" hidden="false" customHeight="false" outlineLevel="0" collapsed="false">
      <c r="D182" s="0" t="str">
        <f aca="false">IF(A182="","",IF(AND(B182&lt;&gt;"",C182&lt;&gt;""),C182-B182,""))</f>
        <v/>
      </c>
      <c r="F182" s="0" t="str">
        <f aca="false">IF(A182="","",IF(AND(D182&lt;&gt;"",E182&lt;&gt;""),IF(D182&lt;=E182,"Yes","NO - LATE"),""))</f>
        <v/>
      </c>
      <c r="O182" s="13" t="str">
        <f aca="false">IF(A182="","",MAX(B182+0,C182+0))</f>
        <v/>
      </c>
      <c r="P182" s="0" t="str">
        <f aca="true">IF(A182="","",IF(OR(K182="Approved",K182="Denied",K182="Withdrawn"),"",TODAY()-O182))</f>
        <v/>
      </c>
    </row>
    <row r="183" customFormat="false" ht="15" hidden="false" customHeight="false" outlineLevel="0" collapsed="false">
      <c r="D183" s="0" t="str">
        <f aca="false">IF(A183="","",IF(AND(B183&lt;&gt;"",C183&lt;&gt;""),C183-B183,""))</f>
        <v/>
      </c>
      <c r="F183" s="0" t="str">
        <f aca="false">IF(A183="","",IF(AND(D183&lt;&gt;"",E183&lt;&gt;""),IF(D183&lt;=E183,"Yes","NO - LATE"),""))</f>
        <v/>
      </c>
      <c r="O183" s="13" t="str">
        <f aca="false">IF(A183="","",MAX(B183+0,C183+0))</f>
        <v/>
      </c>
      <c r="P183" s="0" t="str">
        <f aca="true">IF(A183="","",IF(OR(K183="Approved",K183="Denied",K183="Withdrawn"),"",TODAY()-O183))</f>
        <v/>
      </c>
    </row>
    <row r="184" customFormat="false" ht="15" hidden="false" customHeight="false" outlineLevel="0" collapsed="false">
      <c r="D184" s="0" t="str">
        <f aca="false">IF(A184="","",IF(AND(B184&lt;&gt;"",C184&lt;&gt;""),C184-B184,""))</f>
        <v/>
      </c>
      <c r="F184" s="0" t="str">
        <f aca="false">IF(A184="","",IF(AND(D184&lt;&gt;"",E184&lt;&gt;""),IF(D184&lt;=E184,"Yes","NO - LATE"),""))</f>
        <v/>
      </c>
      <c r="O184" s="13" t="str">
        <f aca="false">IF(A184="","",MAX(B184+0,C184+0))</f>
        <v/>
      </c>
      <c r="P184" s="0" t="str">
        <f aca="true">IF(A184="","",IF(OR(K184="Approved",K184="Denied",K184="Withdrawn"),"",TODAY()-O184))</f>
        <v/>
      </c>
    </row>
    <row r="185" customFormat="false" ht="15" hidden="false" customHeight="false" outlineLevel="0" collapsed="false">
      <c r="D185" s="0" t="str">
        <f aca="false">IF(A185="","",IF(AND(B185&lt;&gt;"",C185&lt;&gt;""),C185-B185,""))</f>
        <v/>
      </c>
      <c r="F185" s="0" t="str">
        <f aca="false">IF(A185="","",IF(AND(D185&lt;&gt;"",E185&lt;&gt;""),IF(D185&lt;=E185,"Yes","NO - LATE"),""))</f>
        <v/>
      </c>
      <c r="O185" s="13" t="str">
        <f aca="false">IF(A185="","",MAX(B185+0,C185+0))</f>
        <v/>
      </c>
      <c r="P185" s="0" t="str">
        <f aca="true">IF(A185="","",IF(OR(K185="Approved",K185="Denied",K185="Withdrawn"),"",TODAY()-O185))</f>
        <v/>
      </c>
    </row>
    <row r="186" customFormat="false" ht="15" hidden="false" customHeight="false" outlineLevel="0" collapsed="false">
      <c r="D186" s="0" t="str">
        <f aca="false">IF(A186="","",IF(AND(B186&lt;&gt;"",C186&lt;&gt;""),C186-B186,""))</f>
        <v/>
      </c>
      <c r="F186" s="0" t="str">
        <f aca="false">IF(A186="","",IF(AND(D186&lt;&gt;"",E186&lt;&gt;""),IF(D186&lt;=E186,"Yes","NO - LATE"),""))</f>
        <v/>
      </c>
      <c r="O186" s="13" t="str">
        <f aca="false">IF(A186="","",MAX(B186+0,C186+0))</f>
        <v/>
      </c>
      <c r="P186" s="0" t="str">
        <f aca="true">IF(A186="","",IF(OR(K186="Approved",K186="Denied",K186="Withdrawn"),"",TODAY()-O186))</f>
        <v/>
      </c>
    </row>
    <row r="187" customFormat="false" ht="15" hidden="false" customHeight="false" outlineLevel="0" collapsed="false">
      <c r="D187" s="0" t="str">
        <f aca="false">IF(A187="","",IF(AND(B187&lt;&gt;"",C187&lt;&gt;""),C187-B187,""))</f>
        <v/>
      </c>
      <c r="F187" s="0" t="str">
        <f aca="false">IF(A187="","",IF(AND(D187&lt;&gt;"",E187&lt;&gt;""),IF(D187&lt;=E187,"Yes","NO - LATE"),""))</f>
        <v/>
      </c>
      <c r="O187" s="13" t="str">
        <f aca="false">IF(A187="","",MAX(B187+0,C187+0))</f>
        <v/>
      </c>
      <c r="P187" s="0" t="str">
        <f aca="true">IF(A187="","",IF(OR(K187="Approved",K187="Denied",K187="Withdrawn"),"",TODAY()-O187))</f>
        <v/>
      </c>
    </row>
    <row r="188" customFormat="false" ht="15" hidden="false" customHeight="false" outlineLevel="0" collapsed="false">
      <c r="D188" s="0" t="str">
        <f aca="false">IF(A188="","",IF(AND(B188&lt;&gt;"",C188&lt;&gt;""),C188-B188,""))</f>
        <v/>
      </c>
      <c r="F188" s="0" t="str">
        <f aca="false">IF(A188="","",IF(AND(D188&lt;&gt;"",E188&lt;&gt;""),IF(D188&lt;=E188,"Yes","NO - LATE"),""))</f>
        <v/>
      </c>
      <c r="O188" s="13" t="str">
        <f aca="false">IF(A188="","",MAX(B188+0,C188+0))</f>
        <v/>
      </c>
      <c r="P188" s="0" t="str">
        <f aca="true">IF(A188="","",IF(OR(K188="Approved",K188="Denied",K188="Withdrawn"),"",TODAY()-O188))</f>
        <v/>
      </c>
    </row>
    <row r="189" customFormat="false" ht="15" hidden="false" customHeight="false" outlineLevel="0" collapsed="false">
      <c r="D189" s="0" t="str">
        <f aca="false">IF(A189="","",IF(AND(B189&lt;&gt;"",C189&lt;&gt;""),C189-B189,""))</f>
        <v/>
      </c>
      <c r="F189" s="0" t="str">
        <f aca="false">IF(A189="","",IF(AND(D189&lt;&gt;"",E189&lt;&gt;""),IF(D189&lt;=E189,"Yes","NO - LATE"),""))</f>
        <v/>
      </c>
      <c r="O189" s="13" t="str">
        <f aca="false">IF(A189="","",MAX(B189+0,C189+0))</f>
        <v/>
      </c>
      <c r="P189" s="0" t="str">
        <f aca="true">IF(A189="","",IF(OR(K189="Approved",K189="Denied",K189="Withdrawn"),"",TODAY()-O189))</f>
        <v/>
      </c>
    </row>
    <row r="190" customFormat="false" ht="15" hidden="false" customHeight="false" outlineLevel="0" collapsed="false">
      <c r="D190" s="0" t="str">
        <f aca="false">IF(A190="","",IF(AND(B190&lt;&gt;"",C190&lt;&gt;""),C190-B190,""))</f>
        <v/>
      </c>
      <c r="F190" s="0" t="str">
        <f aca="false">IF(A190="","",IF(AND(D190&lt;&gt;"",E190&lt;&gt;""),IF(D190&lt;=E190,"Yes","NO - LATE"),""))</f>
        <v/>
      </c>
      <c r="O190" s="13" t="str">
        <f aca="false">IF(A190="","",MAX(B190+0,C190+0))</f>
        <v/>
      </c>
      <c r="P190" s="0" t="str">
        <f aca="true">IF(A190="","",IF(OR(K190="Approved",K190="Denied",K190="Withdrawn"),"",TODAY()-O190))</f>
        <v/>
      </c>
    </row>
    <row r="191" customFormat="false" ht="15" hidden="false" customHeight="false" outlineLevel="0" collapsed="false">
      <c r="D191" s="0" t="str">
        <f aca="false">IF(A191="","",IF(AND(B191&lt;&gt;"",C191&lt;&gt;""),C191-B191,""))</f>
        <v/>
      </c>
      <c r="F191" s="0" t="str">
        <f aca="false">IF(A191="","",IF(AND(D191&lt;&gt;"",E191&lt;&gt;""),IF(D191&lt;=E191,"Yes","NO - LATE"),""))</f>
        <v/>
      </c>
      <c r="O191" s="13" t="str">
        <f aca="false">IF(A191="","",MAX(B191+0,C191+0))</f>
        <v/>
      </c>
      <c r="P191" s="0" t="str">
        <f aca="true">IF(A191="","",IF(OR(K191="Approved",K191="Denied",K191="Withdrawn"),"",TODAY()-O191))</f>
        <v/>
      </c>
    </row>
    <row r="192" customFormat="false" ht="15" hidden="false" customHeight="false" outlineLevel="0" collapsed="false">
      <c r="D192" s="0" t="str">
        <f aca="false">IF(A192="","",IF(AND(B192&lt;&gt;"",C192&lt;&gt;""),C192-B192,""))</f>
        <v/>
      </c>
      <c r="F192" s="0" t="str">
        <f aca="false">IF(A192="","",IF(AND(D192&lt;&gt;"",E192&lt;&gt;""),IF(D192&lt;=E192,"Yes","NO - LATE"),""))</f>
        <v/>
      </c>
      <c r="O192" s="13" t="str">
        <f aca="false">IF(A192="","",MAX(B192+0,C192+0))</f>
        <v/>
      </c>
      <c r="P192" s="0" t="str">
        <f aca="true">IF(A192="","",IF(OR(K192="Approved",K192="Denied",K192="Withdrawn"),"",TODAY()-O192))</f>
        <v/>
      </c>
    </row>
    <row r="193" customFormat="false" ht="15" hidden="false" customHeight="false" outlineLevel="0" collapsed="false">
      <c r="D193" s="0" t="str">
        <f aca="false">IF(A193="","",IF(AND(B193&lt;&gt;"",C193&lt;&gt;""),C193-B193,""))</f>
        <v/>
      </c>
      <c r="F193" s="0" t="str">
        <f aca="false">IF(A193="","",IF(AND(D193&lt;&gt;"",E193&lt;&gt;""),IF(D193&lt;=E193,"Yes","NO - LATE"),""))</f>
        <v/>
      </c>
      <c r="O193" s="13" t="str">
        <f aca="false">IF(A193="","",MAX(B193+0,C193+0))</f>
        <v/>
      </c>
      <c r="P193" s="0" t="str">
        <f aca="true">IF(A193="","",IF(OR(K193="Approved",K193="Denied",K193="Withdrawn"),"",TODAY()-O193))</f>
        <v/>
      </c>
    </row>
    <row r="194" customFormat="false" ht="15" hidden="false" customHeight="false" outlineLevel="0" collapsed="false">
      <c r="D194" s="0" t="str">
        <f aca="false">IF(A194="","",IF(AND(B194&lt;&gt;"",C194&lt;&gt;""),C194-B194,""))</f>
        <v/>
      </c>
      <c r="F194" s="0" t="str">
        <f aca="false">IF(A194="","",IF(AND(D194&lt;&gt;"",E194&lt;&gt;""),IF(D194&lt;=E194,"Yes","NO - LATE"),""))</f>
        <v/>
      </c>
      <c r="O194" s="13" t="str">
        <f aca="false">IF(A194="","",MAX(B194+0,C194+0))</f>
        <v/>
      </c>
      <c r="P194" s="0" t="str">
        <f aca="true">IF(A194="","",IF(OR(K194="Approved",K194="Denied",K194="Withdrawn"),"",TODAY()-O194))</f>
        <v/>
      </c>
    </row>
    <row r="195" customFormat="false" ht="15" hidden="false" customHeight="false" outlineLevel="0" collapsed="false">
      <c r="D195" s="0" t="str">
        <f aca="false">IF(A195="","",IF(AND(B195&lt;&gt;"",C195&lt;&gt;""),C195-B195,""))</f>
        <v/>
      </c>
      <c r="F195" s="0" t="str">
        <f aca="false">IF(A195="","",IF(AND(D195&lt;&gt;"",E195&lt;&gt;""),IF(D195&lt;=E195,"Yes","NO - LATE"),""))</f>
        <v/>
      </c>
      <c r="O195" s="13" t="str">
        <f aca="false">IF(A195="","",MAX(B195+0,C195+0))</f>
        <v/>
      </c>
      <c r="P195" s="0" t="str">
        <f aca="true">IF(A195="","",IF(OR(K195="Approved",K195="Denied",K195="Withdrawn"),"",TODAY()-O195))</f>
        <v/>
      </c>
    </row>
    <row r="196" customFormat="false" ht="15" hidden="false" customHeight="false" outlineLevel="0" collapsed="false">
      <c r="D196" s="0" t="str">
        <f aca="false">IF(A196="","",IF(AND(B196&lt;&gt;"",C196&lt;&gt;""),C196-B196,""))</f>
        <v/>
      </c>
      <c r="F196" s="0" t="str">
        <f aca="false">IF(A196="","",IF(AND(D196&lt;&gt;"",E196&lt;&gt;""),IF(D196&lt;=E196,"Yes","NO - LATE"),""))</f>
        <v/>
      </c>
      <c r="O196" s="13" t="str">
        <f aca="false">IF(A196="","",MAX(B196+0,C196+0))</f>
        <v/>
      </c>
      <c r="P196" s="0" t="str">
        <f aca="true">IF(A196="","",IF(OR(K196="Approved",K196="Denied",K196="Withdrawn"),"",TODAY()-O196))</f>
        <v/>
      </c>
    </row>
    <row r="197" customFormat="false" ht="15" hidden="false" customHeight="false" outlineLevel="0" collapsed="false">
      <c r="D197" s="0" t="str">
        <f aca="false">IF(A197="","",IF(AND(B197&lt;&gt;"",C197&lt;&gt;""),C197-B197,""))</f>
        <v/>
      </c>
      <c r="F197" s="0" t="str">
        <f aca="false">IF(A197="","",IF(AND(D197&lt;&gt;"",E197&lt;&gt;""),IF(D197&lt;=E197,"Yes","NO - LATE"),""))</f>
        <v/>
      </c>
      <c r="O197" s="13" t="str">
        <f aca="false">IF(A197="","",MAX(B197+0,C197+0))</f>
        <v/>
      </c>
      <c r="P197" s="0" t="str">
        <f aca="true">IF(A197="","",IF(OR(K197="Approved",K197="Denied",K197="Withdrawn"),"",TODAY()-O197))</f>
        <v/>
      </c>
    </row>
    <row r="198" customFormat="false" ht="15" hidden="false" customHeight="false" outlineLevel="0" collapsed="false">
      <c r="D198" s="0" t="str">
        <f aca="false">IF(A198="","",IF(AND(B198&lt;&gt;"",C198&lt;&gt;""),C198-B198,""))</f>
        <v/>
      </c>
      <c r="F198" s="0" t="str">
        <f aca="false">IF(A198="","",IF(AND(D198&lt;&gt;"",E198&lt;&gt;""),IF(D198&lt;=E198,"Yes","NO - LATE"),""))</f>
        <v/>
      </c>
      <c r="O198" s="13" t="str">
        <f aca="false">IF(A198="","",MAX(B198+0,C198+0))</f>
        <v/>
      </c>
      <c r="P198" s="0" t="str">
        <f aca="true">IF(A198="","",IF(OR(K198="Approved",K198="Denied",K198="Withdrawn"),"",TODAY()-O198))</f>
        <v/>
      </c>
    </row>
    <row r="199" customFormat="false" ht="15" hidden="false" customHeight="false" outlineLevel="0" collapsed="false">
      <c r="D199" s="0" t="str">
        <f aca="false">IF(A199="","",IF(AND(B199&lt;&gt;"",C199&lt;&gt;""),C199-B199,""))</f>
        <v/>
      </c>
      <c r="F199" s="0" t="str">
        <f aca="false">IF(A199="","",IF(AND(D199&lt;&gt;"",E199&lt;&gt;""),IF(D199&lt;=E199,"Yes","NO - LATE"),""))</f>
        <v/>
      </c>
      <c r="O199" s="13" t="str">
        <f aca="false">IF(A199="","",MAX(B199+0,C199+0))</f>
        <v/>
      </c>
      <c r="P199" s="0" t="str">
        <f aca="true">IF(A199="","",IF(OR(K199="Approved",K199="Denied",K199="Withdrawn"),"",TODAY()-O199))</f>
        <v/>
      </c>
    </row>
    <row r="200" customFormat="false" ht="15" hidden="false" customHeight="false" outlineLevel="0" collapsed="false">
      <c r="D200" s="0" t="str">
        <f aca="false">IF(A200="","",IF(AND(B200&lt;&gt;"",C200&lt;&gt;""),C200-B200,""))</f>
        <v/>
      </c>
      <c r="F200" s="0" t="str">
        <f aca="false">IF(A200="","",IF(AND(D200&lt;&gt;"",E200&lt;&gt;""),IF(D200&lt;=E200,"Yes","NO - LATE"),""))</f>
        <v/>
      </c>
      <c r="O200" s="13" t="str">
        <f aca="false">IF(A200="","",MAX(B200+0,C200+0))</f>
        <v/>
      </c>
      <c r="P200" s="0" t="str">
        <f aca="true">IF(A200="","",IF(OR(K200="Approved",K200="Denied",K200="Withdrawn"),"",TODAY()-O200))</f>
        <v/>
      </c>
    </row>
    <row r="201" customFormat="false" ht="15" hidden="false" customHeight="false" outlineLevel="0" collapsed="false">
      <c r="D201" s="0" t="str">
        <f aca="false">IF(A201="","",IF(AND(B201&lt;&gt;"",C201&lt;&gt;""),C201-B201,""))</f>
        <v/>
      </c>
      <c r="F201" s="0" t="str">
        <f aca="false">IF(A201="","",IF(AND(D201&lt;&gt;"",E201&lt;&gt;""),IF(D201&lt;=E201,"Yes","NO - LATE"),""))</f>
        <v/>
      </c>
      <c r="O201" s="13" t="str">
        <f aca="false">IF(A201="","",MAX(B201+0,C201+0))</f>
        <v/>
      </c>
      <c r="P201" s="0" t="str">
        <f aca="true">IF(A201="","",IF(OR(K201="Approved",K201="Denied",K201="Withdrawn"),"",TODAY()-O201))</f>
        <v/>
      </c>
    </row>
    <row r="202" customFormat="false" ht="15" hidden="false" customHeight="false" outlineLevel="0" collapsed="false">
      <c r="D202" s="0" t="str">
        <f aca="false">IF(A202="","",IF(AND(B202&lt;&gt;"",C202&lt;&gt;""),C202-B202,""))</f>
        <v/>
      </c>
      <c r="F202" s="0" t="str">
        <f aca="false">IF(A202="","",IF(AND(D202&lt;&gt;"",E202&lt;&gt;""),IF(D202&lt;=E202,"Yes","NO - LATE"),""))</f>
        <v/>
      </c>
      <c r="O202" s="13" t="str">
        <f aca="false">IF(A202="","",MAX(B202+0,C202+0))</f>
        <v/>
      </c>
      <c r="P202" s="0" t="str">
        <f aca="true">IF(A202="","",IF(OR(K202="Approved",K202="Denied",K202="Withdrawn"),"",TODAY()-O202))</f>
        <v/>
      </c>
    </row>
    <row r="203" customFormat="false" ht="15" hidden="false" customHeight="false" outlineLevel="0" collapsed="false">
      <c r="D203" s="0" t="str">
        <f aca="false">IF(A203="","",IF(AND(B203&lt;&gt;"",C203&lt;&gt;""),C203-B203,""))</f>
        <v/>
      </c>
      <c r="F203" s="0" t="str">
        <f aca="false">IF(A203="","",IF(AND(D203&lt;&gt;"",E203&lt;&gt;""),IF(D203&lt;=E203,"Yes","NO - LATE"),""))</f>
        <v/>
      </c>
      <c r="O203" s="13" t="str">
        <f aca="false">IF(A203="","",MAX(B203+0,C203+0))</f>
        <v/>
      </c>
      <c r="P203" s="0" t="str">
        <f aca="true">IF(A203="","",IF(OR(K203="Approved",K203="Denied",K203="Withdrawn"),"",TODAY()-O203))</f>
        <v/>
      </c>
    </row>
    <row r="204" customFormat="false" ht="15" hidden="false" customHeight="false" outlineLevel="0" collapsed="false">
      <c r="D204" s="0" t="str">
        <f aca="false">IF(A204="","",IF(AND(B204&lt;&gt;"",C204&lt;&gt;""),C204-B204,""))</f>
        <v/>
      </c>
      <c r="F204" s="0" t="str">
        <f aca="false">IF(A204="","",IF(AND(D204&lt;&gt;"",E204&lt;&gt;""),IF(D204&lt;=E204,"Yes","NO - LATE"),""))</f>
        <v/>
      </c>
      <c r="O204" s="13" t="str">
        <f aca="false">IF(A204="","",MAX(B204+0,C204+0))</f>
        <v/>
      </c>
      <c r="P204" s="0" t="str">
        <f aca="true">IF(A204="","",IF(OR(K204="Approved",K204="Denied",K204="Withdrawn"),"",TODAY()-O204))</f>
        <v/>
      </c>
    </row>
    <row r="205" customFormat="false" ht="15" hidden="false" customHeight="false" outlineLevel="0" collapsed="false">
      <c r="D205" s="0" t="str">
        <f aca="false">IF(A205="","",IF(AND(B205&lt;&gt;"",C205&lt;&gt;""),C205-B205,""))</f>
        <v/>
      </c>
      <c r="F205" s="0" t="str">
        <f aca="false">IF(A205="","",IF(AND(D205&lt;&gt;"",E205&lt;&gt;""),IF(D205&lt;=E205,"Yes","NO - LATE"),""))</f>
        <v/>
      </c>
      <c r="O205" s="13" t="str">
        <f aca="false">IF(A205="","",MAX(B205+0,C205+0))</f>
        <v/>
      </c>
      <c r="P205" s="0" t="str">
        <f aca="true">IF(A205="","",IF(OR(K205="Approved",K205="Denied",K205="Withdrawn"),"",TODAY()-O205))</f>
        <v/>
      </c>
    </row>
    <row r="206" customFormat="false" ht="15" hidden="false" customHeight="false" outlineLevel="0" collapsed="false">
      <c r="D206" s="0" t="str">
        <f aca="false">IF(A206="","",IF(AND(B206&lt;&gt;"",C206&lt;&gt;""),C206-B206,""))</f>
        <v/>
      </c>
      <c r="F206" s="0" t="str">
        <f aca="false">IF(A206="","",IF(AND(D206&lt;&gt;"",E206&lt;&gt;""),IF(D206&lt;=E206,"Yes","NO - LATE"),""))</f>
        <v/>
      </c>
      <c r="O206" s="13" t="str">
        <f aca="false">IF(A206="","",MAX(B206+0,C206+0))</f>
        <v/>
      </c>
      <c r="P206" s="0" t="str">
        <f aca="true">IF(A206="","",IF(OR(K206="Approved",K206="Denied",K206="Withdrawn"),"",TODAY()-O206))</f>
        <v/>
      </c>
    </row>
    <row r="207" customFormat="false" ht="15" hidden="false" customHeight="false" outlineLevel="0" collapsed="false">
      <c r="D207" s="0" t="str">
        <f aca="false">IF(A207="","",IF(AND(B207&lt;&gt;"",C207&lt;&gt;""),C207-B207,""))</f>
        <v/>
      </c>
      <c r="F207" s="0" t="str">
        <f aca="false">IF(A207="","",IF(AND(D207&lt;&gt;"",E207&lt;&gt;""),IF(D207&lt;=E207,"Yes","NO - LATE"),""))</f>
        <v/>
      </c>
      <c r="O207" s="13" t="str">
        <f aca="false">IF(A207="","",MAX(B207+0,C207+0))</f>
        <v/>
      </c>
      <c r="P207" s="0" t="str">
        <f aca="true">IF(A207="","",IF(OR(K207="Approved",K207="Denied",K207="Withdrawn"),"",TODAY()-O207))</f>
        <v/>
      </c>
    </row>
    <row r="208" customFormat="false" ht="15" hidden="false" customHeight="false" outlineLevel="0" collapsed="false">
      <c r="D208" s="0" t="str">
        <f aca="false">IF(A208="","",IF(AND(B208&lt;&gt;"",C208&lt;&gt;""),C208-B208,""))</f>
        <v/>
      </c>
      <c r="F208" s="0" t="str">
        <f aca="false">IF(A208="","",IF(AND(D208&lt;&gt;"",E208&lt;&gt;""),IF(D208&lt;=E208,"Yes","NO - LATE"),""))</f>
        <v/>
      </c>
      <c r="O208" s="13" t="str">
        <f aca="false">IF(A208="","",MAX(B208+0,C208+0))</f>
        <v/>
      </c>
      <c r="P208" s="0" t="str">
        <f aca="true">IF(A208="","",IF(OR(K208="Approved",K208="Denied",K208="Withdrawn"),"",TODAY()-O208))</f>
        <v/>
      </c>
    </row>
    <row r="209" customFormat="false" ht="15" hidden="false" customHeight="false" outlineLevel="0" collapsed="false">
      <c r="D209" s="0" t="str">
        <f aca="false">IF(A209="","",IF(AND(B209&lt;&gt;"",C209&lt;&gt;""),C209-B209,""))</f>
        <v/>
      </c>
      <c r="F209" s="0" t="str">
        <f aca="false">IF(A209="","",IF(AND(D209&lt;&gt;"",E209&lt;&gt;""),IF(D209&lt;=E209,"Yes","NO - LATE"),""))</f>
        <v/>
      </c>
      <c r="O209" s="13" t="str">
        <f aca="false">IF(A209="","",MAX(B209+0,C209+0))</f>
        <v/>
      </c>
      <c r="P209" s="0" t="str">
        <f aca="true">IF(A209="","",IF(OR(K209="Approved",K209="Denied",K209="Withdrawn"),"",TODAY()-O209))</f>
        <v/>
      </c>
    </row>
    <row r="210" customFormat="false" ht="15" hidden="false" customHeight="false" outlineLevel="0" collapsed="false">
      <c r="D210" s="0" t="str">
        <f aca="false">IF(A210="","",IF(AND(B210&lt;&gt;"",C210&lt;&gt;""),C210-B210,""))</f>
        <v/>
      </c>
      <c r="F210" s="0" t="str">
        <f aca="false">IF(A210="","",IF(AND(D210&lt;&gt;"",E210&lt;&gt;""),IF(D210&lt;=E210,"Yes","NO - LATE"),""))</f>
        <v/>
      </c>
      <c r="O210" s="13" t="str">
        <f aca="false">IF(A210="","",MAX(B210+0,C210+0))</f>
        <v/>
      </c>
      <c r="P210" s="0" t="str">
        <f aca="true">IF(A210="","",IF(OR(K210="Approved",K210="Denied",K210="Withdrawn"),"",TODAY()-O210))</f>
        <v/>
      </c>
    </row>
    <row r="211" customFormat="false" ht="15" hidden="false" customHeight="false" outlineLevel="0" collapsed="false">
      <c r="D211" s="0" t="str">
        <f aca="false">IF(A211="","",IF(AND(B211&lt;&gt;"",C211&lt;&gt;""),C211-B211,""))</f>
        <v/>
      </c>
      <c r="F211" s="0" t="str">
        <f aca="false">IF(A211="","",IF(AND(D211&lt;&gt;"",E211&lt;&gt;""),IF(D211&lt;=E211,"Yes","NO - LATE"),""))</f>
        <v/>
      </c>
      <c r="O211" s="13" t="str">
        <f aca="false">IF(A211="","",MAX(B211+0,C211+0))</f>
        <v/>
      </c>
      <c r="P211" s="0" t="str">
        <f aca="true">IF(A211="","",IF(OR(K211="Approved",K211="Denied",K211="Withdrawn"),"",TODAY()-O211))</f>
        <v/>
      </c>
    </row>
    <row r="212" customFormat="false" ht="15" hidden="false" customHeight="false" outlineLevel="0" collapsed="false">
      <c r="D212" s="0" t="str">
        <f aca="false">IF(A212="","",IF(AND(B212&lt;&gt;"",C212&lt;&gt;""),C212-B212,""))</f>
        <v/>
      </c>
      <c r="F212" s="0" t="str">
        <f aca="false">IF(A212="","",IF(AND(D212&lt;&gt;"",E212&lt;&gt;""),IF(D212&lt;=E212,"Yes","NO - LATE"),""))</f>
        <v/>
      </c>
      <c r="O212" s="13" t="str">
        <f aca="false">IF(A212="","",MAX(B212+0,C212+0))</f>
        <v/>
      </c>
      <c r="P212" s="0" t="str">
        <f aca="true">IF(A212="","",IF(OR(K212="Approved",K212="Denied",K212="Withdrawn"),"",TODAY()-O212))</f>
        <v/>
      </c>
    </row>
    <row r="213" customFormat="false" ht="15" hidden="false" customHeight="false" outlineLevel="0" collapsed="false">
      <c r="D213" s="0" t="str">
        <f aca="false">IF(A213="","",IF(AND(B213&lt;&gt;"",C213&lt;&gt;""),C213-B213,""))</f>
        <v/>
      </c>
      <c r="F213" s="0" t="str">
        <f aca="false">IF(A213="","",IF(AND(D213&lt;&gt;"",E213&lt;&gt;""),IF(D213&lt;=E213,"Yes","NO - LATE"),""))</f>
        <v/>
      </c>
      <c r="O213" s="13" t="str">
        <f aca="false">IF(A213="","",MAX(B213+0,C213+0))</f>
        <v/>
      </c>
      <c r="P213" s="0" t="str">
        <f aca="true">IF(A213="","",IF(OR(K213="Approved",K213="Denied",K213="Withdrawn"),"",TODAY()-O213))</f>
        <v/>
      </c>
    </row>
    <row r="214" customFormat="false" ht="15" hidden="false" customHeight="false" outlineLevel="0" collapsed="false">
      <c r="D214" s="0" t="str">
        <f aca="false">IF(A214="","",IF(AND(B214&lt;&gt;"",C214&lt;&gt;""),C214-B214,""))</f>
        <v/>
      </c>
      <c r="F214" s="0" t="str">
        <f aca="false">IF(A214="","",IF(AND(D214&lt;&gt;"",E214&lt;&gt;""),IF(D214&lt;=E214,"Yes","NO - LATE"),""))</f>
        <v/>
      </c>
      <c r="O214" s="13" t="str">
        <f aca="false">IF(A214="","",MAX(B214+0,C214+0))</f>
        <v/>
      </c>
      <c r="P214" s="0" t="str">
        <f aca="true">IF(A214="","",IF(OR(K214="Approved",K214="Denied",K214="Withdrawn"),"",TODAY()-O214))</f>
        <v/>
      </c>
    </row>
    <row r="215" customFormat="false" ht="15" hidden="false" customHeight="false" outlineLevel="0" collapsed="false">
      <c r="D215" s="0" t="str">
        <f aca="false">IF(A215="","",IF(AND(B215&lt;&gt;"",C215&lt;&gt;""),C215-B215,""))</f>
        <v/>
      </c>
      <c r="F215" s="0" t="str">
        <f aca="false">IF(A215="","",IF(AND(D215&lt;&gt;"",E215&lt;&gt;""),IF(D215&lt;=E215,"Yes","NO - LATE"),""))</f>
        <v/>
      </c>
      <c r="O215" s="13" t="str">
        <f aca="false">IF(A215="","",MAX(B215+0,C215+0))</f>
        <v/>
      </c>
      <c r="P215" s="0" t="str">
        <f aca="true">IF(A215="","",IF(OR(K215="Approved",K215="Denied",K215="Withdrawn"),"",TODAY()-O215))</f>
        <v/>
      </c>
    </row>
    <row r="216" customFormat="false" ht="15" hidden="false" customHeight="false" outlineLevel="0" collapsed="false">
      <c r="D216" s="0" t="str">
        <f aca="false">IF(A216="","",IF(AND(B216&lt;&gt;"",C216&lt;&gt;""),C216-B216,""))</f>
        <v/>
      </c>
      <c r="F216" s="0" t="str">
        <f aca="false">IF(A216="","",IF(AND(D216&lt;&gt;"",E216&lt;&gt;""),IF(D216&lt;=E216,"Yes","NO - LATE"),""))</f>
        <v/>
      </c>
      <c r="O216" s="13" t="str">
        <f aca="false">IF(A216="","",MAX(B216+0,C216+0))</f>
        <v/>
      </c>
      <c r="P216" s="0" t="str">
        <f aca="true">IF(A216="","",IF(OR(K216="Approved",K216="Denied",K216="Withdrawn"),"",TODAY()-O216))</f>
        <v/>
      </c>
    </row>
    <row r="217" customFormat="false" ht="15" hidden="false" customHeight="false" outlineLevel="0" collapsed="false">
      <c r="D217" s="0" t="str">
        <f aca="false">IF(A217="","",IF(AND(B217&lt;&gt;"",C217&lt;&gt;""),C217-B217,""))</f>
        <v/>
      </c>
      <c r="F217" s="0" t="str">
        <f aca="false">IF(A217="","",IF(AND(D217&lt;&gt;"",E217&lt;&gt;""),IF(D217&lt;=E217,"Yes","NO - LATE"),""))</f>
        <v/>
      </c>
      <c r="O217" s="13" t="str">
        <f aca="false">IF(A217="","",MAX(B217+0,C217+0))</f>
        <v/>
      </c>
      <c r="P217" s="0" t="str">
        <f aca="true">IF(A217="","",IF(OR(K217="Approved",K217="Denied",K217="Withdrawn"),"",TODAY()-O217))</f>
        <v/>
      </c>
    </row>
    <row r="218" customFormat="false" ht="15" hidden="false" customHeight="false" outlineLevel="0" collapsed="false">
      <c r="D218" s="0" t="str">
        <f aca="false">IF(A218="","",IF(AND(B218&lt;&gt;"",C218&lt;&gt;""),C218-B218,""))</f>
        <v/>
      </c>
      <c r="F218" s="0" t="str">
        <f aca="false">IF(A218="","",IF(AND(D218&lt;&gt;"",E218&lt;&gt;""),IF(D218&lt;=E218,"Yes","NO - LATE"),""))</f>
        <v/>
      </c>
      <c r="O218" s="13" t="str">
        <f aca="false">IF(A218="","",MAX(B218+0,C218+0))</f>
        <v/>
      </c>
      <c r="P218" s="0" t="str">
        <f aca="true">IF(A218="","",IF(OR(K218="Approved",K218="Denied",K218="Withdrawn"),"",TODAY()-O218))</f>
        <v/>
      </c>
    </row>
    <row r="219" customFormat="false" ht="15" hidden="false" customHeight="false" outlineLevel="0" collapsed="false">
      <c r="D219" s="0" t="str">
        <f aca="false">IF(A219="","",IF(AND(B219&lt;&gt;"",C219&lt;&gt;""),C219-B219,""))</f>
        <v/>
      </c>
      <c r="F219" s="0" t="str">
        <f aca="false">IF(A219="","",IF(AND(D219&lt;&gt;"",E219&lt;&gt;""),IF(D219&lt;=E219,"Yes","NO - LATE"),""))</f>
        <v/>
      </c>
      <c r="O219" s="13" t="str">
        <f aca="false">IF(A219="","",MAX(B219+0,C219+0))</f>
        <v/>
      </c>
      <c r="P219" s="0" t="str">
        <f aca="true">IF(A219="","",IF(OR(K219="Approved",K219="Denied",K219="Withdrawn"),"",TODAY()-O219))</f>
        <v/>
      </c>
    </row>
    <row r="220" customFormat="false" ht="15" hidden="false" customHeight="false" outlineLevel="0" collapsed="false">
      <c r="D220" s="0" t="str">
        <f aca="false">IF(A220="","",IF(AND(B220&lt;&gt;"",C220&lt;&gt;""),C220-B220,""))</f>
        <v/>
      </c>
      <c r="F220" s="0" t="str">
        <f aca="false">IF(A220="","",IF(AND(D220&lt;&gt;"",E220&lt;&gt;""),IF(D220&lt;=E220,"Yes","NO - LATE"),""))</f>
        <v/>
      </c>
      <c r="O220" s="13" t="str">
        <f aca="false">IF(A220="","",MAX(B220+0,C220+0))</f>
        <v/>
      </c>
      <c r="P220" s="0" t="str">
        <f aca="true">IF(A220="","",IF(OR(K220="Approved",K220="Denied",K220="Withdrawn"),"",TODAY()-O220))</f>
        <v/>
      </c>
    </row>
    <row r="221" customFormat="false" ht="15" hidden="false" customHeight="false" outlineLevel="0" collapsed="false">
      <c r="D221" s="0" t="str">
        <f aca="false">IF(A221="","",IF(AND(B221&lt;&gt;"",C221&lt;&gt;""),C221-B221,""))</f>
        <v/>
      </c>
      <c r="F221" s="0" t="str">
        <f aca="false">IF(A221="","",IF(AND(D221&lt;&gt;"",E221&lt;&gt;""),IF(D221&lt;=E221,"Yes","NO - LATE"),""))</f>
        <v/>
      </c>
      <c r="O221" s="13" t="str">
        <f aca="false">IF(A221="","",MAX(B221+0,C221+0))</f>
        <v/>
      </c>
      <c r="P221" s="0" t="str">
        <f aca="true">IF(A221="","",IF(OR(K221="Approved",K221="Denied",K221="Withdrawn"),"",TODAY()-O221))</f>
        <v/>
      </c>
    </row>
    <row r="222" customFormat="false" ht="15" hidden="false" customHeight="false" outlineLevel="0" collapsed="false">
      <c r="D222" s="0" t="str">
        <f aca="false">IF(A222="","",IF(AND(B222&lt;&gt;"",C222&lt;&gt;""),C222-B222,""))</f>
        <v/>
      </c>
      <c r="F222" s="0" t="str">
        <f aca="false">IF(A222="","",IF(AND(D222&lt;&gt;"",E222&lt;&gt;""),IF(D222&lt;=E222,"Yes","NO - LATE"),""))</f>
        <v/>
      </c>
      <c r="O222" s="13" t="str">
        <f aca="false">IF(A222="","",MAX(B222+0,C222+0))</f>
        <v/>
      </c>
      <c r="P222" s="0" t="str">
        <f aca="true">IF(A222="","",IF(OR(K222="Approved",K222="Denied",K222="Withdrawn"),"",TODAY()-O222))</f>
        <v/>
      </c>
    </row>
    <row r="223" customFormat="false" ht="15" hidden="false" customHeight="false" outlineLevel="0" collapsed="false">
      <c r="D223" s="0" t="str">
        <f aca="false">IF(A223="","",IF(AND(B223&lt;&gt;"",C223&lt;&gt;""),C223-B223,""))</f>
        <v/>
      </c>
      <c r="F223" s="0" t="str">
        <f aca="false">IF(A223="","",IF(AND(D223&lt;&gt;"",E223&lt;&gt;""),IF(D223&lt;=E223,"Yes","NO - LATE"),""))</f>
        <v/>
      </c>
      <c r="O223" s="13" t="str">
        <f aca="false">IF(A223="","",MAX(B223+0,C223+0))</f>
        <v/>
      </c>
      <c r="P223" s="0" t="str">
        <f aca="true">IF(A223="","",IF(OR(K223="Approved",K223="Denied",K223="Withdrawn"),"",TODAY()-O223))</f>
        <v/>
      </c>
    </row>
    <row r="224" customFormat="false" ht="15" hidden="false" customHeight="false" outlineLevel="0" collapsed="false">
      <c r="D224" s="0" t="str">
        <f aca="false">IF(A224="","",IF(AND(B224&lt;&gt;"",C224&lt;&gt;""),C224-B224,""))</f>
        <v/>
      </c>
      <c r="F224" s="0" t="str">
        <f aca="false">IF(A224="","",IF(AND(D224&lt;&gt;"",E224&lt;&gt;""),IF(D224&lt;=E224,"Yes","NO - LATE"),""))</f>
        <v/>
      </c>
      <c r="O224" s="13" t="str">
        <f aca="false">IF(A224="","",MAX(B224+0,C224+0))</f>
        <v/>
      </c>
      <c r="P224" s="0" t="str">
        <f aca="true">IF(A224="","",IF(OR(K224="Approved",K224="Denied",K224="Withdrawn"),"",TODAY()-O224))</f>
        <v/>
      </c>
    </row>
    <row r="225" customFormat="false" ht="15" hidden="false" customHeight="false" outlineLevel="0" collapsed="false">
      <c r="D225" s="0" t="str">
        <f aca="false">IF(A225="","",IF(AND(B225&lt;&gt;"",C225&lt;&gt;""),C225-B225,""))</f>
        <v/>
      </c>
      <c r="F225" s="0" t="str">
        <f aca="false">IF(A225="","",IF(AND(D225&lt;&gt;"",E225&lt;&gt;""),IF(D225&lt;=E225,"Yes","NO - LATE"),""))</f>
        <v/>
      </c>
      <c r="O225" s="13" t="str">
        <f aca="false">IF(A225="","",MAX(B225+0,C225+0))</f>
        <v/>
      </c>
      <c r="P225" s="0" t="str">
        <f aca="true">IF(A225="","",IF(OR(K225="Approved",K225="Denied",K225="Withdrawn"),"",TODAY()-O225))</f>
        <v/>
      </c>
    </row>
    <row r="226" customFormat="false" ht="15" hidden="false" customHeight="false" outlineLevel="0" collapsed="false">
      <c r="D226" s="0" t="str">
        <f aca="false">IF(A226="","",IF(AND(B226&lt;&gt;"",C226&lt;&gt;""),C226-B226,""))</f>
        <v/>
      </c>
      <c r="F226" s="0" t="str">
        <f aca="false">IF(A226="","",IF(AND(D226&lt;&gt;"",E226&lt;&gt;""),IF(D226&lt;=E226,"Yes","NO - LATE"),""))</f>
        <v/>
      </c>
      <c r="O226" s="13" t="str">
        <f aca="false">IF(A226="","",MAX(B226+0,C226+0))</f>
        <v/>
      </c>
      <c r="P226" s="0" t="str">
        <f aca="true">IF(A226="","",IF(OR(K226="Approved",K226="Denied",K226="Withdrawn"),"",TODAY()-O226))</f>
        <v/>
      </c>
    </row>
    <row r="227" customFormat="false" ht="15" hidden="false" customHeight="false" outlineLevel="0" collapsed="false">
      <c r="D227" s="0" t="str">
        <f aca="false">IF(A227="","",IF(AND(B227&lt;&gt;"",C227&lt;&gt;""),C227-B227,""))</f>
        <v/>
      </c>
      <c r="F227" s="0" t="str">
        <f aca="false">IF(A227="","",IF(AND(D227&lt;&gt;"",E227&lt;&gt;""),IF(D227&lt;=E227,"Yes","NO - LATE"),""))</f>
        <v/>
      </c>
      <c r="O227" s="13" t="str">
        <f aca="false">IF(A227="","",MAX(B227+0,C227+0))</f>
        <v/>
      </c>
      <c r="P227" s="0" t="str">
        <f aca="true">IF(A227="","",IF(OR(K227="Approved",K227="Denied",K227="Withdrawn"),"",TODAY()-O227))</f>
        <v/>
      </c>
    </row>
    <row r="228" customFormat="false" ht="15" hidden="false" customHeight="false" outlineLevel="0" collapsed="false">
      <c r="D228" s="0" t="str">
        <f aca="false">IF(A228="","",IF(AND(B228&lt;&gt;"",C228&lt;&gt;""),C228-B228,""))</f>
        <v/>
      </c>
      <c r="F228" s="0" t="str">
        <f aca="false">IF(A228="","",IF(AND(D228&lt;&gt;"",E228&lt;&gt;""),IF(D228&lt;=E228,"Yes","NO - LATE"),""))</f>
        <v/>
      </c>
      <c r="O228" s="13" t="str">
        <f aca="false">IF(A228="","",MAX(B228+0,C228+0))</f>
        <v/>
      </c>
      <c r="P228" s="0" t="str">
        <f aca="true">IF(A228="","",IF(OR(K228="Approved",K228="Denied",K228="Withdrawn"),"",TODAY()-O228))</f>
        <v/>
      </c>
    </row>
    <row r="229" customFormat="false" ht="15" hidden="false" customHeight="false" outlineLevel="0" collapsed="false">
      <c r="D229" s="0" t="str">
        <f aca="false">IF(A229="","",IF(AND(B229&lt;&gt;"",C229&lt;&gt;""),C229-B229,""))</f>
        <v/>
      </c>
      <c r="F229" s="0" t="str">
        <f aca="false">IF(A229="","",IF(AND(D229&lt;&gt;"",E229&lt;&gt;""),IF(D229&lt;=E229,"Yes","NO - LATE"),""))</f>
        <v/>
      </c>
      <c r="O229" s="13" t="str">
        <f aca="false">IF(A229="","",MAX(B229+0,C229+0))</f>
        <v/>
      </c>
      <c r="P229" s="0" t="str">
        <f aca="true">IF(A229="","",IF(OR(K229="Approved",K229="Denied",K229="Withdrawn"),"",TODAY()-O229))</f>
        <v/>
      </c>
    </row>
    <row r="230" customFormat="false" ht="15" hidden="false" customHeight="false" outlineLevel="0" collapsed="false">
      <c r="D230" s="0" t="str">
        <f aca="false">IF(A230="","",IF(AND(B230&lt;&gt;"",C230&lt;&gt;""),C230-B230,""))</f>
        <v/>
      </c>
      <c r="F230" s="0" t="str">
        <f aca="false">IF(A230="","",IF(AND(D230&lt;&gt;"",E230&lt;&gt;""),IF(D230&lt;=E230,"Yes","NO - LATE"),""))</f>
        <v/>
      </c>
      <c r="O230" s="13" t="str">
        <f aca="false">IF(A230="","",MAX(B230+0,C230+0))</f>
        <v/>
      </c>
      <c r="P230" s="0" t="str">
        <f aca="true">IF(A230="","",IF(OR(K230="Approved",K230="Denied",K230="Withdrawn"),"",TODAY()-O230))</f>
        <v/>
      </c>
    </row>
    <row r="231" customFormat="false" ht="15" hidden="false" customHeight="false" outlineLevel="0" collapsed="false">
      <c r="D231" s="0" t="str">
        <f aca="false">IF(A231="","",IF(AND(B231&lt;&gt;"",C231&lt;&gt;""),C231-B231,""))</f>
        <v/>
      </c>
      <c r="F231" s="0" t="str">
        <f aca="false">IF(A231="","",IF(AND(D231&lt;&gt;"",E231&lt;&gt;""),IF(D231&lt;=E231,"Yes","NO - LATE"),""))</f>
        <v/>
      </c>
      <c r="O231" s="13" t="str">
        <f aca="false">IF(A231="","",MAX(B231+0,C231+0))</f>
        <v/>
      </c>
      <c r="P231" s="0" t="str">
        <f aca="true">IF(A231="","",IF(OR(K231="Approved",K231="Denied",K231="Withdrawn"),"",TODAY()-O231))</f>
        <v/>
      </c>
    </row>
    <row r="232" customFormat="false" ht="15" hidden="false" customHeight="false" outlineLevel="0" collapsed="false">
      <c r="D232" s="0" t="str">
        <f aca="false">IF(A232="","",IF(AND(B232&lt;&gt;"",C232&lt;&gt;""),C232-B232,""))</f>
        <v/>
      </c>
      <c r="F232" s="0" t="str">
        <f aca="false">IF(A232="","",IF(AND(D232&lt;&gt;"",E232&lt;&gt;""),IF(D232&lt;=E232,"Yes","NO - LATE"),""))</f>
        <v/>
      </c>
      <c r="O232" s="13" t="str">
        <f aca="false">IF(A232="","",MAX(B232+0,C232+0))</f>
        <v/>
      </c>
      <c r="P232" s="0" t="str">
        <f aca="true">IF(A232="","",IF(OR(K232="Approved",K232="Denied",K232="Withdrawn"),"",TODAY()-O232))</f>
        <v/>
      </c>
    </row>
    <row r="233" customFormat="false" ht="15" hidden="false" customHeight="false" outlineLevel="0" collapsed="false">
      <c r="D233" s="0" t="str">
        <f aca="false">IF(A233="","",IF(AND(B233&lt;&gt;"",C233&lt;&gt;""),C233-B233,""))</f>
        <v/>
      </c>
      <c r="F233" s="0" t="str">
        <f aca="false">IF(A233="","",IF(AND(D233&lt;&gt;"",E233&lt;&gt;""),IF(D233&lt;=E233,"Yes","NO - LATE"),""))</f>
        <v/>
      </c>
      <c r="O233" s="13" t="str">
        <f aca="false">IF(A233="","",MAX(B233+0,C233+0))</f>
        <v/>
      </c>
      <c r="P233" s="0" t="str">
        <f aca="true">IF(A233="","",IF(OR(K233="Approved",K233="Denied",K233="Withdrawn"),"",TODAY()-O233))</f>
        <v/>
      </c>
    </row>
    <row r="234" customFormat="false" ht="15" hidden="false" customHeight="false" outlineLevel="0" collapsed="false">
      <c r="D234" s="0" t="str">
        <f aca="false">IF(A234="","",IF(AND(B234&lt;&gt;"",C234&lt;&gt;""),C234-B234,""))</f>
        <v/>
      </c>
      <c r="F234" s="0" t="str">
        <f aca="false">IF(A234="","",IF(AND(D234&lt;&gt;"",E234&lt;&gt;""),IF(D234&lt;=E234,"Yes","NO - LATE"),""))</f>
        <v/>
      </c>
      <c r="O234" s="13" t="str">
        <f aca="false">IF(A234="","",MAX(B234+0,C234+0))</f>
        <v/>
      </c>
      <c r="P234" s="0" t="str">
        <f aca="true">IF(A234="","",IF(OR(K234="Approved",K234="Denied",K234="Withdrawn"),"",TODAY()-O234))</f>
        <v/>
      </c>
    </row>
    <row r="235" customFormat="false" ht="15" hidden="false" customHeight="false" outlineLevel="0" collapsed="false">
      <c r="D235" s="0" t="str">
        <f aca="false">IF(A235="","",IF(AND(B235&lt;&gt;"",C235&lt;&gt;""),C235-B235,""))</f>
        <v/>
      </c>
      <c r="F235" s="0" t="str">
        <f aca="false">IF(A235="","",IF(AND(D235&lt;&gt;"",E235&lt;&gt;""),IF(D235&lt;=E235,"Yes","NO - LATE"),""))</f>
        <v/>
      </c>
      <c r="O235" s="13" t="str">
        <f aca="false">IF(A235="","",MAX(B235+0,C235+0))</f>
        <v/>
      </c>
      <c r="P235" s="0" t="str">
        <f aca="true">IF(A235="","",IF(OR(K235="Approved",K235="Denied",K235="Withdrawn"),"",TODAY()-O235))</f>
        <v/>
      </c>
    </row>
    <row r="236" customFormat="false" ht="15" hidden="false" customHeight="false" outlineLevel="0" collapsed="false">
      <c r="D236" s="0" t="str">
        <f aca="false">IF(A236="","",IF(AND(B236&lt;&gt;"",C236&lt;&gt;""),C236-B236,""))</f>
        <v/>
      </c>
      <c r="F236" s="0" t="str">
        <f aca="false">IF(A236="","",IF(AND(D236&lt;&gt;"",E236&lt;&gt;""),IF(D236&lt;=E236,"Yes","NO - LATE"),""))</f>
        <v/>
      </c>
      <c r="O236" s="13" t="str">
        <f aca="false">IF(A236="","",MAX(B236+0,C236+0))</f>
        <v/>
      </c>
      <c r="P236" s="0" t="str">
        <f aca="true">IF(A236="","",IF(OR(K236="Approved",K236="Denied",K236="Withdrawn"),"",TODAY()-O236))</f>
        <v/>
      </c>
    </row>
    <row r="237" customFormat="false" ht="15" hidden="false" customHeight="false" outlineLevel="0" collapsed="false">
      <c r="D237" s="0" t="str">
        <f aca="false">IF(A237="","",IF(AND(B237&lt;&gt;"",C237&lt;&gt;""),C237-B237,""))</f>
        <v/>
      </c>
      <c r="F237" s="0" t="str">
        <f aca="false">IF(A237="","",IF(AND(D237&lt;&gt;"",E237&lt;&gt;""),IF(D237&lt;=E237,"Yes","NO - LATE"),""))</f>
        <v/>
      </c>
      <c r="O237" s="13" t="str">
        <f aca="false">IF(A237="","",MAX(B237+0,C237+0))</f>
        <v/>
      </c>
      <c r="P237" s="0" t="str">
        <f aca="true">IF(A237="","",IF(OR(K237="Approved",K237="Denied",K237="Withdrawn"),"",TODAY()-O237))</f>
        <v/>
      </c>
    </row>
    <row r="238" customFormat="false" ht="15" hidden="false" customHeight="false" outlineLevel="0" collapsed="false">
      <c r="D238" s="0" t="str">
        <f aca="false">IF(A238="","",IF(AND(B238&lt;&gt;"",C238&lt;&gt;""),C238-B238,""))</f>
        <v/>
      </c>
      <c r="F238" s="0" t="str">
        <f aca="false">IF(A238="","",IF(AND(D238&lt;&gt;"",E238&lt;&gt;""),IF(D238&lt;=E238,"Yes","NO - LATE"),""))</f>
        <v/>
      </c>
      <c r="O238" s="13" t="str">
        <f aca="false">IF(A238="","",MAX(B238+0,C238+0))</f>
        <v/>
      </c>
      <c r="P238" s="0" t="str">
        <f aca="true">IF(A238="","",IF(OR(K238="Approved",K238="Denied",K238="Withdrawn"),"",TODAY()-O238))</f>
        <v/>
      </c>
    </row>
    <row r="239" customFormat="false" ht="15" hidden="false" customHeight="false" outlineLevel="0" collapsed="false">
      <c r="D239" s="0" t="str">
        <f aca="false">IF(A239="","",IF(AND(B239&lt;&gt;"",C239&lt;&gt;""),C239-B239,""))</f>
        <v/>
      </c>
      <c r="F239" s="0" t="str">
        <f aca="false">IF(A239="","",IF(AND(D239&lt;&gt;"",E239&lt;&gt;""),IF(D239&lt;=E239,"Yes","NO - LATE"),""))</f>
        <v/>
      </c>
      <c r="O239" s="13" t="str">
        <f aca="false">IF(A239="","",MAX(B239+0,C239+0))</f>
        <v/>
      </c>
      <c r="P239" s="0" t="str">
        <f aca="true">IF(A239="","",IF(OR(K239="Approved",K239="Denied",K239="Withdrawn"),"",TODAY()-O239))</f>
        <v/>
      </c>
    </row>
    <row r="240" customFormat="false" ht="15" hidden="false" customHeight="false" outlineLevel="0" collapsed="false">
      <c r="D240" s="0" t="str">
        <f aca="false">IF(A240="","",IF(AND(B240&lt;&gt;"",C240&lt;&gt;""),C240-B240,""))</f>
        <v/>
      </c>
      <c r="F240" s="0" t="str">
        <f aca="false">IF(A240="","",IF(AND(D240&lt;&gt;"",E240&lt;&gt;""),IF(D240&lt;=E240,"Yes","NO - LATE"),""))</f>
        <v/>
      </c>
      <c r="O240" s="13" t="str">
        <f aca="false">IF(A240="","",MAX(B240+0,C240+0))</f>
        <v/>
      </c>
      <c r="P240" s="0" t="str">
        <f aca="true">IF(A240="","",IF(OR(K240="Approved",K240="Denied",K240="Withdrawn"),"",TODAY()-O240))</f>
        <v/>
      </c>
    </row>
    <row r="241" customFormat="false" ht="15" hidden="false" customHeight="false" outlineLevel="0" collapsed="false">
      <c r="D241" s="0" t="str">
        <f aca="false">IF(A241="","",IF(AND(B241&lt;&gt;"",C241&lt;&gt;""),C241-B241,""))</f>
        <v/>
      </c>
      <c r="F241" s="0" t="str">
        <f aca="false">IF(A241="","",IF(AND(D241&lt;&gt;"",E241&lt;&gt;""),IF(D241&lt;=E241,"Yes","NO - LATE"),""))</f>
        <v/>
      </c>
      <c r="O241" s="13" t="str">
        <f aca="false">IF(A241="","",MAX(B241+0,C241+0))</f>
        <v/>
      </c>
      <c r="P241" s="0" t="str">
        <f aca="true">IF(A241="","",IF(OR(K241="Approved",K241="Denied",K241="Withdrawn"),"",TODAY()-O241))</f>
        <v/>
      </c>
    </row>
    <row r="242" customFormat="false" ht="15" hidden="false" customHeight="false" outlineLevel="0" collapsed="false">
      <c r="D242" s="0" t="str">
        <f aca="false">IF(A242="","",IF(AND(B242&lt;&gt;"",C242&lt;&gt;""),C242-B242,""))</f>
        <v/>
      </c>
      <c r="F242" s="0" t="str">
        <f aca="false">IF(A242="","",IF(AND(D242&lt;&gt;"",E242&lt;&gt;""),IF(D242&lt;=E242,"Yes","NO - LATE"),""))</f>
        <v/>
      </c>
      <c r="O242" s="13" t="str">
        <f aca="false">IF(A242="","",MAX(B242+0,C242+0))</f>
        <v/>
      </c>
      <c r="P242" s="0" t="str">
        <f aca="true">IF(A242="","",IF(OR(K242="Approved",K242="Denied",K242="Withdrawn"),"",TODAY()-O242))</f>
        <v/>
      </c>
    </row>
    <row r="243" customFormat="false" ht="15" hidden="false" customHeight="false" outlineLevel="0" collapsed="false">
      <c r="D243" s="0" t="str">
        <f aca="false">IF(A243="","",IF(AND(B243&lt;&gt;"",C243&lt;&gt;""),C243-B243,""))</f>
        <v/>
      </c>
      <c r="F243" s="0" t="str">
        <f aca="false">IF(A243="","",IF(AND(D243&lt;&gt;"",E243&lt;&gt;""),IF(D243&lt;=E243,"Yes","NO - LATE"),""))</f>
        <v/>
      </c>
      <c r="O243" s="13" t="str">
        <f aca="false">IF(A243="","",MAX(B243+0,C243+0))</f>
        <v/>
      </c>
      <c r="P243" s="0" t="str">
        <f aca="true">IF(A243="","",IF(OR(K243="Approved",K243="Denied",K243="Withdrawn"),"",TODAY()-O243))</f>
        <v/>
      </c>
    </row>
    <row r="244" customFormat="false" ht="15" hidden="false" customHeight="false" outlineLevel="0" collapsed="false">
      <c r="D244" s="0" t="str">
        <f aca="false">IF(A244="","",IF(AND(B244&lt;&gt;"",C244&lt;&gt;""),C244-B244,""))</f>
        <v/>
      </c>
      <c r="F244" s="0" t="str">
        <f aca="false">IF(A244="","",IF(AND(D244&lt;&gt;"",E244&lt;&gt;""),IF(D244&lt;=E244,"Yes","NO - LATE"),""))</f>
        <v/>
      </c>
      <c r="O244" s="13" t="str">
        <f aca="false">IF(A244="","",MAX(B244+0,C244+0))</f>
        <v/>
      </c>
      <c r="P244" s="0" t="str">
        <f aca="true">IF(A244="","",IF(OR(K244="Approved",K244="Denied",K244="Withdrawn"),"",TODAY()-O244))</f>
        <v/>
      </c>
    </row>
    <row r="245" customFormat="false" ht="15" hidden="false" customHeight="false" outlineLevel="0" collapsed="false">
      <c r="D245" s="0" t="str">
        <f aca="false">IF(A245="","",IF(AND(B245&lt;&gt;"",C245&lt;&gt;""),C245-B245,""))</f>
        <v/>
      </c>
      <c r="F245" s="0" t="str">
        <f aca="false">IF(A245="","",IF(AND(D245&lt;&gt;"",E245&lt;&gt;""),IF(D245&lt;=E245,"Yes","NO - LATE"),""))</f>
        <v/>
      </c>
      <c r="O245" s="13" t="str">
        <f aca="false">IF(A245="","",MAX(B245+0,C245+0))</f>
        <v/>
      </c>
      <c r="P245" s="0" t="str">
        <f aca="true">IF(A245="","",IF(OR(K245="Approved",K245="Denied",K245="Withdrawn"),"",TODAY()-O245))</f>
        <v/>
      </c>
    </row>
    <row r="246" customFormat="false" ht="15" hidden="false" customHeight="false" outlineLevel="0" collapsed="false">
      <c r="D246" s="0" t="str">
        <f aca="false">IF(A246="","",IF(AND(B246&lt;&gt;"",C246&lt;&gt;""),C246-B246,""))</f>
        <v/>
      </c>
      <c r="F246" s="0" t="str">
        <f aca="false">IF(A246="","",IF(AND(D246&lt;&gt;"",E246&lt;&gt;""),IF(D246&lt;=E246,"Yes","NO - LATE"),""))</f>
        <v/>
      </c>
      <c r="O246" s="13" t="str">
        <f aca="false">IF(A246="","",MAX(B246+0,C246+0))</f>
        <v/>
      </c>
      <c r="P246" s="0" t="str">
        <f aca="true">IF(A246="","",IF(OR(K246="Approved",K246="Denied",K246="Withdrawn"),"",TODAY()-O246))</f>
        <v/>
      </c>
    </row>
    <row r="247" customFormat="false" ht="15" hidden="false" customHeight="false" outlineLevel="0" collapsed="false">
      <c r="D247" s="0" t="str">
        <f aca="false">IF(A247="","",IF(AND(B247&lt;&gt;"",C247&lt;&gt;""),C247-B247,""))</f>
        <v/>
      </c>
      <c r="F247" s="0" t="str">
        <f aca="false">IF(A247="","",IF(AND(D247&lt;&gt;"",E247&lt;&gt;""),IF(D247&lt;=E247,"Yes","NO - LATE"),""))</f>
        <v/>
      </c>
      <c r="O247" s="13" t="str">
        <f aca="false">IF(A247="","",MAX(B247+0,C247+0))</f>
        <v/>
      </c>
      <c r="P247" s="0" t="str">
        <f aca="true">IF(A247="","",IF(OR(K247="Approved",K247="Denied",K247="Withdrawn"),"",TODAY()-O247))</f>
        <v/>
      </c>
    </row>
    <row r="248" customFormat="false" ht="15" hidden="false" customHeight="false" outlineLevel="0" collapsed="false">
      <c r="D248" s="0" t="str">
        <f aca="false">IF(A248="","",IF(AND(B248&lt;&gt;"",C248&lt;&gt;""),C248-B248,""))</f>
        <v/>
      </c>
      <c r="F248" s="0" t="str">
        <f aca="false">IF(A248="","",IF(AND(D248&lt;&gt;"",E248&lt;&gt;""),IF(D248&lt;=E248,"Yes","NO - LATE"),""))</f>
        <v/>
      </c>
      <c r="O248" s="13" t="str">
        <f aca="false">IF(A248="","",MAX(B248+0,C248+0))</f>
        <v/>
      </c>
      <c r="P248" s="0" t="str">
        <f aca="true">IF(A248="","",IF(OR(K248="Approved",K248="Denied",K248="Withdrawn"),"",TODAY()-O248))</f>
        <v/>
      </c>
    </row>
    <row r="249" customFormat="false" ht="15" hidden="false" customHeight="false" outlineLevel="0" collapsed="false">
      <c r="D249" s="0" t="str">
        <f aca="false">IF(A249="","",IF(AND(B249&lt;&gt;"",C249&lt;&gt;""),C249-B249,""))</f>
        <v/>
      </c>
      <c r="F249" s="0" t="str">
        <f aca="false">IF(A249="","",IF(AND(D249&lt;&gt;"",E249&lt;&gt;""),IF(D249&lt;=E249,"Yes","NO - LATE"),""))</f>
        <v/>
      </c>
      <c r="O249" s="13" t="str">
        <f aca="false">IF(A249="","",MAX(B249+0,C249+0))</f>
        <v/>
      </c>
      <c r="P249" s="0" t="str">
        <f aca="true">IF(A249="","",IF(OR(K249="Approved",K249="Denied",K249="Withdrawn"),"",TODAY()-O249))</f>
        <v/>
      </c>
    </row>
    <row r="250" customFormat="false" ht="15" hidden="false" customHeight="false" outlineLevel="0" collapsed="false">
      <c r="D250" s="0" t="str">
        <f aca="false">IF(A250="","",IF(AND(B250&lt;&gt;"",C250&lt;&gt;""),C250-B250,""))</f>
        <v/>
      </c>
      <c r="F250" s="0" t="str">
        <f aca="false">IF(A250="","",IF(AND(D250&lt;&gt;"",E250&lt;&gt;""),IF(D250&lt;=E250,"Yes","NO - LATE"),""))</f>
        <v/>
      </c>
      <c r="O250" s="13" t="str">
        <f aca="false">IF(A250="","",MAX(B250+0,C250+0))</f>
        <v/>
      </c>
      <c r="P250" s="0" t="str">
        <f aca="true">IF(A250="","",IF(OR(K250="Approved",K250="Denied",K250="Withdrawn"),"",TODAY()-O250))</f>
        <v/>
      </c>
    </row>
    <row r="251" customFormat="false" ht="15" hidden="false" customHeight="false" outlineLevel="0" collapsed="false">
      <c r="D251" s="0" t="str">
        <f aca="false">IF(A251="","",IF(AND(B251&lt;&gt;"",C251&lt;&gt;""),C251-B251,""))</f>
        <v/>
      </c>
      <c r="F251" s="0" t="str">
        <f aca="false">IF(A251="","",IF(AND(D251&lt;&gt;"",E251&lt;&gt;""),IF(D251&lt;=E251,"Yes","NO - LATE"),""))</f>
        <v/>
      </c>
      <c r="O251" s="13" t="str">
        <f aca="false">IF(A251="","",MAX(B251+0,C251+0))</f>
        <v/>
      </c>
      <c r="P251" s="0" t="str">
        <f aca="true">IF(A251="","",IF(OR(K251="Approved",K251="Denied",K251="Withdrawn"),"",TODAY()-O251))</f>
        <v/>
      </c>
    </row>
    <row r="252" customFormat="false" ht="15" hidden="false" customHeight="false" outlineLevel="0" collapsed="false">
      <c r="D252" s="0" t="str">
        <f aca="false">IF(A252="","",IF(AND(B252&lt;&gt;"",C252&lt;&gt;""),C252-B252,""))</f>
        <v/>
      </c>
      <c r="F252" s="0" t="str">
        <f aca="false">IF(A252="","",IF(AND(D252&lt;&gt;"",E252&lt;&gt;""),IF(D252&lt;=E252,"Yes","NO - LATE"),""))</f>
        <v/>
      </c>
      <c r="O252" s="13" t="str">
        <f aca="false">IF(A252="","",MAX(B252+0,C252+0))</f>
        <v/>
      </c>
      <c r="P252" s="0" t="str">
        <f aca="true">IF(A252="","",IF(OR(K252="Approved",K252="Denied",K252="Withdrawn"),"",TODAY()-O252))</f>
        <v/>
      </c>
    </row>
    <row r="253" customFormat="false" ht="15" hidden="false" customHeight="false" outlineLevel="0" collapsed="false">
      <c r="D253" s="0" t="str">
        <f aca="false">IF(A253="","",IF(AND(B253&lt;&gt;"",C253&lt;&gt;""),C253-B253,""))</f>
        <v/>
      </c>
      <c r="F253" s="0" t="str">
        <f aca="false">IF(A253="","",IF(AND(D253&lt;&gt;"",E253&lt;&gt;""),IF(D253&lt;=E253,"Yes","NO - LATE"),""))</f>
        <v/>
      </c>
      <c r="O253" s="13" t="str">
        <f aca="false">IF(A253="","",MAX(B253+0,C253+0))</f>
        <v/>
      </c>
      <c r="P253" s="0" t="str">
        <f aca="true">IF(A253="","",IF(OR(K253="Approved",K253="Denied",K253="Withdrawn"),"",TODAY()-O253))</f>
        <v/>
      </c>
    </row>
    <row r="254" customFormat="false" ht="15" hidden="false" customHeight="false" outlineLevel="0" collapsed="false">
      <c r="D254" s="0" t="str">
        <f aca="false">IF(A254="","",IF(AND(B254&lt;&gt;"",C254&lt;&gt;""),C254-B254,""))</f>
        <v/>
      </c>
      <c r="F254" s="0" t="str">
        <f aca="false">IF(A254="","",IF(AND(D254&lt;&gt;"",E254&lt;&gt;""),IF(D254&lt;=E254,"Yes","NO - LATE"),""))</f>
        <v/>
      </c>
      <c r="O254" s="13" t="str">
        <f aca="false">IF(A254="","",MAX(B254+0,C254+0))</f>
        <v/>
      </c>
      <c r="P254" s="0" t="str">
        <f aca="true">IF(A254="","",IF(OR(K254="Approved",K254="Denied",K254="Withdrawn"),"",TODAY()-O254))</f>
        <v/>
      </c>
    </row>
    <row r="255" customFormat="false" ht="15" hidden="false" customHeight="false" outlineLevel="0" collapsed="false">
      <c r="D255" s="0" t="str">
        <f aca="false">IF(A255="","",IF(AND(B255&lt;&gt;"",C255&lt;&gt;""),C255-B255,""))</f>
        <v/>
      </c>
      <c r="F255" s="0" t="str">
        <f aca="false">IF(A255="","",IF(AND(D255&lt;&gt;"",E255&lt;&gt;""),IF(D255&lt;=E255,"Yes","NO - LATE"),""))</f>
        <v/>
      </c>
      <c r="O255" s="13" t="str">
        <f aca="false">IF(A255="","",MAX(B255+0,C255+0))</f>
        <v/>
      </c>
      <c r="P255" s="0" t="str">
        <f aca="true">IF(A255="","",IF(OR(K255="Approved",K255="Denied",K255="Withdrawn"),"",TODAY()-O255))</f>
        <v/>
      </c>
    </row>
    <row r="256" customFormat="false" ht="15" hidden="false" customHeight="false" outlineLevel="0" collapsed="false">
      <c r="D256" s="0" t="str">
        <f aca="false">IF(A256="","",IF(AND(B256&lt;&gt;"",C256&lt;&gt;""),C256-B256,""))</f>
        <v/>
      </c>
      <c r="F256" s="0" t="str">
        <f aca="false">IF(A256="","",IF(AND(D256&lt;&gt;"",E256&lt;&gt;""),IF(D256&lt;=E256,"Yes","NO - LATE"),""))</f>
        <v/>
      </c>
      <c r="O256" s="13" t="str">
        <f aca="false">IF(A256="","",MAX(B256+0,C256+0))</f>
        <v/>
      </c>
      <c r="P256" s="0" t="str">
        <f aca="true">IF(A256="","",IF(OR(K256="Approved",K256="Denied",K256="Withdrawn"),"",TODAY()-O256))</f>
        <v/>
      </c>
    </row>
    <row r="257" customFormat="false" ht="15" hidden="false" customHeight="false" outlineLevel="0" collapsed="false">
      <c r="D257" s="0" t="str">
        <f aca="false">IF(A257="","",IF(AND(B257&lt;&gt;"",C257&lt;&gt;""),C257-B257,""))</f>
        <v/>
      </c>
      <c r="F257" s="0" t="str">
        <f aca="false">IF(A257="","",IF(AND(D257&lt;&gt;"",E257&lt;&gt;""),IF(D257&lt;=E257,"Yes","NO - LATE"),""))</f>
        <v/>
      </c>
      <c r="O257" s="13" t="str">
        <f aca="false">IF(A257="","",MAX(B257+0,C257+0))</f>
        <v/>
      </c>
      <c r="P257" s="0" t="str">
        <f aca="true">IF(A257="","",IF(OR(K257="Approved",K257="Denied",K257="Withdrawn"),"",TODAY()-O257))</f>
        <v/>
      </c>
    </row>
    <row r="258" customFormat="false" ht="15" hidden="false" customHeight="false" outlineLevel="0" collapsed="false">
      <c r="D258" s="0" t="str">
        <f aca="false">IF(A258="","",IF(AND(B258&lt;&gt;"",C258&lt;&gt;""),C258-B258,""))</f>
        <v/>
      </c>
      <c r="F258" s="0" t="str">
        <f aca="false">IF(A258="","",IF(AND(D258&lt;&gt;"",E258&lt;&gt;""),IF(D258&lt;=E258,"Yes","NO - LATE"),""))</f>
        <v/>
      </c>
      <c r="O258" s="13" t="str">
        <f aca="false">IF(A258="","",MAX(B258+0,C258+0))</f>
        <v/>
      </c>
      <c r="P258" s="0" t="str">
        <f aca="true">IF(A258="","",IF(OR(K258="Approved",K258="Denied",K258="Withdrawn"),"",TODAY()-O258))</f>
        <v/>
      </c>
    </row>
    <row r="259" customFormat="false" ht="15" hidden="false" customHeight="false" outlineLevel="0" collapsed="false">
      <c r="D259" s="0" t="str">
        <f aca="false">IF(A259="","",IF(AND(B259&lt;&gt;"",C259&lt;&gt;""),C259-B259,""))</f>
        <v/>
      </c>
      <c r="F259" s="0" t="str">
        <f aca="false">IF(A259="","",IF(AND(D259&lt;&gt;"",E259&lt;&gt;""),IF(D259&lt;=E259,"Yes","NO - LATE"),""))</f>
        <v/>
      </c>
      <c r="O259" s="13" t="str">
        <f aca="false">IF(A259="","",MAX(B259+0,C259+0))</f>
        <v/>
      </c>
      <c r="P259" s="0" t="str">
        <f aca="true">IF(A259="","",IF(OR(K259="Approved",K259="Denied",K259="Withdrawn"),"",TODAY()-O259))</f>
        <v/>
      </c>
    </row>
    <row r="260" customFormat="false" ht="15" hidden="false" customHeight="false" outlineLevel="0" collapsed="false">
      <c r="D260" s="0" t="str">
        <f aca="false">IF(A260="","",IF(AND(B260&lt;&gt;"",C260&lt;&gt;""),C260-B260,""))</f>
        <v/>
      </c>
      <c r="F260" s="0" t="str">
        <f aca="false">IF(A260="","",IF(AND(D260&lt;&gt;"",E260&lt;&gt;""),IF(D260&lt;=E260,"Yes","NO - LATE"),""))</f>
        <v/>
      </c>
      <c r="O260" s="13" t="str">
        <f aca="false">IF(A260="","",MAX(B260+0,C260+0))</f>
        <v/>
      </c>
      <c r="P260" s="0" t="str">
        <f aca="true">IF(A260="","",IF(OR(K260="Approved",K260="Denied",K260="Withdrawn"),"",TODAY()-O260))</f>
        <v/>
      </c>
    </row>
    <row r="261" customFormat="false" ht="15" hidden="false" customHeight="false" outlineLevel="0" collapsed="false">
      <c r="D261" s="0" t="str">
        <f aca="false">IF(A261="","",IF(AND(B261&lt;&gt;"",C261&lt;&gt;""),C261-B261,""))</f>
        <v/>
      </c>
      <c r="F261" s="0" t="str">
        <f aca="false">IF(A261="","",IF(AND(D261&lt;&gt;"",E261&lt;&gt;""),IF(D261&lt;=E261,"Yes","NO - LATE"),""))</f>
        <v/>
      </c>
      <c r="O261" s="13" t="str">
        <f aca="false">IF(A261="","",MAX(B261+0,C261+0))</f>
        <v/>
      </c>
      <c r="P261" s="0" t="str">
        <f aca="true">IF(A261="","",IF(OR(K261="Approved",K261="Denied",K261="Withdrawn"),"",TODAY()-O261))</f>
        <v/>
      </c>
    </row>
    <row r="262" customFormat="false" ht="15" hidden="false" customHeight="false" outlineLevel="0" collapsed="false">
      <c r="D262" s="0" t="str">
        <f aca="false">IF(A262="","",IF(AND(B262&lt;&gt;"",C262&lt;&gt;""),C262-B262,""))</f>
        <v/>
      </c>
      <c r="F262" s="0" t="str">
        <f aca="false">IF(A262="","",IF(AND(D262&lt;&gt;"",E262&lt;&gt;""),IF(D262&lt;=E262,"Yes","NO - LATE"),""))</f>
        <v/>
      </c>
      <c r="O262" s="13" t="str">
        <f aca="false">IF(A262="","",MAX(B262+0,C262+0))</f>
        <v/>
      </c>
      <c r="P262" s="0" t="str">
        <f aca="true">IF(A262="","",IF(OR(K262="Approved",K262="Denied",K262="Withdrawn"),"",TODAY()-O262))</f>
        <v/>
      </c>
    </row>
    <row r="263" customFormat="false" ht="15" hidden="false" customHeight="false" outlineLevel="0" collapsed="false">
      <c r="D263" s="0" t="str">
        <f aca="false">IF(A263="","",IF(AND(B263&lt;&gt;"",C263&lt;&gt;""),C263-B263,""))</f>
        <v/>
      </c>
      <c r="F263" s="0" t="str">
        <f aca="false">IF(A263="","",IF(AND(D263&lt;&gt;"",E263&lt;&gt;""),IF(D263&lt;=E263,"Yes","NO - LATE"),""))</f>
        <v/>
      </c>
      <c r="O263" s="13" t="str">
        <f aca="false">IF(A263="","",MAX(B263+0,C263+0))</f>
        <v/>
      </c>
      <c r="P263" s="0" t="str">
        <f aca="true">IF(A263="","",IF(OR(K263="Approved",K263="Denied",K263="Withdrawn"),"",TODAY()-O263))</f>
        <v/>
      </c>
    </row>
    <row r="264" customFormat="false" ht="15" hidden="false" customHeight="false" outlineLevel="0" collapsed="false">
      <c r="D264" s="0" t="str">
        <f aca="false">IF(A264="","",IF(AND(B264&lt;&gt;"",C264&lt;&gt;""),C264-B264,""))</f>
        <v/>
      </c>
      <c r="F264" s="0" t="str">
        <f aca="false">IF(A264="","",IF(AND(D264&lt;&gt;"",E264&lt;&gt;""),IF(D264&lt;=E264,"Yes","NO - LATE"),""))</f>
        <v/>
      </c>
      <c r="O264" s="13" t="str">
        <f aca="false">IF(A264="","",MAX(B264+0,C264+0))</f>
        <v/>
      </c>
      <c r="P264" s="0" t="str">
        <f aca="true">IF(A264="","",IF(OR(K264="Approved",K264="Denied",K264="Withdrawn"),"",TODAY()-O264))</f>
        <v/>
      </c>
    </row>
    <row r="265" customFormat="false" ht="15" hidden="false" customHeight="false" outlineLevel="0" collapsed="false">
      <c r="D265" s="0" t="str">
        <f aca="false">IF(A265="","",IF(AND(B265&lt;&gt;"",C265&lt;&gt;""),C265-B265,""))</f>
        <v/>
      </c>
      <c r="F265" s="0" t="str">
        <f aca="false">IF(A265="","",IF(AND(D265&lt;&gt;"",E265&lt;&gt;""),IF(D265&lt;=E265,"Yes","NO - LATE"),""))</f>
        <v/>
      </c>
      <c r="O265" s="13" t="str">
        <f aca="false">IF(A265="","",MAX(B265+0,C265+0))</f>
        <v/>
      </c>
      <c r="P265" s="0" t="str">
        <f aca="true">IF(A265="","",IF(OR(K265="Approved",K265="Denied",K265="Withdrawn"),"",TODAY()-O265))</f>
        <v/>
      </c>
    </row>
    <row r="266" customFormat="false" ht="15" hidden="false" customHeight="false" outlineLevel="0" collapsed="false">
      <c r="D266" s="0" t="str">
        <f aca="false">IF(A266="","",IF(AND(B266&lt;&gt;"",C266&lt;&gt;""),C266-B266,""))</f>
        <v/>
      </c>
      <c r="F266" s="0" t="str">
        <f aca="false">IF(A266="","",IF(AND(D266&lt;&gt;"",E266&lt;&gt;""),IF(D266&lt;=E266,"Yes","NO - LATE"),""))</f>
        <v/>
      </c>
      <c r="O266" s="13" t="str">
        <f aca="false">IF(A266="","",MAX(B266+0,C266+0))</f>
        <v/>
      </c>
      <c r="P266" s="0" t="str">
        <f aca="true">IF(A266="","",IF(OR(K266="Approved",K266="Denied",K266="Withdrawn"),"",TODAY()-O266))</f>
        <v/>
      </c>
    </row>
    <row r="267" customFormat="false" ht="15" hidden="false" customHeight="false" outlineLevel="0" collapsed="false">
      <c r="D267" s="0" t="str">
        <f aca="false">IF(A267="","",IF(AND(B267&lt;&gt;"",C267&lt;&gt;""),C267-B267,""))</f>
        <v/>
      </c>
      <c r="F267" s="0" t="str">
        <f aca="false">IF(A267="","",IF(AND(D267&lt;&gt;"",E267&lt;&gt;""),IF(D267&lt;=E267,"Yes","NO - LATE"),""))</f>
        <v/>
      </c>
      <c r="O267" s="13" t="str">
        <f aca="false">IF(A267="","",MAX(B267+0,C267+0))</f>
        <v/>
      </c>
      <c r="P267" s="0" t="str">
        <f aca="true">IF(A267="","",IF(OR(K267="Approved",K267="Denied",K267="Withdrawn"),"",TODAY()-O267))</f>
        <v/>
      </c>
    </row>
    <row r="268" customFormat="false" ht="15" hidden="false" customHeight="false" outlineLevel="0" collapsed="false">
      <c r="D268" s="0" t="str">
        <f aca="false">IF(A268="","",IF(AND(B268&lt;&gt;"",C268&lt;&gt;""),C268-B268,""))</f>
        <v/>
      </c>
      <c r="F268" s="0" t="str">
        <f aca="false">IF(A268="","",IF(AND(D268&lt;&gt;"",E268&lt;&gt;""),IF(D268&lt;=E268,"Yes","NO - LATE"),""))</f>
        <v/>
      </c>
      <c r="O268" s="13" t="str">
        <f aca="false">IF(A268="","",MAX(B268+0,C268+0))</f>
        <v/>
      </c>
      <c r="P268" s="0" t="str">
        <f aca="true">IF(A268="","",IF(OR(K268="Approved",K268="Denied",K268="Withdrawn"),"",TODAY()-O268))</f>
        <v/>
      </c>
    </row>
    <row r="269" customFormat="false" ht="15" hidden="false" customHeight="false" outlineLevel="0" collapsed="false">
      <c r="D269" s="0" t="str">
        <f aca="false">IF(A269="","",IF(AND(B269&lt;&gt;"",C269&lt;&gt;""),C269-B269,""))</f>
        <v/>
      </c>
      <c r="F269" s="0" t="str">
        <f aca="false">IF(A269="","",IF(AND(D269&lt;&gt;"",E269&lt;&gt;""),IF(D269&lt;=E269,"Yes","NO - LATE"),""))</f>
        <v/>
      </c>
      <c r="O269" s="13" t="str">
        <f aca="false">IF(A269="","",MAX(B269+0,C269+0))</f>
        <v/>
      </c>
      <c r="P269" s="0" t="str">
        <f aca="true">IF(A269="","",IF(OR(K269="Approved",K269="Denied",K269="Withdrawn"),"",TODAY()-O269))</f>
        <v/>
      </c>
    </row>
    <row r="270" customFormat="false" ht="15" hidden="false" customHeight="false" outlineLevel="0" collapsed="false">
      <c r="D270" s="0" t="str">
        <f aca="false">IF(A270="","",IF(AND(B270&lt;&gt;"",C270&lt;&gt;""),C270-B270,""))</f>
        <v/>
      </c>
      <c r="F270" s="0" t="str">
        <f aca="false">IF(A270="","",IF(AND(D270&lt;&gt;"",E270&lt;&gt;""),IF(D270&lt;=E270,"Yes","NO - LATE"),""))</f>
        <v/>
      </c>
      <c r="O270" s="13" t="str">
        <f aca="false">IF(A270="","",MAX(B270+0,C270+0))</f>
        <v/>
      </c>
      <c r="P270" s="0" t="str">
        <f aca="true">IF(A270="","",IF(OR(K270="Approved",K270="Denied",K270="Withdrawn"),"",TODAY()-O270))</f>
        <v/>
      </c>
    </row>
    <row r="271" customFormat="false" ht="15" hidden="false" customHeight="false" outlineLevel="0" collapsed="false">
      <c r="D271" s="0" t="str">
        <f aca="false">IF(A271="","",IF(AND(B271&lt;&gt;"",C271&lt;&gt;""),C271-B271,""))</f>
        <v/>
      </c>
      <c r="F271" s="0" t="str">
        <f aca="false">IF(A271="","",IF(AND(D271&lt;&gt;"",E271&lt;&gt;""),IF(D271&lt;=E271,"Yes","NO - LATE"),""))</f>
        <v/>
      </c>
      <c r="O271" s="13" t="str">
        <f aca="false">IF(A271="","",MAX(B271+0,C271+0))</f>
        <v/>
      </c>
      <c r="P271" s="0" t="str">
        <f aca="true">IF(A271="","",IF(OR(K271="Approved",K271="Denied",K271="Withdrawn"),"",TODAY()-O271))</f>
        <v/>
      </c>
    </row>
    <row r="272" customFormat="false" ht="15" hidden="false" customHeight="false" outlineLevel="0" collapsed="false">
      <c r="D272" s="0" t="str">
        <f aca="false">IF(A272="","",IF(AND(B272&lt;&gt;"",C272&lt;&gt;""),C272-B272,""))</f>
        <v/>
      </c>
      <c r="F272" s="0" t="str">
        <f aca="false">IF(A272="","",IF(AND(D272&lt;&gt;"",E272&lt;&gt;""),IF(D272&lt;=E272,"Yes","NO - LATE"),""))</f>
        <v/>
      </c>
      <c r="O272" s="13" t="str">
        <f aca="false">IF(A272="","",MAX(B272+0,C272+0))</f>
        <v/>
      </c>
      <c r="P272" s="0" t="str">
        <f aca="true">IF(A272="","",IF(OR(K272="Approved",K272="Denied",K272="Withdrawn"),"",TODAY()-O272))</f>
        <v/>
      </c>
    </row>
    <row r="273" customFormat="false" ht="15" hidden="false" customHeight="false" outlineLevel="0" collapsed="false">
      <c r="D273" s="0" t="str">
        <f aca="false">IF(A273="","",IF(AND(B273&lt;&gt;"",C273&lt;&gt;""),C273-B273,""))</f>
        <v/>
      </c>
      <c r="F273" s="0" t="str">
        <f aca="false">IF(A273="","",IF(AND(D273&lt;&gt;"",E273&lt;&gt;""),IF(D273&lt;=E273,"Yes","NO - LATE"),""))</f>
        <v/>
      </c>
      <c r="O273" s="13" t="str">
        <f aca="false">IF(A273="","",MAX(B273+0,C273+0))</f>
        <v/>
      </c>
      <c r="P273" s="0" t="str">
        <f aca="true">IF(A273="","",IF(OR(K273="Approved",K273="Denied",K273="Withdrawn"),"",TODAY()-O273))</f>
        <v/>
      </c>
    </row>
    <row r="274" customFormat="false" ht="15" hidden="false" customHeight="false" outlineLevel="0" collapsed="false">
      <c r="D274" s="0" t="str">
        <f aca="false">IF(A274="","",IF(AND(B274&lt;&gt;"",C274&lt;&gt;""),C274-B274,""))</f>
        <v/>
      </c>
      <c r="F274" s="0" t="str">
        <f aca="false">IF(A274="","",IF(AND(D274&lt;&gt;"",E274&lt;&gt;""),IF(D274&lt;=E274,"Yes","NO - LATE"),""))</f>
        <v/>
      </c>
      <c r="O274" s="13" t="str">
        <f aca="false">IF(A274="","",MAX(B274+0,C274+0))</f>
        <v/>
      </c>
      <c r="P274" s="0" t="str">
        <f aca="true">IF(A274="","",IF(OR(K274="Approved",K274="Denied",K274="Withdrawn"),"",TODAY()-O274))</f>
        <v/>
      </c>
    </row>
    <row r="275" customFormat="false" ht="15" hidden="false" customHeight="false" outlineLevel="0" collapsed="false">
      <c r="D275" s="0" t="str">
        <f aca="false">IF(A275="","",IF(AND(B275&lt;&gt;"",C275&lt;&gt;""),C275-B275,""))</f>
        <v/>
      </c>
      <c r="F275" s="0" t="str">
        <f aca="false">IF(A275="","",IF(AND(D275&lt;&gt;"",E275&lt;&gt;""),IF(D275&lt;=E275,"Yes","NO - LATE"),""))</f>
        <v/>
      </c>
      <c r="O275" s="13" t="str">
        <f aca="false">IF(A275="","",MAX(B275+0,C275+0))</f>
        <v/>
      </c>
      <c r="P275" s="0" t="str">
        <f aca="true">IF(A275="","",IF(OR(K275="Approved",K275="Denied",K275="Withdrawn"),"",TODAY()-O275))</f>
        <v/>
      </c>
    </row>
    <row r="276" customFormat="false" ht="15" hidden="false" customHeight="false" outlineLevel="0" collapsed="false">
      <c r="D276" s="0" t="str">
        <f aca="false">IF(A276="","",IF(AND(B276&lt;&gt;"",C276&lt;&gt;""),C276-B276,""))</f>
        <v/>
      </c>
      <c r="F276" s="0" t="str">
        <f aca="false">IF(A276="","",IF(AND(D276&lt;&gt;"",E276&lt;&gt;""),IF(D276&lt;=E276,"Yes","NO - LATE"),""))</f>
        <v/>
      </c>
      <c r="O276" s="13" t="str">
        <f aca="false">IF(A276="","",MAX(B276+0,C276+0))</f>
        <v/>
      </c>
      <c r="P276" s="0" t="str">
        <f aca="true">IF(A276="","",IF(OR(K276="Approved",K276="Denied",K276="Withdrawn"),"",TODAY()-O276))</f>
        <v/>
      </c>
    </row>
    <row r="277" customFormat="false" ht="15" hidden="false" customHeight="false" outlineLevel="0" collapsed="false">
      <c r="D277" s="0" t="str">
        <f aca="false">IF(A277="","",IF(AND(B277&lt;&gt;"",C277&lt;&gt;""),C277-B277,""))</f>
        <v/>
      </c>
      <c r="F277" s="0" t="str">
        <f aca="false">IF(A277="","",IF(AND(D277&lt;&gt;"",E277&lt;&gt;""),IF(D277&lt;=E277,"Yes","NO - LATE"),""))</f>
        <v/>
      </c>
      <c r="O277" s="13" t="str">
        <f aca="false">IF(A277="","",MAX(B277+0,C277+0))</f>
        <v/>
      </c>
      <c r="P277" s="0" t="str">
        <f aca="true">IF(A277="","",IF(OR(K277="Approved",K277="Denied",K277="Withdrawn"),"",TODAY()-O277))</f>
        <v/>
      </c>
    </row>
    <row r="278" customFormat="false" ht="15" hidden="false" customHeight="false" outlineLevel="0" collapsed="false">
      <c r="D278" s="0" t="str">
        <f aca="false">IF(A278="","",IF(AND(B278&lt;&gt;"",C278&lt;&gt;""),C278-B278,""))</f>
        <v/>
      </c>
      <c r="F278" s="0" t="str">
        <f aca="false">IF(A278="","",IF(AND(D278&lt;&gt;"",E278&lt;&gt;""),IF(D278&lt;=E278,"Yes","NO - LATE"),""))</f>
        <v/>
      </c>
      <c r="O278" s="13" t="str">
        <f aca="false">IF(A278="","",MAX(B278+0,C278+0))</f>
        <v/>
      </c>
      <c r="P278" s="0" t="str">
        <f aca="true">IF(A278="","",IF(OR(K278="Approved",K278="Denied",K278="Withdrawn"),"",TODAY()-O278))</f>
        <v/>
      </c>
    </row>
    <row r="279" customFormat="false" ht="15" hidden="false" customHeight="false" outlineLevel="0" collapsed="false">
      <c r="D279" s="0" t="str">
        <f aca="false">IF(A279="","",IF(AND(B279&lt;&gt;"",C279&lt;&gt;""),C279-B279,""))</f>
        <v/>
      </c>
      <c r="F279" s="0" t="str">
        <f aca="false">IF(A279="","",IF(AND(D279&lt;&gt;"",E279&lt;&gt;""),IF(D279&lt;=E279,"Yes","NO - LATE"),""))</f>
        <v/>
      </c>
      <c r="O279" s="13" t="str">
        <f aca="false">IF(A279="","",MAX(B279+0,C279+0))</f>
        <v/>
      </c>
      <c r="P279" s="0" t="str">
        <f aca="true">IF(A279="","",IF(OR(K279="Approved",K279="Denied",K279="Withdrawn"),"",TODAY()-O279))</f>
        <v/>
      </c>
    </row>
    <row r="280" customFormat="false" ht="15" hidden="false" customHeight="false" outlineLevel="0" collapsed="false">
      <c r="D280" s="0" t="str">
        <f aca="false">IF(A280="","",IF(AND(B280&lt;&gt;"",C280&lt;&gt;""),C280-B280,""))</f>
        <v/>
      </c>
      <c r="F280" s="0" t="str">
        <f aca="false">IF(A280="","",IF(AND(D280&lt;&gt;"",E280&lt;&gt;""),IF(D280&lt;=E280,"Yes","NO - LATE"),""))</f>
        <v/>
      </c>
      <c r="O280" s="13" t="str">
        <f aca="false">IF(A280="","",MAX(B280+0,C280+0))</f>
        <v/>
      </c>
      <c r="P280" s="0" t="str">
        <f aca="true">IF(A280="","",IF(OR(K280="Approved",K280="Denied",K280="Withdrawn"),"",TODAY()-O280))</f>
        <v/>
      </c>
    </row>
    <row r="281" customFormat="false" ht="15" hidden="false" customHeight="false" outlineLevel="0" collapsed="false">
      <c r="D281" s="0" t="str">
        <f aca="false">IF(A281="","",IF(AND(B281&lt;&gt;"",C281&lt;&gt;""),C281-B281,""))</f>
        <v/>
      </c>
      <c r="F281" s="0" t="str">
        <f aca="false">IF(A281="","",IF(AND(D281&lt;&gt;"",E281&lt;&gt;""),IF(D281&lt;=E281,"Yes","NO - LATE"),""))</f>
        <v/>
      </c>
      <c r="O281" s="13" t="str">
        <f aca="false">IF(A281="","",MAX(B281+0,C281+0))</f>
        <v/>
      </c>
      <c r="P281" s="0" t="str">
        <f aca="true">IF(A281="","",IF(OR(K281="Approved",K281="Denied",K281="Withdrawn"),"",TODAY()-O281))</f>
        <v/>
      </c>
    </row>
    <row r="282" customFormat="false" ht="15" hidden="false" customHeight="false" outlineLevel="0" collapsed="false">
      <c r="D282" s="0" t="str">
        <f aca="false">IF(A282="","",IF(AND(B282&lt;&gt;"",C282&lt;&gt;""),C282-B282,""))</f>
        <v/>
      </c>
      <c r="F282" s="0" t="str">
        <f aca="false">IF(A282="","",IF(AND(D282&lt;&gt;"",E282&lt;&gt;""),IF(D282&lt;=E282,"Yes","NO - LATE"),""))</f>
        <v/>
      </c>
      <c r="O282" s="13" t="str">
        <f aca="false">IF(A282="","",MAX(B282+0,C282+0))</f>
        <v/>
      </c>
      <c r="P282" s="0" t="str">
        <f aca="true">IF(A282="","",IF(OR(K282="Approved",K282="Denied",K282="Withdrawn"),"",TODAY()-O282))</f>
        <v/>
      </c>
    </row>
    <row r="283" customFormat="false" ht="15" hidden="false" customHeight="false" outlineLevel="0" collapsed="false">
      <c r="D283" s="0" t="str">
        <f aca="false">IF(A283="","",IF(AND(B283&lt;&gt;"",C283&lt;&gt;""),C283-B283,""))</f>
        <v/>
      </c>
      <c r="F283" s="0" t="str">
        <f aca="false">IF(A283="","",IF(AND(D283&lt;&gt;"",E283&lt;&gt;""),IF(D283&lt;=E283,"Yes","NO - LATE"),""))</f>
        <v/>
      </c>
      <c r="O283" s="13" t="str">
        <f aca="false">IF(A283="","",MAX(B283+0,C283+0))</f>
        <v/>
      </c>
      <c r="P283" s="0" t="str">
        <f aca="true">IF(A283="","",IF(OR(K283="Approved",K283="Denied",K283="Withdrawn"),"",TODAY()-O283))</f>
        <v/>
      </c>
    </row>
    <row r="284" customFormat="false" ht="15" hidden="false" customHeight="false" outlineLevel="0" collapsed="false">
      <c r="D284" s="0" t="str">
        <f aca="false">IF(A284="","",IF(AND(B284&lt;&gt;"",C284&lt;&gt;""),C284-B284,""))</f>
        <v/>
      </c>
      <c r="F284" s="0" t="str">
        <f aca="false">IF(A284="","",IF(AND(D284&lt;&gt;"",E284&lt;&gt;""),IF(D284&lt;=E284,"Yes","NO - LATE"),""))</f>
        <v/>
      </c>
      <c r="O284" s="13" t="str">
        <f aca="false">IF(A284="","",MAX(B284+0,C284+0))</f>
        <v/>
      </c>
      <c r="P284" s="0" t="str">
        <f aca="true">IF(A284="","",IF(OR(K284="Approved",K284="Denied",K284="Withdrawn"),"",TODAY()-O284))</f>
        <v/>
      </c>
    </row>
    <row r="285" customFormat="false" ht="15" hidden="false" customHeight="false" outlineLevel="0" collapsed="false">
      <c r="D285" s="0" t="str">
        <f aca="false">IF(A285="","",IF(AND(B285&lt;&gt;"",C285&lt;&gt;""),C285-B285,""))</f>
        <v/>
      </c>
      <c r="F285" s="0" t="str">
        <f aca="false">IF(A285="","",IF(AND(D285&lt;&gt;"",E285&lt;&gt;""),IF(D285&lt;=E285,"Yes","NO - LATE"),""))</f>
        <v/>
      </c>
      <c r="O285" s="13" t="str">
        <f aca="false">IF(A285="","",MAX(B285+0,C285+0))</f>
        <v/>
      </c>
      <c r="P285" s="0" t="str">
        <f aca="true">IF(A285="","",IF(OR(K285="Approved",K285="Denied",K285="Withdrawn"),"",TODAY()-O285))</f>
        <v/>
      </c>
    </row>
    <row r="286" customFormat="false" ht="15" hidden="false" customHeight="false" outlineLevel="0" collapsed="false">
      <c r="D286" s="0" t="str">
        <f aca="false">IF(A286="","",IF(AND(B286&lt;&gt;"",C286&lt;&gt;""),C286-B286,""))</f>
        <v/>
      </c>
      <c r="F286" s="0" t="str">
        <f aca="false">IF(A286="","",IF(AND(D286&lt;&gt;"",E286&lt;&gt;""),IF(D286&lt;=E286,"Yes","NO - LATE"),""))</f>
        <v/>
      </c>
      <c r="O286" s="13" t="str">
        <f aca="false">IF(A286="","",MAX(B286+0,C286+0))</f>
        <v/>
      </c>
      <c r="P286" s="0" t="str">
        <f aca="true">IF(A286="","",IF(OR(K286="Approved",K286="Denied",K286="Withdrawn"),"",TODAY()-O286))</f>
        <v/>
      </c>
    </row>
    <row r="287" customFormat="false" ht="15" hidden="false" customHeight="false" outlineLevel="0" collapsed="false">
      <c r="D287" s="0" t="str">
        <f aca="false">IF(A287="","",IF(AND(B287&lt;&gt;"",C287&lt;&gt;""),C287-B287,""))</f>
        <v/>
      </c>
      <c r="F287" s="0" t="str">
        <f aca="false">IF(A287="","",IF(AND(D287&lt;&gt;"",E287&lt;&gt;""),IF(D287&lt;=E287,"Yes","NO - LATE"),""))</f>
        <v/>
      </c>
      <c r="O287" s="13" t="str">
        <f aca="false">IF(A287="","",MAX(B287+0,C287+0))</f>
        <v/>
      </c>
      <c r="P287" s="0" t="str">
        <f aca="true">IF(A287="","",IF(OR(K287="Approved",K287="Denied",K287="Withdrawn"),"",TODAY()-O287))</f>
        <v/>
      </c>
    </row>
    <row r="288" customFormat="false" ht="15" hidden="false" customHeight="false" outlineLevel="0" collapsed="false">
      <c r="D288" s="0" t="str">
        <f aca="false">IF(A288="","",IF(AND(B288&lt;&gt;"",C288&lt;&gt;""),C288-B288,""))</f>
        <v/>
      </c>
      <c r="F288" s="0" t="str">
        <f aca="false">IF(A288="","",IF(AND(D288&lt;&gt;"",E288&lt;&gt;""),IF(D288&lt;=E288,"Yes","NO - LATE"),""))</f>
        <v/>
      </c>
      <c r="O288" s="13" t="str">
        <f aca="false">IF(A288="","",MAX(B288+0,C288+0))</f>
        <v/>
      </c>
      <c r="P288" s="0" t="str">
        <f aca="true">IF(A288="","",IF(OR(K288="Approved",K288="Denied",K288="Withdrawn"),"",TODAY()-O288))</f>
        <v/>
      </c>
    </row>
    <row r="289" customFormat="false" ht="15" hidden="false" customHeight="false" outlineLevel="0" collapsed="false">
      <c r="D289" s="0" t="str">
        <f aca="false">IF(A289="","",IF(AND(B289&lt;&gt;"",C289&lt;&gt;""),C289-B289,""))</f>
        <v/>
      </c>
      <c r="F289" s="0" t="str">
        <f aca="false">IF(A289="","",IF(AND(D289&lt;&gt;"",E289&lt;&gt;""),IF(D289&lt;=E289,"Yes","NO - LATE"),""))</f>
        <v/>
      </c>
      <c r="O289" s="13" t="str">
        <f aca="false">IF(A289="","",MAX(B289+0,C289+0))</f>
        <v/>
      </c>
      <c r="P289" s="0" t="str">
        <f aca="true">IF(A289="","",IF(OR(K289="Approved",K289="Denied",K289="Withdrawn"),"",TODAY()-O289))</f>
        <v/>
      </c>
    </row>
    <row r="290" customFormat="false" ht="15" hidden="false" customHeight="false" outlineLevel="0" collapsed="false">
      <c r="D290" s="0" t="str">
        <f aca="false">IF(A290="","",IF(AND(B290&lt;&gt;"",C290&lt;&gt;""),C290-B290,""))</f>
        <v/>
      </c>
      <c r="F290" s="0" t="str">
        <f aca="false">IF(A290="","",IF(AND(D290&lt;&gt;"",E290&lt;&gt;""),IF(D290&lt;=E290,"Yes","NO - LATE"),""))</f>
        <v/>
      </c>
      <c r="O290" s="13" t="str">
        <f aca="false">IF(A290="","",MAX(B290+0,C290+0))</f>
        <v/>
      </c>
      <c r="P290" s="0" t="str">
        <f aca="true">IF(A290="","",IF(OR(K290="Approved",K290="Denied",K290="Withdrawn"),"",TODAY()-O290))</f>
        <v/>
      </c>
    </row>
    <row r="291" customFormat="false" ht="15" hidden="false" customHeight="false" outlineLevel="0" collapsed="false">
      <c r="D291" s="0" t="str">
        <f aca="false">IF(A291="","",IF(AND(B291&lt;&gt;"",C291&lt;&gt;""),C291-B291,""))</f>
        <v/>
      </c>
      <c r="F291" s="0" t="str">
        <f aca="false">IF(A291="","",IF(AND(D291&lt;&gt;"",E291&lt;&gt;""),IF(D291&lt;=E291,"Yes","NO - LATE"),""))</f>
        <v/>
      </c>
      <c r="O291" s="13" t="str">
        <f aca="false">IF(A291="","",MAX(B291+0,C291+0))</f>
        <v/>
      </c>
      <c r="P291" s="0" t="str">
        <f aca="true">IF(A291="","",IF(OR(K291="Approved",K291="Denied",K291="Withdrawn"),"",TODAY()-O291))</f>
        <v/>
      </c>
    </row>
    <row r="292" customFormat="false" ht="15" hidden="false" customHeight="false" outlineLevel="0" collapsed="false">
      <c r="D292" s="0" t="str">
        <f aca="false">IF(A292="","",IF(AND(B292&lt;&gt;"",C292&lt;&gt;""),C292-B292,""))</f>
        <v/>
      </c>
      <c r="F292" s="0" t="str">
        <f aca="false">IF(A292="","",IF(AND(D292&lt;&gt;"",E292&lt;&gt;""),IF(D292&lt;=E292,"Yes","NO - LATE"),""))</f>
        <v/>
      </c>
      <c r="O292" s="13" t="str">
        <f aca="false">IF(A292="","",MAX(B292+0,C292+0))</f>
        <v/>
      </c>
      <c r="P292" s="0" t="str">
        <f aca="true">IF(A292="","",IF(OR(K292="Approved",K292="Denied",K292="Withdrawn"),"",TODAY()-O292))</f>
        <v/>
      </c>
    </row>
    <row r="293" customFormat="false" ht="15" hidden="false" customHeight="false" outlineLevel="0" collapsed="false">
      <c r="D293" s="0" t="str">
        <f aca="false">IF(A293="","",IF(AND(B293&lt;&gt;"",C293&lt;&gt;""),C293-B293,""))</f>
        <v/>
      </c>
      <c r="F293" s="0" t="str">
        <f aca="false">IF(A293="","",IF(AND(D293&lt;&gt;"",E293&lt;&gt;""),IF(D293&lt;=E293,"Yes","NO - LATE"),""))</f>
        <v/>
      </c>
      <c r="O293" s="13" t="str">
        <f aca="false">IF(A293="","",MAX(B293+0,C293+0))</f>
        <v/>
      </c>
      <c r="P293" s="0" t="str">
        <f aca="true">IF(A293="","",IF(OR(K293="Approved",K293="Denied",K293="Withdrawn"),"",TODAY()-O293))</f>
        <v/>
      </c>
    </row>
    <row r="294" customFormat="false" ht="15" hidden="false" customHeight="false" outlineLevel="0" collapsed="false">
      <c r="D294" s="0" t="str">
        <f aca="false">IF(A294="","",IF(AND(B294&lt;&gt;"",C294&lt;&gt;""),C294-B294,""))</f>
        <v/>
      </c>
      <c r="F294" s="0" t="str">
        <f aca="false">IF(A294="","",IF(AND(D294&lt;&gt;"",E294&lt;&gt;""),IF(D294&lt;=E294,"Yes","NO - LATE"),""))</f>
        <v/>
      </c>
      <c r="O294" s="13" t="str">
        <f aca="false">IF(A294="","",MAX(B294+0,C294+0))</f>
        <v/>
      </c>
      <c r="P294" s="0" t="str">
        <f aca="true">IF(A294="","",IF(OR(K294="Approved",K294="Denied",K294="Withdrawn"),"",TODAY()-O294))</f>
        <v/>
      </c>
    </row>
    <row r="295" customFormat="false" ht="15" hidden="false" customHeight="false" outlineLevel="0" collapsed="false">
      <c r="D295" s="0" t="str">
        <f aca="false">IF(A295="","",IF(AND(B295&lt;&gt;"",C295&lt;&gt;""),C295-B295,""))</f>
        <v/>
      </c>
      <c r="F295" s="0" t="str">
        <f aca="false">IF(A295="","",IF(AND(D295&lt;&gt;"",E295&lt;&gt;""),IF(D295&lt;=E295,"Yes","NO - LATE"),""))</f>
        <v/>
      </c>
      <c r="O295" s="13" t="str">
        <f aca="false">IF(A295="","",MAX(B295+0,C295+0))</f>
        <v/>
      </c>
      <c r="P295" s="0" t="str">
        <f aca="true">IF(A295="","",IF(OR(K295="Approved",K295="Denied",K295="Withdrawn"),"",TODAY()-O295))</f>
        <v/>
      </c>
    </row>
    <row r="296" customFormat="false" ht="15" hidden="false" customHeight="false" outlineLevel="0" collapsed="false">
      <c r="D296" s="0" t="str">
        <f aca="false">IF(A296="","",IF(AND(B296&lt;&gt;"",C296&lt;&gt;""),C296-B296,""))</f>
        <v/>
      </c>
      <c r="F296" s="0" t="str">
        <f aca="false">IF(A296="","",IF(AND(D296&lt;&gt;"",E296&lt;&gt;""),IF(D296&lt;=E296,"Yes","NO - LATE"),""))</f>
        <v/>
      </c>
      <c r="O296" s="13" t="str">
        <f aca="false">IF(A296="","",MAX(B296+0,C296+0))</f>
        <v/>
      </c>
      <c r="P296" s="0" t="str">
        <f aca="true">IF(A296="","",IF(OR(K296="Approved",K296="Denied",K296="Withdrawn"),"",TODAY()-O296))</f>
        <v/>
      </c>
    </row>
    <row r="297" customFormat="false" ht="15" hidden="false" customHeight="false" outlineLevel="0" collapsed="false">
      <c r="D297" s="0" t="str">
        <f aca="false">IF(A297="","",IF(AND(B297&lt;&gt;"",C297&lt;&gt;""),C297-B297,""))</f>
        <v/>
      </c>
      <c r="F297" s="0" t="str">
        <f aca="false">IF(A297="","",IF(AND(D297&lt;&gt;"",E297&lt;&gt;""),IF(D297&lt;=E297,"Yes","NO - LATE"),""))</f>
        <v/>
      </c>
      <c r="O297" s="13" t="str">
        <f aca="false">IF(A297="","",MAX(B297+0,C297+0))</f>
        <v/>
      </c>
      <c r="P297" s="0" t="str">
        <f aca="true">IF(A297="","",IF(OR(K297="Approved",K297="Denied",K297="Withdrawn"),"",TODAY()-O297))</f>
        <v/>
      </c>
    </row>
    <row r="298" customFormat="false" ht="15" hidden="false" customHeight="false" outlineLevel="0" collapsed="false">
      <c r="D298" s="0" t="str">
        <f aca="false">IF(A298="","",IF(AND(B298&lt;&gt;"",C298&lt;&gt;""),C298-B298,""))</f>
        <v/>
      </c>
      <c r="F298" s="0" t="str">
        <f aca="false">IF(A298="","",IF(AND(D298&lt;&gt;"",E298&lt;&gt;""),IF(D298&lt;=E298,"Yes","NO - LATE"),""))</f>
        <v/>
      </c>
      <c r="O298" s="13" t="str">
        <f aca="false">IF(A298="","",MAX(B298+0,C298+0))</f>
        <v/>
      </c>
      <c r="P298" s="0" t="str">
        <f aca="true">IF(A298="","",IF(OR(K298="Approved",K298="Denied",K298="Withdrawn"),"",TODAY()-O298))</f>
        <v/>
      </c>
    </row>
    <row r="299" customFormat="false" ht="15" hidden="false" customHeight="false" outlineLevel="0" collapsed="false">
      <c r="D299" s="0" t="str">
        <f aca="false">IF(A299="","",IF(AND(B299&lt;&gt;"",C299&lt;&gt;""),C299-B299,""))</f>
        <v/>
      </c>
      <c r="F299" s="0" t="str">
        <f aca="false">IF(A299="","",IF(AND(D299&lt;&gt;"",E299&lt;&gt;""),IF(D299&lt;=E299,"Yes","NO - LATE"),""))</f>
        <v/>
      </c>
      <c r="O299" s="13" t="str">
        <f aca="false">IF(A299="","",MAX(B299+0,C299+0))</f>
        <v/>
      </c>
      <c r="P299" s="0" t="str">
        <f aca="true">IF(A299="","",IF(OR(K299="Approved",K299="Denied",K299="Withdrawn"),"",TODAY()-O299))</f>
        <v/>
      </c>
    </row>
    <row r="302" customFormat="false" ht="15" hidden="false" customHeight="false" outlineLevel="0" collapsed="false">
      <c r="A302" s="3" t="s">
        <v>314</v>
      </c>
    </row>
  </sheetData>
  <conditionalFormatting sqref="F2:F300">
    <cfRule type="cellIs" priority="2" operator="equal" aboveAverage="0" equalAverage="0" bottom="0" percent="0" rank="0" text="" dxfId="1">
      <formula>"NO - LATE"</formula>
    </cfRule>
  </conditionalFormatting>
  <conditionalFormatting sqref="P2:P300">
    <cfRule type="cellIs" priority="3" operator="greaterThanOrEqual" aboveAverage="0" equalAverage="0" bottom="0" percent="0" rank="0" text="" dxfId="0">
      <formula>14</formula>
    </cfRule>
  </conditionalFormatting>
  <dataValidations count="2">
    <dataValidation allowBlank="true" errorStyle="stop" operator="between" showDropDown="false" showErrorMessage="false" showInputMessage="false" sqref="K2:K500" type="list">
      <formula1>"Open,Submitted,Under Review,Approved,Denied,Withdrawn"</formula1>
      <formula2>0</formula2>
    </dataValidation>
    <dataValidation allowBlank="true" errorStyle="stop" operator="between" showDropDown="false" showErrorMessage="false" showInputMessage="false" sqref="N2:N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O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9" min="9" style="0" width="28"/>
    <col collapsed="false" customWidth="true" hidden="false" outlineLevel="0" max="10" min="10" style="0" width="14"/>
    <col collapsed="false" customWidth="true" hidden="false" outlineLevel="0" max="13" min="11" style="0" width="12"/>
    <col collapsed="false" customWidth="true" hidden="false" outlineLevel="0" max="14" min="14" style="0" width="13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9" t="s">
        <v>315</v>
      </c>
      <c r="B1" s="19" t="s">
        <v>316</v>
      </c>
      <c r="C1" s="19" t="s">
        <v>317</v>
      </c>
      <c r="D1" s="19" t="s">
        <v>234</v>
      </c>
      <c r="E1" s="19" t="s">
        <v>318</v>
      </c>
      <c r="F1" s="19" t="s">
        <v>319</v>
      </c>
      <c r="G1" s="19" t="s">
        <v>320</v>
      </c>
      <c r="H1" s="19" t="s">
        <v>321</v>
      </c>
      <c r="I1" s="19" t="s">
        <v>322</v>
      </c>
      <c r="J1" s="19" t="s">
        <v>7</v>
      </c>
      <c r="K1" s="19" t="s">
        <v>212</v>
      </c>
      <c r="L1" s="19" t="s">
        <v>258</v>
      </c>
      <c r="M1" s="19" t="s">
        <v>208</v>
      </c>
      <c r="N1" s="19" t="s">
        <v>24</v>
      </c>
      <c r="O1" s="19" t="s">
        <v>323</v>
      </c>
    </row>
    <row r="2" customFormat="false" ht="15" hidden="false" customHeight="false" outlineLevel="0" collapsed="false">
      <c r="A2" s="20" t="s">
        <v>324</v>
      </c>
      <c r="B2" s="20" t="s">
        <v>221</v>
      </c>
      <c r="C2" s="20" t="s">
        <v>325</v>
      </c>
      <c r="D2" s="20" t="s">
        <v>326</v>
      </c>
      <c r="E2" s="20" t="n">
        <v>4</v>
      </c>
      <c r="F2" s="20" t="n">
        <v>3</v>
      </c>
      <c r="G2" s="22" t="n">
        <f aca="false">IF(A2="","",IF(AND(E2&lt;&gt;"",F2&lt;&gt;""),E2*F2,""))</f>
        <v>12</v>
      </c>
      <c r="H2" s="22" t="str">
        <f aca="false">IF(G2="","",IF(G2&gt;=15,"High",IF(G2&gt;=8,"Medium","Low")))</f>
        <v>Medium</v>
      </c>
      <c r="I2" s="20" t="s">
        <v>327</v>
      </c>
      <c r="J2" s="20" t="s">
        <v>328</v>
      </c>
      <c r="K2" s="20"/>
      <c r="L2" s="20"/>
      <c r="M2" s="20" t="s">
        <v>312</v>
      </c>
      <c r="N2" s="20" t="s">
        <v>221</v>
      </c>
      <c r="O2" s="22" t="n">
        <f aca="true">IF(A2="","",IF(OR(M2="Closed",N2=""),"",TODAY()-N2))</f>
        <v>27</v>
      </c>
    </row>
    <row r="3" customFormat="false" ht="15" hidden="false" customHeight="false" outlineLevel="0" collapsed="false">
      <c r="G3" s="0" t="str">
        <f aca="false">IF(A3="","",IF(AND(E3&lt;&gt;"",F3&lt;&gt;""),E3*F3,""))</f>
        <v/>
      </c>
      <c r="H3" s="0" t="str">
        <f aca="false">IF(G3="","",IF(G3&gt;=15,"High",IF(G3&gt;=8,"Medium","Low")))</f>
        <v/>
      </c>
      <c r="O3" s="0" t="str">
        <f aca="true">IF(A3="","",IF(OR(M3="Closed",N3=""),"",TODAY()-N3))</f>
        <v/>
      </c>
    </row>
    <row r="4" customFormat="false" ht="15" hidden="false" customHeight="false" outlineLevel="0" collapsed="false">
      <c r="G4" s="0" t="str">
        <f aca="false">IF(A4="","",IF(AND(E4&lt;&gt;"",F4&lt;&gt;""),E4*F4,""))</f>
        <v/>
      </c>
      <c r="H4" s="0" t="str">
        <f aca="false">IF(G4="","",IF(G4&gt;=15,"High",IF(G4&gt;=8,"Medium","Low")))</f>
        <v/>
      </c>
      <c r="O4" s="0" t="str">
        <f aca="true">IF(A4="","",IF(OR(M4="Closed",N4=""),"",TODAY()-N4))</f>
        <v/>
      </c>
    </row>
    <row r="5" customFormat="false" ht="15" hidden="false" customHeight="false" outlineLevel="0" collapsed="false">
      <c r="G5" s="0" t="str">
        <f aca="false">IF(A5="","",IF(AND(E5&lt;&gt;"",F5&lt;&gt;""),E5*F5,""))</f>
        <v/>
      </c>
      <c r="H5" s="0" t="str">
        <f aca="false">IF(G5="","",IF(G5&gt;=15,"High",IF(G5&gt;=8,"Medium","Low")))</f>
        <v/>
      </c>
      <c r="O5" s="0" t="str">
        <f aca="true">IF(A5="","",IF(OR(M5="Closed",N5=""),"",TODAY()-N5))</f>
        <v/>
      </c>
    </row>
    <row r="6" customFormat="false" ht="15" hidden="false" customHeight="false" outlineLevel="0" collapsed="false">
      <c r="G6" s="0" t="str">
        <f aca="false">IF(A6="","",IF(AND(E6&lt;&gt;"",F6&lt;&gt;""),E6*F6,""))</f>
        <v/>
      </c>
      <c r="H6" s="0" t="str">
        <f aca="false">IF(G6="","",IF(G6&gt;=15,"High",IF(G6&gt;=8,"Medium","Low")))</f>
        <v/>
      </c>
      <c r="O6" s="0" t="str">
        <f aca="true">IF(A6="","",IF(OR(M6="Closed",N6=""),"",TODAY()-N6))</f>
        <v/>
      </c>
    </row>
    <row r="7" customFormat="false" ht="15" hidden="false" customHeight="false" outlineLevel="0" collapsed="false">
      <c r="G7" s="0" t="str">
        <f aca="false">IF(A7="","",IF(AND(E7&lt;&gt;"",F7&lt;&gt;""),E7*F7,""))</f>
        <v/>
      </c>
      <c r="H7" s="0" t="str">
        <f aca="false">IF(G7="","",IF(G7&gt;=15,"High",IF(G7&gt;=8,"Medium","Low")))</f>
        <v/>
      </c>
      <c r="O7" s="0" t="str">
        <f aca="true">IF(A7="","",IF(OR(M7="Closed",N7=""),"",TODAY()-N7))</f>
        <v/>
      </c>
    </row>
    <row r="8" customFormat="false" ht="15" hidden="false" customHeight="false" outlineLevel="0" collapsed="false">
      <c r="G8" s="0" t="str">
        <f aca="false">IF(A8="","",IF(AND(E8&lt;&gt;"",F8&lt;&gt;""),E8*F8,""))</f>
        <v/>
      </c>
      <c r="H8" s="0" t="str">
        <f aca="false">IF(G8="","",IF(G8&gt;=15,"High",IF(G8&gt;=8,"Medium","Low")))</f>
        <v/>
      </c>
      <c r="O8" s="0" t="str">
        <f aca="true">IF(A8="","",IF(OR(M8="Closed",N8=""),"",TODAY()-N8))</f>
        <v/>
      </c>
    </row>
    <row r="9" customFormat="false" ht="15" hidden="false" customHeight="false" outlineLevel="0" collapsed="false">
      <c r="G9" s="0" t="str">
        <f aca="false">IF(A9="","",IF(AND(E9&lt;&gt;"",F9&lt;&gt;""),E9*F9,""))</f>
        <v/>
      </c>
      <c r="H9" s="0" t="str">
        <f aca="false">IF(G9="","",IF(G9&gt;=15,"High",IF(G9&gt;=8,"Medium","Low")))</f>
        <v/>
      </c>
      <c r="O9" s="0" t="str">
        <f aca="true">IF(A9="","",IF(OR(M9="Closed",N9=""),"",TODAY()-N9))</f>
        <v/>
      </c>
    </row>
    <row r="10" customFormat="false" ht="15" hidden="false" customHeight="false" outlineLevel="0" collapsed="false">
      <c r="G10" s="0" t="str">
        <f aca="false">IF(A10="","",IF(AND(E10&lt;&gt;"",F10&lt;&gt;""),E10*F10,""))</f>
        <v/>
      </c>
      <c r="H10" s="0" t="str">
        <f aca="false">IF(G10="","",IF(G10&gt;=15,"High",IF(G10&gt;=8,"Medium","Low")))</f>
        <v/>
      </c>
      <c r="O10" s="0" t="str">
        <f aca="true">IF(A10="","",IF(OR(M10="Closed",N10=""),"",TODAY()-N10))</f>
        <v/>
      </c>
    </row>
    <row r="11" customFormat="false" ht="15" hidden="false" customHeight="false" outlineLevel="0" collapsed="false">
      <c r="G11" s="0" t="str">
        <f aca="false">IF(A11="","",IF(AND(E11&lt;&gt;"",F11&lt;&gt;""),E11*F11,""))</f>
        <v/>
      </c>
      <c r="H11" s="0" t="str">
        <f aca="false">IF(G11="","",IF(G11&gt;=15,"High",IF(G11&gt;=8,"Medium","Low")))</f>
        <v/>
      </c>
      <c r="O11" s="0" t="str">
        <f aca="true">IF(A11="","",IF(OR(M11="Closed",N11=""),"",TODAY()-N11))</f>
        <v/>
      </c>
    </row>
    <row r="12" customFormat="false" ht="15" hidden="false" customHeight="false" outlineLevel="0" collapsed="false">
      <c r="G12" s="0" t="str">
        <f aca="false">IF(A12="","",IF(AND(E12&lt;&gt;"",F12&lt;&gt;""),E12*F12,""))</f>
        <v/>
      </c>
      <c r="H12" s="0" t="str">
        <f aca="false">IF(G12="","",IF(G12&gt;=15,"High",IF(G12&gt;=8,"Medium","Low")))</f>
        <v/>
      </c>
      <c r="O12" s="0" t="str">
        <f aca="true">IF(A12="","",IF(OR(M12="Closed",N12=""),"",TODAY()-N12))</f>
        <v/>
      </c>
    </row>
    <row r="13" customFormat="false" ht="15" hidden="false" customHeight="false" outlineLevel="0" collapsed="false">
      <c r="G13" s="0" t="str">
        <f aca="false">IF(A13="","",IF(AND(E13&lt;&gt;"",F13&lt;&gt;""),E13*F13,""))</f>
        <v/>
      </c>
      <c r="H13" s="0" t="str">
        <f aca="false">IF(G13="","",IF(G13&gt;=15,"High",IF(G13&gt;=8,"Medium","Low")))</f>
        <v/>
      </c>
      <c r="O13" s="0" t="str">
        <f aca="true">IF(A13="","",IF(OR(M13="Closed",N13=""),"",TODAY()-N13))</f>
        <v/>
      </c>
    </row>
    <row r="14" customFormat="false" ht="15" hidden="false" customHeight="false" outlineLevel="0" collapsed="false">
      <c r="G14" s="0" t="str">
        <f aca="false">IF(A14="","",IF(AND(E14&lt;&gt;"",F14&lt;&gt;""),E14*F14,""))</f>
        <v/>
      </c>
      <c r="H14" s="0" t="str">
        <f aca="false">IF(G14="","",IF(G14&gt;=15,"High",IF(G14&gt;=8,"Medium","Low")))</f>
        <v/>
      </c>
      <c r="O14" s="0" t="str">
        <f aca="true">IF(A14="","",IF(OR(M14="Closed",N14=""),"",TODAY()-N14))</f>
        <v/>
      </c>
    </row>
    <row r="15" customFormat="false" ht="15" hidden="false" customHeight="false" outlineLevel="0" collapsed="false">
      <c r="G15" s="0" t="str">
        <f aca="false">IF(A15="","",IF(AND(E15&lt;&gt;"",F15&lt;&gt;""),E15*F15,""))</f>
        <v/>
      </c>
      <c r="H15" s="0" t="str">
        <f aca="false">IF(G15="","",IF(G15&gt;=15,"High",IF(G15&gt;=8,"Medium","Low")))</f>
        <v/>
      </c>
      <c r="O15" s="0" t="str">
        <f aca="true">IF(A15="","",IF(OR(M15="Closed",N15=""),"",TODAY()-N15))</f>
        <v/>
      </c>
    </row>
    <row r="16" customFormat="false" ht="15" hidden="false" customHeight="false" outlineLevel="0" collapsed="false">
      <c r="G16" s="0" t="str">
        <f aca="false">IF(A16="","",IF(AND(E16&lt;&gt;"",F16&lt;&gt;""),E16*F16,""))</f>
        <v/>
      </c>
      <c r="H16" s="0" t="str">
        <f aca="false">IF(G16="","",IF(G16&gt;=15,"High",IF(G16&gt;=8,"Medium","Low")))</f>
        <v/>
      </c>
      <c r="O16" s="0" t="str">
        <f aca="true">IF(A16="","",IF(OR(M16="Closed",N16=""),"",TODAY()-N16))</f>
        <v/>
      </c>
    </row>
    <row r="17" customFormat="false" ht="15" hidden="false" customHeight="false" outlineLevel="0" collapsed="false">
      <c r="G17" s="0" t="str">
        <f aca="false">IF(A17="","",IF(AND(E17&lt;&gt;"",F17&lt;&gt;""),E17*F17,""))</f>
        <v/>
      </c>
      <c r="H17" s="0" t="str">
        <f aca="false">IF(G17="","",IF(G17&gt;=15,"High",IF(G17&gt;=8,"Medium","Low")))</f>
        <v/>
      </c>
      <c r="O17" s="0" t="str">
        <f aca="true">IF(A17="","",IF(OR(M17="Closed",N17=""),"",TODAY()-N17))</f>
        <v/>
      </c>
    </row>
    <row r="18" customFormat="false" ht="15" hidden="false" customHeight="false" outlineLevel="0" collapsed="false">
      <c r="G18" s="0" t="str">
        <f aca="false">IF(A18="","",IF(AND(E18&lt;&gt;"",F18&lt;&gt;""),E18*F18,""))</f>
        <v/>
      </c>
      <c r="H18" s="0" t="str">
        <f aca="false">IF(G18="","",IF(G18&gt;=15,"High",IF(G18&gt;=8,"Medium","Low")))</f>
        <v/>
      </c>
      <c r="O18" s="0" t="str">
        <f aca="true">IF(A18="","",IF(OR(M18="Closed",N18=""),"",TODAY()-N18))</f>
        <v/>
      </c>
    </row>
    <row r="19" customFormat="false" ht="15" hidden="false" customHeight="false" outlineLevel="0" collapsed="false">
      <c r="G19" s="0" t="str">
        <f aca="false">IF(A19="","",IF(AND(E19&lt;&gt;"",F19&lt;&gt;""),E19*F19,""))</f>
        <v/>
      </c>
      <c r="H19" s="0" t="str">
        <f aca="false">IF(G19="","",IF(G19&gt;=15,"High",IF(G19&gt;=8,"Medium","Low")))</f>
        <v/>
      </c>
      <c r="O19" s="0" t="str">
        <f aca="true">IF(A19="","",IF(OR(M19="Closed",N19=""),"",TODAY()-N19))</f>
        <v/>
      </c>
    </row>
    <row r="20" customFormat="false" ht="15" hidden="false" customHeight="false" outlineLevel="0" collapsed="false">
      <c r="G20" s="0" t="str">
        <f aca="false">IF(A20="","",IF(AND(E20&lt;&gt;"",F20&lt;&gt;""),E20*F20,""))</f>
        <v/>
      </c>
      <c r="H20" s="0" t="str">
        <f aca="false">IF(G20="","",IF(G20&gt;=15,"High",IF(G20&gt;=8,"Medium","Low")))</f>
        <v/>
      </c>
      <c r="O20" s="0" t="str">
        <f aca="true">IF(A20="","",IF(OR(M20="Closed",N20=""),"",TODAY()-N20))</f>
        <v/>
      </c>
    </row>
    <row r="21" customFormat="false" ht="15" hidden="false" customHeight="false" outlineLevel="0" collapsed="false">
      <c r="G21" s="0" t="str">
        <f aca="false">IF(A21="","",IF(AND(E21&lt;&gt;"",F21&lt;&gt;""),E21*F21,""))</f>
        <v/>
      </c>
      <c r="H21" s="0" t="str">
        <f aca="false">IF(G21="","",IF(G21&gt;=15,"High",IF(G21&gt;=8,"Medium","Low")))</f>
        <v/>
      </c>
      <c r="O21" s="0" t="str">
        <f aca="true">IF(A21="","",IF(OR(M21="Closed",N21=""),"",TODAY()-N21))</f>
        <v/>
      </c>
    </row>
    <row r="22" customFormat="false" ht="15" hidden="false" customHeight="false" outlineLevel="0" collapsed="false">
      <c r="G22" s="0" t="str">
        <f aca="false">IF(A22="","",IF(AND(E22&lt;&gt;"",F22&lt;&gt;""),E22*F22,""))</f>
        <v/>
      </c>
      <c r="H22" s="0" t="str">
        <f aca="false">IF(G22="","",IF(G22&gt;=15,"High",IF(G22&gt;=8,"Medium","Low")))</f>
        <v/>
      </c>
      <c r="O22" s="0" t="str">
        <f aca="true">IF(A22="","",IF(OR(M22="Closed",N22=""),"",TODAY()-N22))</f>
        <v/>
      </c>
    </row>
    <row r="23" customFormat="false" ht="15" hidden="false" customHeight="false" outlineLevel="0" collapsed="false">
      <c r="G23" s="0" t="str">
        <f aca="false">IF(A23="","",IF(AND(E23&lt;&gt;"",F23&lt;&gt;""),E23*F23,""))</f>
        <v/>
      </c>
      <c r="H23" s="0" t="str">
        <f aca="false">IF(G23="","",IF(G23&gt;=15,"High",IF(G23&gt;=8,"Medium","Low")))</f>
        <v/>
      </c>
      <c r="O23" s="0" t="str">
        <f aca="true">IF(A23="","",IF(OR(M23="Closed",N23=""),"",TODAY()-N23))</f>
        <v/>
      </c>
    </row>
    <row r="24" customFormat="false" ht="15" hidden="false" customHeight="false" outlineLevel="0" collapsed="false">
      <c r="G24" s="0" t="str">
        <f aca="false">IF(A24="","",IF(AND(E24&lt;&gt;"",F24&lt;&gt;""),E24*F24,""))</f>
        <v/>
      </c>
      <c r="H24" s="0" t="str">
        <f aca="false">IF(G24="","",IF(G24&gt;=15,"High",IF(G24&gt;=8,"Medium","Low")))</f>
        <v/>
      </c>
      <c r="O24" s="0" t="str">
        <f aca="true">IF(A24="","",IF(OR(M24="Closed",N24=""),"",TODAY()-N24))</f>
        <v/>
      </c>
    </row>
    <row r="25" customFormat="false" ht="15" hidden="false" customHeight="false" outlineLevel="0" collapsed="false">
      <c r="G25" s="0" t="str">
        <f aca="false">IF(A25="","",IF(AND(E25&lt;&gt;"",F25&lt;&gt;""),E25*F25,""))</f>
        <v/>
      </c>
      <c r="H25" s="0" t="str">
        <f aca="false">IF(G25="","",IF(G25&gt;=15,"High",IF(G25&gt;=8,"Medium","Low")))</f>
        <v/>
      </c>
      <c r="O25" s="0" t="str">
        <f aca="true">IF(A25="","",IF(OR(M25="Closed",N25=""),"",TODAY()-N25))</f>
        <v/>
      </c>
    </row>
    <row r="26" customFormat="false" ht="15" hidden="false" customHeight="false" outlineLevel="0" collapsed="false">
      <c r="G26" s="0" t="str">
        <f aca="false">IF(A26="","",IF(AND(E26&lt;&gt;"",F26&lt;&gt;""),E26*F26,""))</f>
        <v/>
      </c>
      <c r="H26" s="0" t="str">
        <f aca="false">IF(G26="","",IF(G26&gt;=15,"High",IF(G26&gt;=8,"Medium","Low")))</f>
        <v/>
      </c>
      <c r="O26" s="0" t="str">
        <f aca="true">IF(A26="","",IF(OR(M26="Closed",N26=""),"",TODAY()-N26))</f>
        <v/>
      </c>
    </row>
    <row r="27" customFormat="false" ht="15" hidden="false" customHeight="false" outlineLevel="0" collapsed="false">
      <c r="G27" s="0" t="str">
        <f aca="false">IF(A27="","",IF(AND(E27&lt;&gt;"",F27&lt;&gt;""),E27*F27,""))</f>
        <v/>
      </c>
      <c r="H27" s="0" t="str">
        <f aca="false">IF(G27="","",IF(G27&gt;=15,"High",IF(G27&gt;=8,"Medium","Low")))</f>
        <v/>
      </c>
      <c r="O27" s="0" t="str">
        <f aca="true">IF(A27="","",IF(OR(M27="Closed",N27=""),"",TODAY()-N27))</f>
        <v/>
      </c>
    </row>
    <row r="28" customFormat="false" ht="15" hidden="false" customHeight="false" outlineLevel="0" collapsed="false">
      <c r="G28" s="0" t="str">
        <f aca="false">IF(A28="","",IF(AND(E28&lt;&gt;"",F28&lt;&gt;""),E28*F28,""))</f>
        <v/>
      </c>
      <c r="H28" s="0" t="str">
        <f aca="false">IF(G28="","",IF(G28&gt;=15,"High",IF(G28&gt;=8,"Medium","Low")))</f>
        <v/>
      </c>
      <c r="O28" s="0" t="str">
        <f aca="true">IF(A28="","",IF(OR(M28="Closed",N28=""),"",TODAY()-N28))</f>
        <v/>
      </c>
    </row>
    <row r="29" customFormat="false" ht="15" hidden="false" customHeight="false" outlineLevel="0" collapsed="false">
      <c r="G29" s="0" t="str">
        <f aca="false">IF(A29="","",IF(AND(E29&lt;&gt;"",F29&lt;&gt;""),E29*F29,""))</f>
        <v/>
      </c>
      <c r="H29" s="0" t="str">
        <f aca="false">IF(G29="","",IF(G29&gt;=15,"High",IF(G29&gt;=8,"Medium","Low")))</f>
        <v/>
      </c>
      <c r="O29" s="0" t="str">
        <f aca="true">IF(A29="","",IF(OR(M29="Closed",N29=""),"",TODAY()-N29))</f>
        <v/>
      </c>
    </row>
    <row r="30" customFormat="false" ht="15" hidden="false" customHeight="false" outlineLevel="0" collapsed="false">
      <c r="G30" s="0" t="str">
        <f aca="false">IF(A30="","",IF(AND(E30&lt;&gt;"",F30&lt;&gt;""),E30*F30,""))</f>
        <v/>
      </c>
      <c r="H30" s="0" t="str">
        <f aca="false">IF(G30="","",IF(G30&gt;=15,"High",IF(G30&gt;=8,"Medium","Low")))</f>
        <v/>
      </c>
      <c r="O30" s="0" t="str">
        <f aca="true">IF(A30="","",IF(OR(M30="Closed",N30=""),"",TODAY()-N30))</f>
        <v/>
      </c>
    </row>
    <row r="31" customFormat="false" ht="15" hidden="false" customHeight="false" outlineLevel="0" collapsed="false">
      <c r="G31" s="0" t="str">
        <f aca="false">IF(A31="","",IF(AND(E31&lt;&gt;"",F31&lt;&gt;""),E31*F31,""))</f>
        <v/>
      </c>
      <c r="H31" s="0" t="str">
        <f aca="false">IF(G31="","",IF(G31&gt;=15,"High",IF(G31&gt;=8,"Medium","Low")))</f>
        <v/>
      </c>
      <c r="O31" s="0" t="str">
        <f aca="true">IF(A31="","",IF(OR(M31="Closed",N31=""),"",TODAY()-N31))</f>
        <v/>
      </c>
    </row>
    <row r="32" customFormat="false" ht="15" hidden="false" customHeight="false" outlineLevel="0" collapsed="false">
      <c r="G32" s="0" t="str">
        <f aca="false">IF(A32="","",IF(AND(E32&lt;&gt;"",F32&lt;&gt;""),E32*F32,""))</f>
        <v/>
      </c>
      <c r="H32" s="0" t="str">
        <f aca="false">IF(G32="","",IF(G32&gt;=15,"High",IF(G32&gt;=8,"Medium","Low")))</f>
        <v/>
      </c>
      <c r="O32" s="0" t="str">
        <f aca="true">IF(A32="","",IF(OR(M32="Closed",N32=""),"",TODAY()-N32))</f>
        <v/>
      </c>
    </row>
    <row r="33" customFormat="false" ht="15" hidden="false" customHeight="false" outlineLevel="0" collapsed="false">
      <c r="G33" s="0" t="str">
        <f aca="false">IF(A33="","",IF(AND(E33&lt;&gt;"",F33&lt;&gt;""),E33*F33,""))</f>
        <v/>
      </c>
      <c r="H33" s="0" t="str">
        <f aca="false">IF(G33="","",IF(G33&gt;=15,"High",IF(G33&gt;=8,"Medium","Low")))</f>
        <v/>
      </c>
      <c r="O33" s="0" t="str">
        <f aca="true">IF(A33="","",IF(OR(M33="Closed",N33=""),"",TODAY()-N33))</f>
        <v/>
      </c>
    </row>
    <row r="34" customFormat="false" ht="15" hidden="false" customHeight="false" outlineLevel="0" collapsed="false">
      <c r="G34" s="0" t="str">
        <f aca="false">IF(A34="","",IF(AND(E34&lt;&gt;"",F34&lt;&gt;""),E34*F34,""))</f>
        <v/>
      </c>
      <c r="H34" s="0" t="str">
        <f aca="false">IF(G34="","",IF(G34&gt;=15,"High",IF(G34&gt;=8,"Medium","Low")))</f>
        <v/>
      </c>
      <c r="O34" s="0" t="str">
        <f aca="true">IF(A34="","",IF(OR(M34="Closed",N34=""),"",TODAY()-N34))</f>
        <v/>
      </c>
    </row>
    <row r="35" customFormat="false" ht="15" hidden="false" customHeight="false" outlineLevel="0" collapsed="false">
      <c r="G35" s="0" t="str">
        <f aca="false">IF(A35="","",IF(AND(E35&lt;&gt;"",F35&lt;&gt;""),E35*F35,""))</f>
        <v/>
      </c>
      <c r="H35" s="0" t="str">
        <f aca="false">IF(G35="","",IF(G35&gt;=15,"High",IF(G35&gt;=8,"Medium","Low")))</f>
        <v/>
      </c>
      <c r="O35" s="0" t="str">
        <f aca="true">IF(A35="","",IF(OR(M35="Closed",N35=""),"",TODAY()-N35))</f>
        <v/>
      </c>
    </row>
    <row r="36" customFormat="false" ht="15" hidden="false" customHeight="false" outlineLevel="0" collapsed="false">
      <c r="G36" s="0" t="str">
        <f aca="false">IF(A36="","",IF(AND(E36&lt;&gt;"",F36&lt;&gt;""),E36*F36,""))</f>
        <v/>
      </c>
      <c r="H36" s="0" t="str">
        <f aca="false">IF(G36="","",IF(G36&gt;=15,"High",IF(G36&gt;=8,"Medium","Low")))</f>
        <v/>
      </c>
      <c r="O36" s="0" t="str">
        <f aca="true">IF(A36="","",IF(OR(M36="Closed",N36=""),"",TODAY()-N36))</f>
        <v/>
      </c>
    </row>
    <row r="37" customFormat="false" ht="15" hidden="false" customHeight="false" outlineLevel="0" collapsed="false">
      <c r="G37" s="0" t="str">
        <f aca="false">IF(A37="","",IF(AND(E37&lt;&gt;"",F37&lt;&gt;""),E37*F37,""))</f>
        <v/>
      </c>
      <c r="H37" s="0" t="str">
        <f aca="false">IF(G37="","",IF(G37&gt;=15,"High",IF(G37&gt;=8,"Medium","Low")))</f>
        <v/>
      </c>
      <c r="O37" s="0" t="str">
        <f aca="true">IF(A37="","",IF(OR(M37="Closed",N37=""),"",TODAY()-N37))</f>
        <v/>
      </c>
    </row>
    <row r="38" customFormat="false" ht="15" hidden="false" customHeight="false" outlineLevel="0" collapsed="false">
      <c r="G38" s="0" t="str">
        <f aca="false">IF(A38="","",IF(AND(E38&lt;&gt;"",F38&lt;&gt;""),E38*F38,""))</f>
        <v/>
      </c>
      <c r="H38" s="0" t="str">
        <f aca="false">IF(G38="","",IF(G38&gt;=15,"High",IF(G38&gt;=8,"Medium","Low")))</f>
        <v/>
      </c>
      <c r="O38" s="0" t="str">
        <f aca="true">IF(A38="","",IF(OR(M38="Closed",N38=""),"",TODAY()-N38))</f>
        <v/>
      </c>
    </row>
    <row r="39" customFormat="false" ht="15" hidden="false" customHeight="false" outlineLevel="0" collapsed="false">
      <c r="G39" s="0" t="str">
        <f aca="false">IF(A39="","",IF(AND(E39&lt;&gt;"",F39&lt;&gt;""),E39*F39,""))</f>
        <v/>
      </c>
      <c r="H39" s="0" t="str">
        <f aca="false">IF(G39="","",IF(G39&gt;=15,"High",IF(G39&gt;=8,"Medium","Low")))</f>
        <v/>
      </c>
      <c r="O39" s="0" t="str">
        <f aca="true">IF(A39="","",IF(OR(M39="Closed",N39=""),"",TODAY()-N39))</f>
        <v/>
      </c>
    </row>
    <row r="40" customFormat="false" ht="15" hidden="false" customHeight="false" outlineLevel="0" collapsed="false">
      <c r="G40" s="0" t="str">
        <f aca="false">IF(A40="","",IF(AND(E40&lt;&gt;"",F40&lt;&gt;""),E40*F40,""))</f>
        <v/>
      </c>
      <c r="H40" s="0" t="str">
        <f aca="false">IF(G40="","",IF(G40&gt;=15,"High",IF(G40&gt;=8,"Medium","Low")))</f>
        <v/>
      </c>
      <c r="O40" s="0" t="str">
        <f aca="true">IF(A40="","",IF(OR(M40="Closed",N40=""),"",TODAY()-N40))</f>
        <v/>
      </c>
    </row>
    <row r="41" customFormat="false" ht="15" hidden="false" customHeight="false" outlineLevel="0" collapsed="false">
      <c r="G41" s="0" t="str">
        <f aca="false">IF(A41="","",IF(AND(E41&lt;&gt;"",F41&lt;&gt;""),E41*F41,""))</f>
        <v/>
      </c>
      <c r="H41" s="0" t="str">
        <f aca="false">IF(G41="","",IF(G41&gt;=15,"High",IF(G41&gt;=8,"Medium","Low")))</f>
        <v/>
      </c>
      <c r="O41" s="0" t="str">
        <f aca="true">IF(A41="","",IF(OR(M41="Closed",N41=""),"",TODAY()-N41))</f>
        <v/>
      </c>
    </row>
    <row r="42" customFormat="false" ht="15" hidden="false" customHeight="false" outlineLevel="0" collapsed="false">
      <c r="G42" s="0" t="str">
        <f aca="false">IF(A42="","",IF(AND(E42&lt;&gt;"",F42&lt;&gt;""),E42*F42,""))</f>
        <v/>
      </c>
      <c r="H42" s="0" t="str">
        <f aca="false">IF(G42="","",IF(G42&gt;=15,"High",IF(G42&gt;=8,"Medium","Low")))</f>
        <v/>
      </c>
      <c r="O42" s="0" t="str">
        <f aca="true">IF(A42="","",IF(OR(M42="Closed",N42=""),"",TODAY()-N42))</f>
        <v/>
      </c>
    </row>
    <row r="43" customFormat="false" ht="15" hidden="false" customHeight="false" outlineLevel="0" collapsed="false">
      <c r="G43" s="0" t="str">
        <f aca="false">IF(A43="","",IF(AND(E43&lt;&gt;"",F43&lt;&gt;""),E43*F43,""))</f>
        <v/>
      </c>
      <c r="H43" s="0" t="str">
        <f aca="false">IF(G43="","",IF(G43&gt;=15,"High",IF(G43&gt;=8,"Medium","Low")))</f>
        <v/>
      </c>
      <c r="O43" s="0" t="str">
        <f aca="true">IF(A43="","",IF(OR(M43="Closed",N43=""),"",TODAY()-N43))</f>
        <v/>
      </c>
    </row>
    <row r="44" customFormat="false" ht="15" hidden="false" customHeight="false" outlineLevel="0" collapsed="false">
      <c r="G44" s="0" t="str">
        <f aca="false">IF(A44="","",IF(AND(E44&lt;&gt;"",F44&lt;&gt;""),E44*F44,""))</f>
        <v/>
      </c>
      <c r="H44" s="0" t="str">
        <f aca="false">IF(G44="","",IF(G44&gt;=15,"High",IF(G44&gt;=8,"Medium","Low")))</f>
        <v/>
      </c>
      <c r="O44" s="0" t="str">
        <f aca="true">IF(A44="","",IF(OR(M44="Closed",N44=""),"",TODAY()-N44))</f>
        <v/>
      </c>
    </row>
    <row r="45" customFormat="false" ht="15" hidden="false" customHeight="false" outlineLevel="0" collapsed="false">
      <c r="G45" s="0" t="str">
        <f aca="false">IF(A45="","",IF(AND(E45&lt;&gt;"",F45&lt;&gt;""),E45*F45,""))</f>
        <v/>
      </c>
      <c r="H45" s="0" t="str">
        <f aca="false">IF(G45="","",IF(G45&gt;=15,"High",IF(G45&gt;=8,"Medium","Low")))</f>
        <v/>
      </c>
      <c r="O45" s="0" t="str">
        <f aca="true">IF(A45="","",IF(OR(M45="Closed",N45=""),"",TODAY()-N45))</f>
        <v/>
      </c>
    </row>
    <row r="46" customFormat="false" ht="15" hidden="false" customHeight="false" outlineLevel="0" collapsed="false">
      <c r="G46" s="0" t="str">
        <f aca="false">IF(A46="","",IF(AND(E46&lt;&gt;"",F46&lt;&gt;""),E46*F46,""))</f>
        <v/>
      </c>
      <c r="H46" s="0" t="str">
        <f aca="false">IF(G46="","",IF(G46&gt;=15,"High",IF(G46&gt;=8,"Medium","Low")))</f>
        <v/>
      </c>
      <c r="O46" s="0" t="str">
        <f aca="true">IF(A46="","",IF(OR(M46="Closed",N46=""),"",TODAY()-N46))</f>
        <v/>
      </c>
    </row>
    <row r="47" customFormat="false" ht="15" hidden="false" customHeight="false" outlineLevel="0" collapsed="false">
      <c r="G47" s="0" t="str">
        <f aca="false">IF(A47="","",IF(AND(E47&lt;&gt;"",F47&lt;&gt;""),E47*F47,""))</f>
        <v/>
      </c>
      <c r="H47" s="0" t="str">
        <f aca="false">IF(G47="","",IF(G47&gt;=15,"High",IF(G47&gt;=8,"Medium","Low")))</f>
        <v/>
      </c>
      <c r="O47" s="0" t="str">
        <f aca="true">IF(A47="","",IF(OR(M47="Closed",N47=""),"",TODAY()-N47))</f>
        <v/>
      </c>
    </row>
    <row r="48" customFormat="false" ht="15" hidden="false" customHeight="false" outlineLevel="0" collapsed="false">
      <c r="G48" s="0" t="str">
        <f aca="false">IF(A48="","",IF(AND(E48&lt;&gt;"",F48&lt;&gt;""),E48*F48,""))</f>
        <v/>
      </c>
      <c r="H48" s="0" t="str">
        <f aca="false">IF(G48="","",IF(G48&gt;=15,"High",IF(G48&gt;=8,"Medium","Low")))</f>
        <v/>
      </c>
      <c r="O48" s="0" t="str">
        <f aca="true">IF(A48="","",IF(OR(M48="Closed",N48=""),"",TODAY()-N48))</f>
        <v/>
      </c>
    </row>
    <row r="49" customFormat="false" ht="15" hidden="false" customHeight="false" outlineLevel="0" collapsed="false">
      <c r="G49" s="0" t="str">
        <f aca="false">IF(A49="","",IF(AND(E49&lt;&gt;"",F49&lt;&gt;""),E49*F49,""))</f>
        <v/>
      </c>
      <c r="H49" s="0" t="str">
        <f aca="false">IF(G49="","",IF(G49&gt;=15,"High",IF(G49&gt;=8,"Medium","Low")))</f>
        <v/>
      </c>
      <c r="O49" s="0" t="str">
        <f aca="true">IF(A49="","",IF(OR(M49="Closed",N49=""),"",TODAY()-N49))</f>
        <v/>
      </c>
    </row>
    <row r="50" customFormat="false" ht="15" hidden="false" customHeight="false" outlineLevel="0" collapsed="false">
      <c r="G50" s="0" t="str">
        <f aca="false">IF(A50="","",IF(AND(E50&lt;&gt;"",F50&lt;&gt;""),E50*F50,""))</f>
        <v/>
      </c>
      <c r="H50" s="0" t="str">
        <f aca="false">IF(G50="","",IF(G50&gt;=15,"High",IF(G50&gt;=8,"Medium","Low")))</f>
        <v/>
      </c>
      <c r="O50" s="0" t="str">
        <f aca="true">IF(A50="","",IF(OR(M50="Closed",N50=""),"",TODAY()-N50))</f>
        <v/>
      </c>
    </row>
    <row r="51" customFormat="false" ht="15" hidden="false" customHeight="false" outlineLevel="0" collapsed="false">
      <c r="G51" s="0" t="str">
        <f aca="false">IF(A51="","",IF(AND(E51&lt;&gt;"",F51&lt;&gt;""),E51*F51,""))</f>
        <v/>
      </c>
      <c r="H51" s="0" t="str">
        <f aca="false">IF(G51="","",IF(G51&gt;=15,"High",IF(G51&gt;=8,"Medium","Low")))</f>
        <v/>
      </c>
      <c r="O51" s="0" t="str">
        <f aca="true">IF(A51="","",IF(OR(M51="Closed",N51=""),"",TODAY()-N51))</f>
        <v/>
      </c>
    </row>
    <row r="52" customFormat="false" ht="15" hidden="false" customHeight="false" outlineLevel="0" collapsed="false">
      <c r="G52" s="0" t="str">
        <f aca="false">IF(A52="","",IF(AND(E52&lt;&gt;"",F52&lt;&gt;""),E52*F52,""))</f>
        <v/>
      </c>
      <c r="H52" s="0" t="str">
        <f aca="false">IF(G52="","",IF(G52&gt;=15,"High",IF(G52&gt;=8,"Medium","Low")))</f>
        <v/>
      </c>
      <c r="O52" s="0" t="str">
        <f aca="true">IF(A52="","",IF(OR(M52="Closed",N52=""),"",TODAY()-N52))</f>
        <v/>
      </c>
    </row>
    <row r="53" customFormat="false" ht="15" hidden="false" customHeight="false" outlineLevel="0" collapsed="false">
      <c r="G53" s="0" t="str">
        <f aca="false">IF(A53="","",IF(AND(E53&lt;&gt;"",F53&lt;&gt;""),E53*F53,""))</f>
        <v/>
      </c>
      <c r="H53" s="0" t="str">
        <f aca="false">IF(G53="","",IF(G53&gt;=15,"High",IF(G53&gt;=8,"Medium","Low")))</f>
        <v/>
      </c>
      <c r="O53" s="0" t="str">
        <f aca="true">IF(A53="","",IF(OR(M53="Closed",N53=""),"",TODAY()-N53))</f>
        <v/>
      </c>
    </row>
    <row r="54" customFormat="false" ht="15" hidden="false" customHeight="false" outlineLevel="0" collapsed="false">
      <c r="G54" s="0" t="str">
        <f aca="false">IF(A54="","",IF(AND(E54&lt;&gt;"",F54&lt;&gt;""),E54*F54,""))</f>
        <v/>
      </c>
      <c r="H54" s="0" t="str">
        <f aca="false">IF(G54="","",IF(G54&gt;=15,"High",IF(G54&gt;=8,"Medium","Low")))</f>
        <v/>
      </c>
      <c r="O54" s="0" t="str">
        <f aca="true">IF(A54="","",IF(OR(M54="Closed",N54=""),"",TODAY()-N54))</f>
        <v/>
      </c>
    </row>
    <row r="55" customFormat="false" ht="15" hidden="false" customHeight="false" outlineLevel="0" collapsed="false">
      <c r="G55" s="0" t="str">
        <f aca="false">IF(A55="","",IF(AND(E55&lt;&gt;"",F55&lt;&gt;""),E55*F55,""))</f>
        <v/>
      </c>
      <c r="H55" s="0" t="str">
        <f aca="false">IF(G55="","",IF(G55&gt;=15,"High",IF(G55&gt;=8,"Medium","Low")))</f>
        <v/>
      </c>
      <c r="O55" s="0" t="str">
        <f aca="true">IF(A55="","",IF(OR(M55="Closed",N55=""),"",TODAY()-N55))</f>
        <v/>
      </c>
    </row>
    <row r="56" customFormat="false" ht="15" hidden="false" customHeight="false" outlineLevel="0" collapsed="false">
      <c r="G56" s="0" t="str">
        <f aca="false">IF(A56="","",IF(AND(E56&lt;&gt;"",F56&lt;&gt;""),E56*F56,""))</f>
        <v/>
      </c>
      <c r="H56" s="0" t="str">
        <f aca="false">IF(G56="","",IF(G56&gt;=15,"High",IF(G56&gt;=8,"Medium","Low")))</f>
        <v/>
      </c>
      <c r="O56" s="0" t="str">
        <f aca="true">IF(A56="","",IF(OR(M56="Closed",N56=""),"",TODAY()-N56))</f>
        <v/>
      </c>
    </row>
    <row r="57" customFormat="false" ht="15" hidden="false" customHeight="false" outlineLevel="0" collapsed="false">
      <c r="G57" s="0" t="str">
        <f aca="false">IF(A57="","",IF(AND(E57&lt;&gt;"",F57&lt;&gt;""),E57*F57,""))</f>
        <v/>
      </c>
      <c r="H57" s="0" t="str">
        <f aca="false">IF(G57="","",IF(G57&gt;=15,"High",IF(G57&gt;=8,"Medium","Low")))</f>
        <v/>
      </c>
      <c r="O57" s="0" t="str">
        <f aca="true">IF(A57="","",IF(OR(M57="Closed",N57=""),"",TODAY()-N57))</f>
        <v/>
      </c>
    </row>
    <row r="58" customFormat="false" ht="15" hidden="false" customHeight="false" outlineLevel="0" collapsed="false">
      <c r="G58" s="0" t="str">
        <f aca="false">IF(A58="","",IF(AND(E58&lt;&gt;"",F58&lt;&gt;""),E58*F58,""))</f>
        <v/>
      </c>
      <c r="H58" s="0" t="str">
        <f aca="false">IF(G58="","",IF(G58&gt;=15,"High",IF(G58&gt;=8,"Medium","Low")))</f>
        <v/>
      </c>
      <c r="O58" s="0" t="str">
        <f aca="true">IF(A58="","",IF(OR(M58="Closed",N58=""),"",TODAY()-N58))</f>
        <v/>
      </c>
    </row>
    <row r="59" customFormat="false" ht="15" hidden="false" customHeight="false" outlineLevel="0" collapsed="false">
      <c r="G59" s="0" t="str">
        <f aca="false">IF(A59="","",IF(AND(E59&lt;&gt;"",F59&lt;&gt;""),E59*F59,""))</f>
        <v/>
      </c>
      <c r="H59" s="0" t="str">
        <f aca="false">IF(G59="","",IF(G59&gt;=15,"High",IF(G59&gt;=8,"Medium","Low")))</f>
        <v/>
      </c>
      <c r="O59" s="0" t="str">
        <f aca="true">IF(A59="","",IF(OR(M59="Closed",N59=""),"",TODAY()-N59))</f>
        <v/>
      </c>
    </row>
    <row r="60" customFormat="false" ht="15" hidden="false" customHeight="false" outlineLevel="0" collapsed="false">
      <c r="G60" s="0" t="str">
        <f aca="false">IF(A60="","",IF(AND(E60&lt;&gt;"",F60&lt;&gt;""),E60*F60,""))</f>
        <v/>
      </c>
      <c r="H60" s="0" t="str">
        <f aca="false">IF(G60="","",IF(G60&gt;=15,"High",IF(G60&gt;=8,"Medium","Low")))</f>
        <v/>
      </c>
      <c r="O60" s="0" t="str">
        <f aca="true">IF(A60="","",IF(OR(M60="Closed",N60=""),"",TODAY()-N60))</f>
        <v/>
      </c>
    </row>
    <row r="61" customFormat="false" ht="15" hidden="false" customHeight="false" outlineLevel="0" collapsed="false">
      <c r="G61" s="0" t="str">
        <f aca="false">IF(A61="","",IF(AND(E61&lt;&gt;"",F61&lt;&gt;""),E61*F61,""))</f>
        <v/>
      </c>
      <c r="H61" s="0" t="str">
        <f aca="false">IF(G61="","",IF(G61&gt;=15,"High",IF(G61&gt;=8,"Medium","Low")))</f>
        <v/>
      </c>
      <c r="O61" s="0" t="str">
        <f aca="true">IF(A61="","",IF(OR(M61="Closed",N61=""),"",TODAY()-N61))</f>
        <v/>
      </c>
    </row>
    <row r="62" customFormat="false" ht="15" hidden="false" customHeight="false" outlineLevel="0" collapsed="false">
      <c r="G62" s="0" t="str">
        <f aca="false">IF(A62="","",IF(AND(E62&lt;&gt;"",F62&lt;&gt;""),E62*F62,""))</f>
        <v/>
      </c>
      <c r="H62" s="0" t="str">
        <f aca="false">IF(G62="","",IF(G62&gt;=15,"High",IF(G62&gt;=8,"Medium","Low")))</f>
        <v/>
      </c>
      <c r="O62" s="0" t="str">
        <f aca="true">IF(A62="","",IF(OR(M62="Closed",N62=""),"",TODAY()-N62))</f>
        <v/>
      </c>
    </row>
    <row r="63" customFormat="false" ht="15" hidden="false" customHeight="false" outlineLevel="0" collapsed="false">
      <c r="G63" s="0" t="str">
        <f aca="false">IF(A63="","",IF(AND(E63&lt;&gt;"",F63&lt;&gt;""),E63*F63,""))</f>
        <v/>
      </c>
      <c r="H63" s="0" t="str">
        <f aca="false">IF(G63="","",IF(G63&gt;=15,"High",IF(G63&gt;=8,"Medium","Low")))</f>
        <v/>
      </c>
      <c r="O63" s="0" t="str">
        <f aca="true">IF(A63="","",IF(OR(M63="Closed",N63=""),"",TODAY()-N63))</f>
        <v/>
      </c>
    </row>
    <row r="64" customFormat="false" ht="15" hidden="false" customHeight="false" outlineLevel="0" collapsed="false">
      <c r="G64" s="0" t="str">
        <f aca="false">IF(A64="","",IF(AND(E64&lt;&gt;"",F64&lt;&gt;""),E64*F64,""))</f>
        <v/>
      </c>
      <c r="H64" s="0" t="str">
        <f aca="false">IF(G64="","",IF(G64&gt;=15,"High",IF(G64&gt;=8,"Medium","Low")))</f>
        <v/>
      </c>
      <c r="O64" s="0" t="str">
        <f aca="true">IF(A64="","",IF(OR(M64="Closed",N64=""),"",TODAY()-N64))</f>
        <v/>
      </c>
    </row>
    <row r="65" customFormat="false" ht="15" hidden="false" customHeight="false" outlineLevel="0" collapsed="false">
      <c r="G65" s="0" t="str">
        <f aca="false">IF(A65="","",IF(AND(E65&lt;&gt;"",F65&lt;&gt;""),E65*F65,""))</f>
        <v/>
      </c>
      <c r="H65" s="0" t="str">
        <f aca="false">IF(G65="","",IF(G65&gt;=15,"High",IF(G65&gt;=8,"Medium","Low")))</f>
        <v/>
      </c>
      <c r="O65" s="0" t="str">
        <f aca="true">IF(A65="","",IF(OR(M65="Closed",N65=""),"",TODAY()-N65))</f>
        <v/>
      </c>
    </row>
    <row r="66" customFormat="false" ht="15" hidden="false" customHeight="false" outlineLevel="0" collapsed="false">
      <c r="G66" s="0" t="str">
        <f aca="false">IF(A66="","",IF(AND(E66&lt;&gt;"",F66&lt;&gt;""),E66*F66,""))</f>
        <v/>
      </c>
      <c r="H66" s="0" t="str">
        <f aca="false">IF(G66="","",IF(G66&gt;=15,"High",IF(G66&gt;=8,"Medium","Low")))</f>
        <v/>
      </c>
      <c r="O66" s="0" t="str">
        <f aca="true">IF(A66="","",IF(OR(M66="Closed",N66=""),"",TODAY()-N66))</f>
        <v/>
      </c>
    </row>
    <row r="67" customFormat="false" ht="15" hidden="false" customHeight="false" outlineLevel="0" collapsed="false">
      <c r="G67" s="0" t="str">
        <f aca="false">IF(A67="","",IF(AND(E67&lt;&gt;"",F67&lt;&gt;""),E67*F67,""))</f>
        <v/>
      </c>
      <c r="H67" s="0" t="str">
        <f aca="false">IF(G67="","",IF(G67&gt;=15,"High",IF(G67&gt;=8,"Medium","Low")))</f>
        <v/>
      </c>
      <c r="O67" s="0" t="str">
        <f aca="true">IF(A67="","",IF(OR(M67="Closed",N67=""),"",TODAY()-N67))</f>
        <v/>
      </c>
    </row>
    <row r="68" customFormat="false" ht="15" hidden="false" customHeight="false" outlineLevel="0" collapsed="false">
      <c r="G68" s="0" t="str">
        <f aca="false">IF(A68="","",IF(AND(E68&lt;&gt;"",F68&lt;&gt;""),E68*F68,""))</f>
        <v/>
      </c>
      <c r="H68" s="0" t="str">
        <f aca="false">IF(G68="","",IF(G68&gt;=15,"High",IF(G68&gt;=8,"Medium","Low")))</f>
        <v/>
      </c>
      <c r="O68" s="0" t="str">
        <f aca="true">IF(A68="","",IF(OR(M68="Closed",N68=""),"",TODAY()-N68))</f>
        <v/>
      </c>
    </row>
    <row r="69" customFormat="false" ht="15" hidden="false" customHeight="false" outlineLevel="0" collapsed="false">
      <c r="G69" s="0" t="str">
        <f aca="false">IF(A69="","",IF(AND(E69&lt;&gt;"",F69&lt;&gt;""),E69*F69,""))</f>
        <v/>
      </c>
      <c r="H69" s="0" t="str">
        <f aca="false">IF(G69="","",IF(G69&gt;=15,"High",IF(G69&gt;=8,"Medium","Low")))</f>
        <v/>
      </c>
      <c r="O69" s="0" t="str">
        <f aca="true">IF(A69="","",IF(OR(M69="Closed",N69=""),"",TODAY()-N69))</f>
        <v/>
      </c>
    </row>
    <row r="70" customFormat="false" ht="15" hidden="false" customHeight="false" outlineLevel="0" collapsed="false">
      <c r="G70" s="0" t="str">
        <f aca="false">IF(A70="","",IF(AND(E70&lt;&gt;"",F70&lt;&gt;""),E70*F70,""))</f>
        <v/>
      </c>
      <c r="H70" s="0" t="str">
        <f aca="false">IF(G70="","",IF(G70&gt;=15,"High",IF(G70&gt;=8,"Medium","Low")))</f>
        <v/>
      </c>
      <c r="O70" s="0" t="str">
        <f aca="true">IF(A70="","",IF(OR(M70="Closed",N70=""),"",TODAY()-N70))</f>
        <v/>
      </c>
    </row>
    <row r="71" customFormat="false" ht="15" hidden="false" customHeight="false" outlineLevel="0" collapsed="false">
      <c r="G71" s="0" t="str">
        <f aca="false">IF(A71="","",IF(AND(E71&lt;&gt;"",F71&lt;&gt;""),E71*F71,""))</f>
        <v/>
      </c>
      <c r="H71" s="0" t="str">
        <f aca="false">IF(G71="","",IF(G71&gt;=15,"High",IF(G71&gt;=8,"Medium","Low")))</f>
        <v/>
      </c>
      <c r="O71" s="0" t="str">
        <f aca="true">IF(A71="","",IF(OR(M71="Closed",N71=""),"",TODAY()-N71))</f>
        <v/>
      </c>
    </row>
    <row r="72" customFormat="false" ht="15" hidden="false" customHeight="false" outlineLevel="0" collapsed="false">
      <c r="G72" s="0" t="str">
        <f aca="false">IF(A72="","",IF(AND(E72&lt;&gt;"",F72&lt;&gt;""),E72*F72,""))</f>
        <v/>
      </c>
      <c r="H72" s="0" t="str">
        <f aca="false">IF(G72="","",IF(G72&gt;=15,"High",IF(G72&gt;=8,"Medium","Low")))</f>
        <v/>
      </c>
      <c r="O72" s="0" t="str">
        <f aca="true">IF(A72="","",IF(OR(M72="Closed",N72=""),"",TODAY()-N72))</f>
        <v/>
      </c>
    </row>
    <row r="73" customFormat="false" ht="15" hidden="false" customHeight="false" outlineLevel="0" collapsed="false">
      <c r="G73" s="0" t="str">
        <f aca="false">IF(A73="","",IF(AND(E73&lt;&gt;"",F73&lt;&gt;""),E73*F73,""))</f>
        <v/>
      </c>
      <c r="H73" s="0" t="str">
        <f aca="false">IF(G73="","",IF(G73&gt;=15,"High",IF(G73&gt;=8,"Medium","Low")))</f>
        <v/>
      </c>
      <c r="O73" s="0" t="str">
        <f aca="true">IF(A73="","",IF(OR(M73="Closed",N73=""),"",TODAY()-N73))</f>
        <v/>
      </c>
    </row>
    <row r="74" customFormat="false" ht="15" hidden="false" customHeight="false" outlineLevel="0" collapsed="false">
      <c r="G74" s="0" t="str">
        <f aca="false">IF(A74="","",IF(AND(E74&lt;&gt;"",F74&lt;&gt;""),E74*F74,""))</f>
        <v/>
      </c>
      <c r="H74" s="0" t="str">
        <f aca="false">IF(G74="","",IF(G74&gt;=15,"High",IF(G74&gt;=8,"Medium","Low")))</f>
        <v/>
      </c>
      <c r="O74" s="0" t="str">
        <f aca="true">IF(A74="","",IF(OR(M74="Closed",N74=""),"",TODAY()-N74))</f>
        <v/>
      </c>
    </row>
    <row r="75" customFormat="false" ht="15" hidden="false" customHeight="false" outlineLevel="0" collapsed="false">
      <c r="G75" s="0" t="str">
        <f aca="false">IF(A75="","",IF(AND(E75&lt;&gt;"",F75&lt;&gt;""),E75*F75,""))</f>
        <v/>
      </c>
      <c r="H75" s="0" t="str">
        <f aca="false">IF(G75="","",IF(G75&gt;=15,"High",IF(G75&gt;=8,"Medium","Low")))</f>
        <v/>
      </c>
      <c r="O75" s="0" t="str">
        <f aca="true">IF(A75="","",IF(OR(M75="Closed",N75=""),"",TODAY()-N75))</f>
        <v/>
      </c>
    </row>
    <row r="76" customFormat="false" ht="15" hidden="false" customHeight="false" outlineLevel="0" collapsed="false">
      <c r="G76" s="0" t="str">
        <f aca="false">IF(A76="","",IF(AND(E76&lt;&gt;"",F76&lt;&gt;""),E76*F76,""))</f>
        <v/>
      </c>
      <c r="H76" s="0" t="str">
        <f aca="false">IF(G76="","",IF(G76&gt;=15,"High",IF(G76&gt;=8,"Medium","Low")))</f>
        <v/>
      </c>
      <c r="O76" s="0" t="str">
        <f aca="true">IF(A76="","",IF(OR(M76="Closed",N76=""),"",TODAY()-N76))</f>
        <v/>
      </c>
    </row>
    <row r="77" customFormat="false" ht="15" hidden="false" customHeight="false" outlineLevel="0" collapsed="false">
      <c r="G77" s="0" t="str">
        <f aca="false">IF(A77="","",IF(AND(E77&lt;&gt;"",F77&lt;&gt;""),E77*F77,""))</f>
        <v/>
      </c>
      <c r="H77" s="0" t="str">
        <f aca="false">IF(G77="","",IF(G77&gt;=15,"High",IF(G77&gt;=8,"Medium","Low")))</f>
        <v/>
      </c>
      <c r="O77" s="0" t="str">
        <f aca="true">IF(A77="","",IF(OR(M77="Closed",N77=""),"",TODAY()-N77))</f>
        <v/>
      </c>
    </row>
    <row r="78" customFormat="false" ht="15" hidden="false" customHeight="false" outlineLevel="0" collapsed="false">
      <c r="G78" s="0" t="str">
        <f aca="false">IF(A78="","",IF(AND(E78&lt;&gt;"",F78&lt;&gt;""),E78*F78,""))</f>
        <v/>
      </c>
      <c r="H78" s="0" t="str">
        <f aca="false">IF(G78="","",IF(G78&gt;=15,"High",IF(G78&gt;=8,"Medium","Low")))</f>
        <v/>
      </c>
      <c r="O78" s="0" t="str">
        <f aca="true">IF(A78="","",IF(OR(M78="Closed",N78=""),"",TODAY()-N78))</f>
        <v/>
      </c>
    </row>
    <row r="79" customFormat="false" ht="15" hidden="false" customHeight="false" outlineLevel="0" collapsed="false">
      <c r="G79" s="0" t="str">
        <f aca="false">IF(A79="","",IF(AND(E79&lt;&gt;"",F79&lt;&gt;""),E79*F79,""))</f>
        <v/>
      </c>
      <c r="H79" s="0" t="str">
        <f aca="false">IF(G79="","",IF(G79&gt;=15,"High",IF(G79&gt;=8,"Medium","Low")))</f>
        <v/>
      </c>
      <c r="O79" s="0" t="str">
        <f aca="true">IF(A79="","",IF(OR(M79="Closed",N79=""),"",TODAY()-N79))</f>
        <v/>
      </c>
    </row>
    <row r="80" customFormat="false" ht="15" hidden="false" customHeight="false" outlineLevel="0" collapsed="false">
      <c r="G80" s="0" t="str">
        <f aca="false">IF(A80="","",IF(AND(E80&lt;&gt;"",F80&lt;&gt;""),E80*F80,""))</f>
        <v/>
      </c>
      <c r="H80" s="0" t="str">
        <f aca="false">IF(G80="","",IF(G80&gt;=15,"High",IF(G80&gt;=8,"Medium","Low")))</f>
        <v/>
      </c>
      <c r="O80" s="0" t="str">
        <f aca="true">IF(A80="","",IF(OR(M80="Closed",N80=""),"",TODAY()-N80))</f>
        <v/>
      </c>
    </row>
    <row r="81" customFormat="false" ht="15" hidden="false" customHeight="false" outlineLevel="0" collapsed="false">
      <c r="G81" s="0" t="str">
        <f aca="false">IF(A81="","",IF(AND(E81&lt;&gt;"",F81&lt;&gt;""),E81*F81,""))</f>
        <v/>
      </c>
      <c r="H81" s="0" t="str">
        <f aca="false">IF(G81="","",IF(G81&gt;=15,"High",IF(G81&gt;=8,"Medium","Low")))</f>
        <v/>
      </c>
      <c r="O81" s="0" t="str">
        <f aca="true">IF(A81="","",IF(OR(M81="Closed",N81=""),"",TODAY()-N81))</f>
        <v/>
      </c>
    </row>
    <row r="82" customFormat="false" ht="15" hidden="false" customHeight="false" outlineLevel="0" collapsed="false">
      <c r="G82" s="0" t="str">
        <f aca="false">IF(A82="","",IF(AND(E82&lt;&gt;"",F82&lt;&gt;""),E82*F82,""))</f>
        <v/>
      </c>
      <c r="H82" s="0" t="str">
        <f aca="false">IF(G82="","",IF(G82&gt;=15,"High",IF(G82&gt;=8,"Medium","Low")))</f>
        <v/>
      </c>
      <c r="O82" s="0" t="str">
        <f aca="true">IF(A82="","",IF(OR(M82="Closed",N82=""),"",TODAY()-N82))</f>
        <v/>
      </c>
    </row>
    <row r="83" customFormat="false" ht="15" hidden="false" customHeight="false" outlineLevel="0" collapsed="false">
      <c r="G83" s="0" t="str">
        <f aca="false">IF(A83="","",IF(AND(E83&lt;&gt;"",F83&lt;&gt;""),E83*F83,""))</f>
        <v/>
      </c>
      <c r="H83" s="0" t="str">
        <f aca="false">IF(G83="","",IF(G83&gt;=15,"High",IF(G83&gt;=8,"Medium","Low")))</f>
        <v/>
      </c>
      <c r="O83" s="0" t="str">
        <f aca="true">IF(A83="","",IF(OR(M83="Closed",N83=""),"",TODAY()-N83))</f>
        <v/>
      </c>
    </row>
    <row r="84" customFormat="false" ht="15" hidden="false" customHeight="false" outlineLevel="0" collapsed="false">
      <c r="G84" s="0" t="str">
        <f aca="false">IF(A84="","",IF(AND(E84&lt;&gt;"",F84&lt;&gt;""),E84*F84,""))</f>
        <v/>
      </c>
      <c r="H84" s="0" t="str">
        <f aca="false">IF(G84="","",IF(G84&gt;=15,"High",IF(G84&gt;=8,"Medium","Low")))</f>
        <v/>
      </c>
      <c r="O84" s="0" t="str">
        <f aca="true">IF(A84="","",IF(OR(M84="Closed",N84=""),"",TODAY()-N84))</f>
        <v/>
      </c>
    </row>
    <row r="85" customFormat="false" ht="15" hidden="false" customHeight="false" outlineLevel="0" collapsed="false">
      <c r="G85" s="0" t="str">
        <f aca="false">IF(A85="","",IF(AND(E85&lt;&gt;"",F85&lt;&gt;""),E85*F85,""))</f>
        <v/>
      </c>
      <c r="H85" s="0" t="str">
        <f aca="false">IF(G85="","",IF(G85&gt;=15,"High",IF(G85&gt;=8,"Medium","Low")))</f>
        <v/>
      </c>
      <c r="O85" s="0" t="str">
        <f aca="true">IF(A85="","",IF(OR(M85="Closed",N85=""),"",TODAY()-N85))</f>
        <v/>
      </c>
    </row>
    <row r="86" customFormat="false" ht="15" hidden="false" customHeight="false" outlineLevel="0" collapsed="false">
      <c r="G86" s="0" t="str">
        <f aca="false">IF(A86="","",IF(AND(E86&lt;&gt;"",F86&lt;&gt;""),E86*F86,""))</f>
        <v/>
      </c>
      <c r="H86" s="0" t="str">
        <f aca="false">IF(G86="","",IF(G86&gt;=15,"High",IF(G86&gt;=8,"Medium","Low")))</f>
        <v/>
      </c>
      <c r="O86" s="0" t="str">
        <f aca="true">IF(A86="","",IF(OR(M86="Closed",N86=""),"",TODAY()-N86))</f>
        <v/>
      </c>
    </row>
    <row r="87" customFormat="false" ht="15" hidden="false" customHeight="false" outlineLevel="0" collapsed="false">
      <c r="G87" s="0" t="str">
        <f aca="false">IF(A87="","",IF(AND(E87&lt;&gt;"",F87&lt;&gt;""),E87*F87,""))</f>
        <v/>
      </c>
      <c r="H87" s="0" t="str">
        <f aca="false">IF(G87="","",IF(G87&gt;=15,"High",IF(G87&gt;=8,"Medium","Low")))</f>
        <v/>
      </c>
      <c r="O87" s="0" t="str">
        <f aca="true">IF(A87="","",IF(OR(M87="Closed",N87=""),"",TODAY()-N87))</f>
        <v/>
      </c>
    </row>
    <row r="88" customFormat="false" ht="15" hidden="false" customHeight="false" outlineLevel="0" collapsed="false">
      <c r="G88" s="0" t="str">
        <f aca="false">IF(A88="","",IF(AND(E88&lt;&gt;"",F88&lt;&gt;""),E88*F88,""))</f>
        <v/>
      </c>
      <c r="H88" s="0" t="str">
        <f aca="false">IF(G88="","",IF(G88&gt;=15,"High",IF(G88&gt;=8,"Medium","Low")))</f>
        <v/>
      </c>
      <c r="O88" s="0" t="str">
        <f aca="true">IF(A88="","",IF(OR(M88="Closed",N88=""),"",TODAY()-N88))</f>
        <v/>
      </c>
    </row>
    <row r="89" customFormat="false" ht="15" hidden="false" customHeight="false" outlineLevel="0" collapsed="false">
      <c r="G89" s="0" t="str">
        <f aca="false">IF(A89="","",IF(AND(E89&lt;&gt;"",F89&lt;&gt;""),E89*F89,""))</f>
        <v/>
      </c>
      <c r="H89" s="0" t="str">
        <f aca="false">IF(G89="","",IF(G89&gt;=15,"High",IF(G89&gt;=8,"Medium","Low")))</f>
        <v/>
      </c>
      <c r="O89" s="0" t="str">
        <f aca="true">IF(A89="","",IF(OR(M89="Closed",N89=""),"",TODAY()-N89))</f>
        <v/>
      </c>
    </row>
    <row r="90" customFormat="false" ht="15" hidden="false" customHeight="false" outlineLevel="0" collapsed="false">
      <c r="G90" s="0" t="str">
        <f aca="false">IF(A90="","",IF(AND(E90&lt;&gt;"",F90&lt;&gt;""),E90*F90,""))</f>
        <v/>
      </c>
      <c r="H90" s="0" t="str">
        <f aca="false">IF(G90="","",IF(G90&gt;=15,"High",IF(G90&gt;=8,"Medium","Low")))</f>
        <v/>
      </c>
      <c r="O90" s="0" t="str">
        <f aca="true">IF(A90="","",IF(OR(M90="Closed",N90=""),"",TODAY()-N90))</f>
        <v/>
      </c>
    </row>
    <row r="91" customFormat="false" ht="15" hidden="false" customHeight="false" outlineLevel="0" collapsed="false">
      <c r="G91" s="0" t="str">
        <f aca="false">IF(A91="","",IF(AND(E91&lt;&gt;"",F91&lt;&gt;""),E91*F91,""))</f>
        <v/>
      </c>
      <c r="H91" s="0" t="str">
        <f aca="false">IF(G91="","",IF(G91&gt;=15,"High",IF(G91&gt;=8,"Medium","Low")))</f>
        <v/>
      </c>
      <c r="O91" s="0" t="str">
        <f aca="true">IF(A91="","",IF(OR(M91="Closed",N91=""),"",TODAY()-N91))</f>
        <v/>
      </c>
    </row>
    <row r="92" customFormat="false" ht="15" hidden="false" customHeight="false" outlineLevel="0" collapsed="false">
      <c r="G92" s="0" t="str">
        <f aca="false">IF(A92="","",IF(AND(E92&lt;&gt;"",F92&lt;&gt;""),E92*F92,""))</f>
        <v/>
      </c>
      <c r="H92" s="0" t="str">
        <f aca="false">IF(G92="","",IF(G92&gt;=15,"High",IF(G92&gt;=8,"Medium","Low")))</f>
        <v/>
      </c>
      <c r="O92" s="0" t="str">
        <f aca="true">IF(A92="","",IF(OR(M92="Closed",N92=""),"",TODAY()-N92))</f>
        <v/>
      </c>
    </row>
    <row r="93" customFormat="false" ht="15" hidden="false" customHeight="false" outlineLevel="0" collapsed="false">
      <c r="G93" s="0" t="str">
        <f aca="false">IF(A93="","",IF(AND(E93&lt;&gt;"",F93&lt;&gt;""),E93*F93,""))</f>
        <v/>
      </c>
      <c r="H93" s="0" t="str">
        <f aca="false">IF(G93="","",IF(G93&gt;=15,"High",IF(G93&gt;=8,"Medium","Low")))</f>
        <v/>
      </c>
      <c r="O93" s="0" t="str">
        <f aca="true">IF(A93="","",IF(OR(M93="Closed",N93=""),"",TODAY()-N93))</f>
        <v/>
      </c>
    </row>
    <row r="94" customFormat="false" ht="15" hidden="false" customHeight="false" outlineLevel="0" collapsed="false">
      <c r="G94" s="0" t="str">
        <f aca="false">IF(A94="","",IF(AND(E94&lt;&gt;"",F94&lt;&gt;""),E94*F94,""))</f>
        <v/>
      </c>
      <c r="H94" s="0" t="str">
        <f aca="false">IF(G94="","",IF(G94&gt;=15,"High",IF(G94&gt;=8,"Medium","Low")))</f>
        <v/>
      </c>
      <c r="O94" s="0" t="str">
        <f aca="true">IF(A94="","",IF(OR(M94="Closed",N94=""),"",TODAY()-N94))</f>
        <v/>
      </c>
    </row>
    <row r="95" customFormat="false" ht="15" hidden="false" customHeight="false" outlineLevel="0" collapsed="false">
      <c r="G95" s="0" t="str">
        <f aca="false">IF(A95="","",IF(AND(E95&lt;&gt;"",F95&lt;&gt;""),E95*F95,""))</f>
        <v/>
      </c>
      <c r="H95" s="0" t="str">
        <f aca="false">IF(G95="","",IF(G95&gt;=15,"High",IF(G95&gt;=8,"Medium","Low")))</f>
        <v/>
      </c>
      <c r="O95" s="0" t="str">
        <f aca="true">IF(A95="","",IF(OR(M95="Closed",N95=""),"",TODAY()-N95))</f>
        <v/>
      </c>
    </row>
    <row r="96" customFormat="false" ht="15" hidden="false" customHeight="false" outlineLevel="0" collapsed="false">
      <c r="G96" s="0" t="str">
        <f aca="false">IF(A96="","",IF(AND(E96&lt;&gt;"",F96&lt;&gt;""),E96*F96,""))</f>
        <v/>
      </c>
      <c r="H96" s="0" t="str">
        <f aca="false">IF(G96="","",IF(G96&gt;=15,"High",IF(G96&gt;=8,"Medium","Low")))</f>
        <v/>
      </c>
      <c r="O96" s="0" t="str">
        <f aca="true">IF(A96="","",IF(OR(M96="Closed",N96=""),"",TODAY()-N96))</f>
        <v/>
      </c>
    </row>
    <row r="97" customFormat="false" ht="15" hidden="false" customHeight="false" outlineLevel="0" collapsed="false">
      <c r="G97" s="0" t="str">
        <f aca="false">IF(A97="","",IF(AND(E97&lt;&gt;"",F97&lt;&gt;""),E97*F97,""))</f>
        <v/>
      </c>
      <c r="H97" s="0" t="str">
        <f aca="false">IF(G97="","",IF(G97&gt;=15,"High",IF(G97&gt;=8,"Medium","Low")))</f>
        <v/>
      </c>
      <c r="O97" s="0" t="str">
        <f aca="true">IF(A97="","",IF(OR(M97="Closed",N97=""),"",TODAY()-N97))</f>
        <v/>
      </c>
    </row>
    <row r="98" customFormat="false" ht="15" hidden="false" customHeight="false" outlineLevel="0" collapsed="false">
      <c r="G98" s="0" t="str">
        <f aca="false">IF(A98="","",IF(AND(E98&lt;&gt;"",F98&lt;&gt;""),E98*F98,""))</f>
        <v/>
      </c>
      <c r="H98" s="0" t="str">
        <f aca="false">IF(G98="","",IF(G98&gt;=15,"High",IF(G98&gt;=8,"Medium","Low")))</f>
        <v/>
      </c>
      <c r="O98" s="0" t="str">
        <f aca="true">IF(A98="","",IF(OR(M98="Closed",N98=""),"",TODAY()-N98))</f>
        <v/>
      </c>
    </row>
    <row r="99" customFormat="false" ht="15" hidden="false" customHeight="false" outlineLevel="0" collapsed="false">
      <c r="G99" s="0" t="str">
        <f aca="false">IF(A99="","",IF(AND(E99&lt;&gt;"",F99&lt;&gt;""),E99*F99,""))</f>
        <v/>
      </c>
      <c r="H99" s="0" t="str">
        <f aca="false">IF(G99="","",IF(G99&gt;=15,"High",IF(G99&gt;=8,"Medium","Low")))</f>
        <v/>
      </c>
      <c r="O99" s="0" t="str">
        <f aca="true">IF(A99="","",IF(OR(M99="Closed",N99=""),"",TODAY()-N99))</f>
        <v/>
      </c>
    </row>
    <row r="100" customFormat="false" ht="15" hidden="false" customHeight="false" outlineLevel="0" collapsed="false">
      <c r="G100" s="0" t="str">
        <f aca="false">IF(A100="","",IF(AND(E100&lt;&gt;"",F100&lt;&gt;""),E100*F100,""))</f>
        <v/>
      </c>
      <c r="H100" s="0" t="str">
        <f aca="false">IF(G100="","",IF(G100&gt;=15,"High",IF(G100&gt;=8,"Medium","Low")))</f>
        <v/>
      </c>
      <c r="O100" s="0" t="str">
        <f aca="true">IF(A100="","",IF(OR(M100="Closed",N100=""),"",TODAY()-N100))</f>
        <v/>
      </c>
    </row>
    <row r="101" customFormat="false" ht="15" hidden="false" customHeight="false" outlineLevel="0" collapsed="false">
      <c r="G101" s="0" t="str">
        <f aca="false">IF(A101="","",IF(AND(E101&lt;&gt;"",F101&lt;&gt;""),E101*F101,""))</f>
        <v/>
      </c>
      <c r="H101" s="0" t="str">
        <f aca="false">IF(G101="","",IF(G101&gt;=15,"High",IF(G101&gt;=8,"Medium","Low")))</f>
        <v/>
      </c>
      <c r="O101" s="0" t="str">
        <f aca="true">IF(A101="","",IF(OR(M101="Closed",N101=""),"",TODAY()-N101))</f>
        <v/>
      </c>
    </row>
    <row r="102" customFormat="false" ht="15" hidden="false" customHeight="false" outlineLevel="0" collapsed="false">
      <c r="G102" s="0" t="str">
        <f aca="false">IF(A102="","",IF(AND(E102&lt;&gt;"",F102&lt;&gt;""),E102*F102,""))</f>
        <v/>
      </c>
      <c r="H102" s="0" t="str">
        <f aca="false">IF(G102="","",IF(G102&gt;=15,"High",IF(G102&gt;=8,"Medium","Low")))</f>
        <v/>
      </c>
      <c r="O102" s="0" t="str">
        <f aca="true">IF(A102="","",IF(OR(M102="Closed",N102=""),"",TODAY()-N102))</f>
        <v/>
      </c>
    </row>
    <row r="103" customFormat="false" ht="15" hidden="false" customHeight="false" outlineLevel="0" collapsed="false">
      <c r="G103" s="0" t="str">
        <f aca="false">IF(A103="","",IF(AND(E103&lt;&gt;"",F103&lt;&gt;""),E103*F103,""))</f>
        <v/>
      </c>
      <c r="H103" s="0" t="str">
        <f aca="false">IF(G103="","",IF(G103&gt;=15,"High",IF(G103&gt;=8,"Medium","Low")))</f>
        <v/>
      </c>
      <c r="O103" s="0" t="str">
        <f aca="true">IF(A103="","",IF(OR(M103="Closed",N103=""),"",TODAY()-N103))</f>
        <v/>
      </c>
    </row>
    <row r="104" customFormat="false" ht="15" hidden="false" customHeight="false" outlineLevel="0" collapsed="false">
      <c r="G104" s="0" t="str">
        <f aca="false">IF(A104="","",IF(AND(E104&lt;&gt;"",F104&lt;&gt;""),E104*F104,""))</f>
        <v/>
      </c>
      <c r="H104" s="0" t="str">
        <f aca="false">IF(G104="","",IF(G104&gt;=15,"High",IF(G104&gt;=8,"Medium","Low")))</f>
        <v/>
      </c>
      <c r="O104" s="0" t="str">
        <f aca="true">IF(A104="","",IF(OR(M104="Closed",N104=""),"",TODAY()-N104))</f>
        <v/>
      </c>
    </row>
    <row r="105" customFormat="false" ht="15" hidden="false" customHeight="false" outlineLevel="0" collapsed="false">
      <c r="G105" s="0" t="str">
        <f aca="false">IF(A105="","",IF(AND(E105&lt;&gt;"",F105&lt;&gt;""),E105*F105,""))</f>
        <v/>
      </c>
      <c r="H105" s="0" t="str">
        <f aca="false">IF(G105="","",IF(G105&gt;=15,"High",IF(G105&gt;=8,"Medium","Low")))</f>
        <v/>
      </c>
      <c r="O105" s="0" t="str">
        <f aca="true">IF(A105="","",IF(OR(M105="Closed",N105=""),"",TODAY()-N105))</f>
        <v/>
      </c>
    </row>
    <row r="106" customFormat="false" ht="15" hidden="false" customHeight="false" outlineLevel="0" collapsed="false">
      <c r="G106" s="0" t="str">
        <f aca="false">IF(A106="","",IF(AND(E106&lt;&gt;"",F106&lt;&gt;""),E106*F106,""))</f>
        <v/>
      </c>
      <c r="H106" s="0" t="str">
        <f aca="false">IF(G106="","",IF(G106&gt;=15,"High",IF(G106&gt;=8,"Medium","Low")))</f>
        <v/>
      </c>
      <c r="O106" s="0" t="str">
        <f aca="true">IF(A106="","",IF(OR(M106="Closed",N106=""),"",TODAY()-N106))</f>
        <v/>
      </c>
    </row>
    <row r="107" customFormat="false" ht="15" hidden="false" customHeight="false" outlineLevel="0" collapsed="false">
      <c r="G107" s="0" t="str">
        <f aca="false">IF(A107="","",IF(AND(E107&lt;&gt;"",F107&lt;&gt;""),E107*F107,""))</f>
        <v/>
      </c>
      <c r="H107" s="0" t="str">
        <f aca="false">IF(G107="","",IF(G107&gt;=15,"High",IF(G107&gt;=8,"Medium","Low")))</f>
        <v/>
      </c>
      <c r="O107" s="0" t="str">
        <f aca="true">IF(A107="","",IF(OR(M107="Closed",N107=""),"",TODAY()-N107))</f>
        <v/>
      </c>
    </row>
    <row r="108" customFormat="false" ht="15" hidden="false" customHeight="false" outlineLevel="0" collapsed="false">
      <c r="G108" s="0" t="str">
        <f aca="false">IF(A108="","",IF(AND(E108&lt;&gt;"",F108&lt;&gt;""),E108*F108,""))</f>
        <v/>
      </c>
      <c r="H108" s="0" t="str">
        <f aca="false">IF(G108="","",IF(G108&gt;=15,"High",IF(G108&gt;=8,"Medium","Low")))</f>
        <v/>
      </c>
      <c r="O108" s="0" t="str">
        <f aca="true">IF(A108="","",IF(OR(M108="Closed",N108=""),"",TODAY()-N108))</f>
        <v/>
      </c>
    </row>
    <row r="109" customFormat="false" ht="15" hidden="false" customHeight="false" outlineLevel="0" collapsed="false">
      <c r="G109" s="0" t="str">
        <f aca="false">IF(A109="","",IF(AND(E109&lt;&gt;"",F109&lt;&gt;""),E109*F109,""))</f>
        <v/>
      </c>
      <c r="H109" s="0" t="str">
        <f aca="false">IF(G109="","",IF(G109&gt;=15,"High",IF(G109&gt;=8,"Medium","Low")))</f>
        <v/>
      </c>
      <c r="O109" s="0" t="str">
        <f aca="true">IF(A109="","",IF(OR(M109="Closed",N109=""),"",TODAY()-N109))</f>
        <v/>
      </c>
    </row>
    <row r="110" customFormat="false" ht="15" hidden="false" customHeight="false" outlineLevel="0" collapsed="false">
      <c r="G110" s="0" t="str">
        <f aca="false">IF(A110="","",IF(AND(E110&lt;&gt;"",F110&lt;&gt;""),E110*F110,""))</f>
        <v/>
      </c>
      <c r="H110" s="0" t="str">
        <f aca="false">IF(G110="","",IF(G110&gt;=15,"High",IF(G110&gt;=8,"Medium","Low")))</f>
        <v/>
      </c>
      <c r="O110" s="0" t="str">
        <f aca="true">IF(A110="","",IF(OR(M110="Closed",N110=""),"",TODAY()-N110))</f>
        <v/>
      </c>
    </row>
    <row r="111" customFormat="false" ht="15" hidden="false" customHeight="false" outlineLevel="0" collapsed="false">
      <c r="G111" s="0" t="str">
        <f aca="false">IF(A111="","",IF(AND(E111&lt;&gt;"",F111&lt;&gt;""),E111*F111,""))</f>
        <v/>
      </c>
      <c r="H111" s="0" t="str">
        <f aca="false">IF(G111="","",IF(G111&gt;=15,"High",IF(G111&gt;=8,"Medium","Low")))</f>
        <v/>
      </c>
      <c r="O111" s="0" t="str">
        <f aca="true">IF(A111="","",IF(OR(M111="Closed",N111=""),"",TODAY()-N111))</f>
        <v/>
      </c>
    </row>
    <row r="112" customFormat="false" ht="15" hidden="false" customHeight="false" outlineLevel="0" collapsed="false">
      <c r="G112" s="0" t="str">
        <f aca="false">IF(A112="","",IF(AND(E112&lt;&gt;"",F112&lt;&gt;""),E112*F112,""))</f>
        <v/>
      </c>
      <c r="H112" s="0" t="str">
        <f aca="false">IF(G112="","",IF(G112&gt;=15,"High",IF(G112&gt;=8,"Medium","Low")))</f>
        <v/>
      </c>
      <c r="O112" s="0" t="str">
        <f aca="true">IF(A112="","",IF(OR(M112="Closed",N112=""),"",TODAY()-N112))</f>
        <v/>
      </c>
    </row>
    <row r="113" customFormat="false" ht="15" hidden="false" customHeight="false" outlineLevel="0" collapsed="false">
      <c r="G113" s="0" t="str">
        <f aca="false">IF(A113="","",IF(AND(E113&lt;&gt;"",F113&lt;&gt;""),E113*F113,""))</f>
        <v/>
      </c>
      <c r="H113" s="0" t="str">
        <f aca="false">IF(G113="","",IF(G113&gt;=15,"High",IF(G113&gt;=8,"Medium","Low")))</f>
        <v/>
      </c>
      <c r="O113" s="0" t="str">
        <f aca="true">IF(A113="","",IF(OR(M113="Closed",N113=""),"",TODAY()-N113))</f>
        <v/>
      </c>
    </row>
    <row r="114" customFormat="false" ht="15" hidden="false" customHeight="false" outlineLevel="0" collapsed="false">
      <c r="G114" s="0" t="str">
        <f aca="false">IF(A114="","",IF(AND(E114&lt;&gt;"",F114&lt;&gt;""),E114*F114,""))</f>
        <v/>
      </c>
      <c r="H114" s="0" t="str">
        <f aca="false">IF(G114="","",IF(G114&gt;=15,"High",IF(G114&gt;=8,"Medium","Low")))</f>
        <v/>
      </c>
      <c r="O114" s="0" t="str">
        <f aca="true">IF(A114="","",IF(OR(M114="Closed",N114=""),"",TODAY()-N114))</f>
        <v/>
      </c>
    </row>
    <row r="115" customFormat="false" ht="15" hidden="false" customHeight="false" outlineLevel="0" collapsed="false">
      <c r="G115" s="0" t="str">
        <f aca="false">IF(A115="","",IF(AND(E115&lt;&gt;"",F115&lt;&gt;""),E115*F115,""))</f>
        <v/>
      </c>
      <c r="H115" s="0" t="str">
        <f aca="false">IF(G115="","",IF(G115&gt;=15,"High",IF(G115&gt;=8,"Medium","Low")))</f>
        <v/>
      </c>
      <c r="O115" s="0" t="str">
        <f aca="true">IF(A115="","",IF(OR(M115="Closed",N115=""),"",TODAY()-N115))</f>
        <v/>
      </c>
    </row>
    <row r="116" customFormat="false" ht="15" hidden="false" customHeight="false" outlineLevel="0" collapsed="false">
      <c r="G116" s="0" t="str">
        <f aca="false">IF(A116="","",IF(AND(E116&lt;&gt;"",F116&lt;&gt;""),E116*F116,""))</f>
        <v/>
      </c>
      <c r="H116" s="0" t="str">
        <f aca="false">IF(G116="","",IF(G116&gt;=15,"High",IF(G116&gt;=8,"Medium","Low")))</f>
        <v/>
      </c>
      <c r="O116" s="0" t="str">
        <f aca="true">IF(A116="","",IF(OR(M116="Closed",N116=""),"",TODAY()-N116))</f>
        <v/>
      </c>
    </row>
    <row r="117" customFormat="false" ht="15" hidden="false" customHeight="false" outlineLevel="0" collapsed="false">
      <c r="G117" s="0" t="str">
        <f aca="false">IF(A117="","",IF(AND(E117&lt;&gt;"",F117&lt;&gt;""),E117*F117,""))</f>
        <v/>
      </c>
      <c r="H117" s="0" t="str">
        <f aca="false">IF(G117="","",IF(G117&gt;=15,"High",IF(G117&gt;=8,"Medium","Low")))</f>
        <v/>
      </c>
      <c r="O117" s="0" t="str">
        <f aca="true">IF(A117="","",IF(OR(M117="Closed",N117=""),"",TODAY()-N117))</f>
        <v/>
      </c>
    </row>
    <row r="118" customFormat="false" ht="15" hidden="false" customHeight="false" outlineLevel="0" collapsed="false">
      <c r="G118" s="0" t="str">
        <f aca="false">IF(A118="","",IF(AND(E118&lt;&gt;"",F118&lt;&gt;""),E118*F118,""))</f>
        <v/>
      </c>
      <c r="H118" s="0" t="str">
        <f aca="false">IF(G118="","",IF(G118&gt;=15,"High",IF(G118&gt;=8,"Medium","Low")))</f>
        <v/>
      </c>
      <c r="O118" s="0" t="str">
        <f aca="true">IF(A118="","",IF(OR(M118="Closed",N118=""),"",TODAY()-N118))</f>
        <v/>
      </c>
    </row>
    <row r="119" customFormat="false" ht="15" hidden="false" customHeight="false" outlineLevel="0" collapsed="false">
      <c r="G119" s="0" t="str">
        <f aca="false">IF(A119="","",IF(AND(E119&lt;&gt;"",F119&lt;&gt;""),E119*F119,""))</f>
        <v/>
      </c>
      <c r="H119" s="0" t="str">
        <f aca="false">IF(G119="","",IF(G119&gt;=15,"High",IF(G119&gt;=8,"Medium","Low")))</f>
        <v/>
      </c>
      <c r="O119" s="0" t="str">
        <f aca="true">IF(A119="","",IF(OR(M119="Closed",N119=""),"",TODAY()-N119))</f>
        <v/>
      </c>
    </row>
    <row r="120" customFormat="false" ht="15" hidden="false" customHeight="false" outlineLevel="0" collapsed="false">
      <c r="G120" s="0" t="str">
        <f aca="false">IF(A120="","",IF(AND(E120&lt;&gt;"",F120&lt;&gt;""),E120*F120,""))</f>
        <v/>
      </c>
      <c r="H120" s="0" t="str">
        <f aca="false">IF(G120="","",IF(G120&gt;=15,"High",IF(G120&gt;=8,"Medium","Low")))</f>
        <v/>
      </c>
      <c r="O120" s="0" t="str">
        <f aca="true">IF(A120="","",IF(OR(M120="Closed",N120=""),"",TODAY()-N120))</f>
        <v/>
      </c>
    </row>
    <row r="121" customFormat="false" ht="15" hidden="false" customHeight="false" outlineLevel="0" collapsed="false">
      <c r="G121" s="0" t="str">
        <f aca="false">IF(A121="","",IF(AND(E121&lt;&gt;"",F121&lt;&gt;""),E121*F121,""))</f>
        <v/>
      </c>
      <c r="H121" s="0" t="str">
        <f aca="false">IF(G121="","",IF(G121&gt;=15,"High",IF(G121&gt;=8,"Medium","Low")))</f>
        <v/>
      </c>
      <c r="O121" s="0" t="str">
        <f aca="true">IF(A121="","",IF(OR(M121="Closed",N121=""),"",TODAY()-N121))</f>
        <v/>
      </c>
    </row>
    <row r="122" customFormat="false" ht="15" hidden="false" customHeight="false" outlineLevel="0" collapsed="false">
      <c r="G122" s="0" t="str">
        <f aca="false">IF(A122="","",IF(AND(E122&lt;&gt;"",F122&lt;&gt;""),E122*F122,""))</f>
        <v/>
      </c>
      <c r="H122" s="0" t="str">
        <f aca="false">IF(G122="","",IF(G122&gt;=15,"High",IF(G122&gt;=8,"Medium","Low")))</f>
        <v/>
      </c>
      <c r="O122" s="0" t="str">
        <f aca="true">IF(A122="","",IF(OR(M122="Closed",N122=""),"",TODAY()-N122))</f>
        <v/>
      </c>
    </row>
    <row r="123" customFormat="false" ht="15" hidden="false" customHeight="false" outlineLevel="0" collapsed="false">
      <c r="G123" s="0" t="str">
        <f aca="false">IF(A123="","",IF(AND(E123&lt;&gt;"",F123&lt;&gt;""),E123*F123,""))</f>
        <v/>
      </c>
      <c r="H123" s="0" t="str">
        <f aca="false">IF(G123="","",IF(G123&gt;=15,"High",IF(G123&gt;=8,"Medium","Low")))</f>
        <v/>
      </c>
      <c r="O123" s="0" t="str">
        <f aca="true">IF(A123="","",IF(OR(M123="Closed",N123=""),"",TODAY()-N123))</f>
        <v/>
      </c>
    </row>
    <row r="124" customFormat="false" ht="15" hidden="false" customHeight="false" outlineLevel="0" collapsed="false">
      <c r="G124" s="0" t="str">
        <f aca="false">IF(A124="","",IF(AND(E124&lt;&gt;"",F124&lt;&gt;""),E124*F124,""))</f>
        <v/>
      </c>
      <c r="H124" s="0" t="str">
        <f aca="false">IF(G124="","",IF(G124&gt;=15,"High",IF(G124&gt;=8,"Medium","Low")))</f>
        <v/>
      </c>
      <c r="O124" s="0" t="str">
        <f aca="true">IF(A124="","",IF(OR(M124="Closed",N124=""),"",TODAY()-N124))</f>
        <v/>
      </c>
    </row>
    <row r="125" customFormat="false" ht="15" hidden="false" customHeight="false" outlineLevel="0" collapsed="false">
      <c r="G125" s="0" t="str">
        <f aca="false">IF(A125="","",IF(AND(E125&lt;&gt;"",F125&lt;&gt;""),E125*F125,""))</f>
        <v/>
      </c>
      <c r="H125" s="0" t="str">
        <f aca="false">IF(G125="","",IF(G125&gt;=15,"High",IF(G125&gt;=8,"Medium","Low")))</f>
        <v/>
      </c>
      <c r="O125" s="0" t="str">
        <f aca="true">IF(A125="","",IF(OR(M125="Closed",N125=""),"",TODAY()-N125))</f>
        <v/>
      </c>
    </row>
    <row r="126" customFormat="false" ht="15" hidden="false" customHeight="false" outlineLevel="0" collapsed="false">
      <c r="G126" s="0" t="str">
        <f aca="false">IF(A126="","",IF(AND(E126&lt;&gt;"",F126&lt;&gt;""),E126*F126,""))</f>
        <v/>
      </c>
      <c r="H126" s="0" t="str">
        <f aca="false">IF(G126="","",IF(G126&gt;=15,"High",IF(G126&gt;=8,"Medium","Low")))</f>
        <v/>
      </c>
      <c r="O126" s="0" t="str">
        <f aca="true">IF(A126="","",IF(OR(M126="Closed",N126=""),"",TODAY()-N126))</f>
        <v/>
      </c>
    </row>
    <row r="127" customFormat="false" ht="15" hidden="false" customHeight="false" outlineLevel="0" collapsed="false">
      <c r="G127" s="0" t="str">
        <f aca="false">IF(A127="","",IF(AND(E127&lt;&gt;"",F127&lt;&gt;""),E127*F127,""))</f>
        <v/>
      </c>
      <c r="H127" s="0" t="str">
        <f aca="false">IF(G127="","",IF(G127&gt;=15,"High",IF(G127&gt;=8,"Medium","Low")))</f>
        <v/>
      </c>
      <c r="O127" s="0" t="str">
        <f aca="true">IF(A127="","",IF(OR(M127="Closed",N127=""),"",TODAY()-N127))</f>
        <v/>
      </c>
    </row>
    <row r="128" customFormat="false" ht="15" hidden="false" customHeight="false" outlineLevel="0" collapsed="false">
      <c r="G128" s="0" t="str">
        <f aca="false">IF(A128="","",IF(AND(E128&lt;&gt;"",F128&lt;&gt;""),E128*F128,""))</f>
        <v/>
      </c>
      <c r="H128" s="0" t="str">
        <f aca="false">IF(G128="","",IF(G128&gt;=15,"High",IF(G128&gt;=8,"Medium","Low")))</f>
        <v/>
      </c>
      <c r="O128" s="0" t="str">
        <f aca="true">IF(A128="","",IF(OR(M128="Closed",N128=""),"",TODAY()-N128))</f>
        <v/>
      </c>
    </row>
    <row r="129" customFormat="false" ht="15" hidden="false" customHeight="false" outlineLevel="0" collapsed="false">
      <c r="G129" s="0" t="str">
        <f aca="false">IF(A129="","",IF(AND(E129&lt;&gt;"",F129&lt;&gt;""),E129*F129,""))</f>
        <v/>
      </c>
      <c r="H129" s="0" t="str">
        <f aca="false">IF(G129="","",IF(G129&gt;=15,"High",IF(G129&gt;=8,"Medium","Low")))</f>
        <v/>
      </c>
      <c r="O129" s="0" t="str">
        <f aca="true">IF(A129="","",IF(OR(M129="Closed",N129=""),"",TODAY()-N129))</f>
        <v/>
      </c>
    </row>
    <row r="130" customFormat="false" ht="15" hidden="false" customHeight="false" outlineLevel="0" collapsed="false">
      <c r="G130" s="0" t="str">
        <f aca="false">IF(A130="","",IF(AND(E130&lt;&gt;"",F130&lt;&gt;""),E130*F130,""))</f>
        <v/>
      </c>
      <c r="H130" s="0" t="str">
        <f aca="false">IF(G130="","",IF(G130&gt;=15,"High",IF(G130&gt;=8,"Medium","Low")))</f>
        <v/>
      </c>
      <c r="O130" s="0" t="str">
        <f aca="true">IF(A130="","",IF(OR(M130="Closed",N130=""),"",TODAY()-N130))</f>
        <v/>
      </c>
    </row>
    <row r="131" customFormat="false" ht="15" hidden="false" customHeight="false" outlineLevel="0" collapsed="false">
      <c r="G131" s="0" t="str">
        <f aca="false">IF(A131="","",IF(AND(E131&lt;&gt;"",F131&lt;&gt;""),E131*F131,""))</f>
        <v/>
      </c>
      <c r="H131" s="0" t="str">
        <f aca="false">IF(G131="","",IF(G131&gt;=15,"High",IF(G131&gt;=8,"Medium","Low")))</f>
        <v/>
      </c>
      <c r="O131" s="0" t="str">
        <f aca="true">IF(A131="","",IF(OR(M131="Closed",N131=""),"",TODAY()-N131))</f>
        <v/>
      </c>
    </row>
    <row r="132" customFormat="false" ht="15" hidden="false" customHeight="false" outlineLevel="0" collapsed="false">
      <c r="G132" s="0" t="str">
        <f aca="false">IF(A132="","",IF(AND(E132&lt;&gt;"",F132&lt;&gt;""),E132*F132,""))</f>
        <v/>
      </c>
      <c r="H132" s="0" t="str">
        <f aca="false">IF(G132="","",IF(G132&gt;=15,"High",IF(G132&gt;=8,"Medium","Low")))</f>
        <v/>
      </c>
      <c r="O132" s="0" t="str">
        <f aca="true">IF(A132="","",IF(OR(M132="Closed",N132=""),"",TODAY()-N132))</f>
        <v/>
      </c>
    </row>
    <row r="133" customFormat="false" ht="15" hidden="false" customHeight="false" outlineLevel="0" collapsed="false">
      <c r="G133" s="0" t="str">
        <f aca="false">IF(A133="","",IF(AND(E133&lt;&gt;"",F133&lt;&gt;""),E133*F133,""))</f>
        <v/>
      </c>
      <c r="H133" s="0" t="str">
        <f aca="false">IF(G133="","",IF(G133&gt;=15,"High",IF(G133&gt;=8,"Medium","Low")))</f>
        <v/>
      </c>
      <c r="O133" s="0" t="str">
        <f aca="true">IF(A133="","",IF(OR(M133="Closed",N133=""),"",TODAY()-N133))</f>
        <v/>
      </c>
    </row>
    <row r="134" customFormat="false" ht="15" hidden="false" customHeight="false" outlineLevel="0" collapsed="false">
      <c r="G134" s="0" t="str">
        <f aca="false">IF(A134="","",IF(AND(E134&lt;&gt;"",F134&lt;&gt;""),E134*F134,""))</f>
        <v/>
      </c>
      <c r="H134" s="0" t="str">
        <f aca="false">IF(G134="","",IF(G134&gt;=15,"High",IF(G134&gt;=8,"Medium","Low")))</f>
        <v/>
      </c>
      <c r="O134" s="0" t="str">
        <f aca="true">IF(A134="","",IF(OR(M134="Closed",N134=""),"",TODAY()-N134))</f>
        <v/>
      </c>
    </row>
    <row r="135" customFormat="false" ht="15" hidden="false" customHeight="false" outlineLevel="0" collapsed="false">
      <c r="G135" s="0" t="str">
        <f aca="false">IF(A135="","",IF(AND(E135&lt;&gt;"",F135&lt;&gt;""),E135*F135,""))</f>
        <v/>
      </c>
      <c r="H135" s="0" t="str">
        <f aca="false">IF(G135="","",IF(G135&gt;=15,"High",IF(G135&gt;=8,"Medium","Low")))</f>
        <v/>
      </c>
      <c r="O135" s="0" t="str">
        <f aca="true">IF(A135="","",IF(OR(M135="Closed",N135=""),"",TODAY()-N135))</f>
        <v/>
      </c>
    </row>
    <row r="136" customFormat="false" ht="15" hidden="false" customHeight="false" outlineLevel="0" collapsed="false">
      <c r="G136" s="0" t="str">
        <f aca="false">IF(A136="","",IF(AND(E136&lt;&gt;"",F136&lt;&gt;""),E136*F136,""))</f>
        <v/>
      </c>
      <c r="H136" s="0" t="str">
        <f aca="false">IF(G136="","",IF(G136&gt;=15,"High",IF(G136&gt;=8,"Medium","Low")))</f>
        <v/>
      </c>
      <c r="O136" s="0" t="str">
        <f aca="true">IF(A136="","",IF(OR(M136="Closed",N136=""),"",TODAY()-N136))</f>
        <v/>
      </c>
    </row>
    <row r="137" customFormat="false" ht="15" hidden="false" customHeight="false" outlineLevel="0" collapsed="false">
      <c r="G137" s="0" t="str">
        <f aca="false">IF(A137="","",IF(AND(E137&lt;&gt;"",F137&lt;&gt;""),E137*F137,""))</f>
        <v/>
      </c>
      <c r="H137" s="0" t="str">
        <f aca="false">IF(G137="","",IF(G137&gt;=15,"High",IF(G137&gt;=8,"Medium","Low")))</f>
        <v/>
      </c>
      <c r="O137" s="0" t="str">
        <f aca="true">IF(A137="","",IF(OR(M137="Closed",N137=""),"",TODAY()-N137))</f>
        <v/>
      </c>
    </row>
    <row r="138" customFormat="false" ht="15" hidden="false" customHeight="false" outlineLevel="0" collapsed="false">
      <c r="G138" s="0" t="str">
        <f aca="false">IF(A138="","",IF(AND(E138&lt;&gt;"",F138&lt;&gt;""),E138*F138,""))</f>
        <v/>
      </c>
      <c r="H138" s="0" t="str">
        <f aca="false">IF(G138="","",IF(G138&gt;=15,"High",IF(G138&gt;=8,"Medium","Low")))</f>
        <v/>
      </c>
      <c r="O138" s="0" t="str">
        <f aca="true">IF(A138="","",IF(OR(M138="Closed",N138=""),"",TODAY()-N138))</f>
        <v/>
      </c>
    </row>
    <row r="139" customFormat="false" ht="15" hidden="false" customHeight="false" outlineLevel="0" collapsed="false">
      <c r="G139" s="0" t="str">
        <f aca="false">IF(A139="","",IF(AND(E139&lt;&gt;"",F139&lt;&gt;""),E139*F139,""))</f>
        <v/>
      </c>
      <c r="H139" s="0" t="str">
        <f aca="false">IF(G139="","",IF(G139&gt;=15,"High",IF(G139&gt;=8,"Medium","Low")))</f>
        <v/>
      </c>
      <c r="O139" s="0" t="str">
        <f aca="true">IF(A139="","",IF(OR(M139="Closed",N139=""),"",TODAY()-N139))</f>
        <v/>
      </c>
    </row>
    <row r="140" customFormat="false" ht="15" hidden="false" customHeight="false" outlineLevel="0" collapsed="false">
      <c r="G140" s="0" t="str">
        <f aca="false">IF(A140="","",IF(AND(E140&lt;&gt;"",F140&lt;&gt;""),E140*F140,""))</f>
        <v/>
      </c>
      <c r="H140" s="0" t="str">
        <f aca="false">IF(G140="","",IF(G140&gt;=15,"High",IF(G140&gt;=8,"Medium","Low")))</f>
        <v/>
      </c>
      <c r="O140" s="0" t="str">
        <f aca="true">IF(A140="","",IF(OR(M140="Closed",N140=""),"",TODAY()-N140))</f>
        <v/>
      </c>
    </row>
    <row r="141" customFormat="false" ht="15" hidden="false" customHeight="false" outlineLevel="0" collapsed="false">
      <c r="G141" s="0" t="str">
        <f aca="false">IF(A141="","",IF(AND(E141&lt;&gt;"",F141&lt;&gt;""),E141*F141,""))</f>
        <v/>
      </c>
      <c r="H141" s="0" t="str">
        <f aca="false">IF(G141="","",IF(G141&gt;=15,"High",IF(G141&gt;=8,"Medium","Low")))</f>
        <v/>
      </c>
      <c r="O141" s="0" t="str">
        <f aca="true">IF(A141="","",IF(OR(M141="Closed",N141=""),"",TODAY()-N141))</f>
        <v/>
      </c>
    </row>
    <row r="142" customFormat="false" ht="15" hidden="false" customHeight="false" outlineLevel="0" collapsed="false">
      <c r="G142" s="0" t="str">
        <f aca="false">IF(A142="","",IF(AND(E142&lt;&gt;"",F142&lt;&gt;""),E142*F142,""))</f>
        <v/>
      </c>
      <c r="H142" s="0" t="str">
        <f aca="false">IF(G142="","",IF(G142&gt;=15,"High",IF(G142&gt;=8,"Medium","Low")))</f>
        <v/>
      </c>
      <c r="O142" s="0" t="str">
        <f aca="true">IF(A142="","",IF(OR(M142="Closed",N142=""),"",TODAY()-N142))</f>
        <v/>
      </c>
    </row>
    <row r="143" customFormat="false" ht="15" hidden="false" customHeight="false" outlineLevel="0" collapsed="false">
      <c r="G143" s="0" t="str">
        <f aca="false">IF(A143="","",IF(AND(E143&lt;&gt;"",F143&lt;&gt;""),E143*F143,""))</f>
        <v/>
      </c>
      <c r="H143" s="0" t="str">
        <f aca="false">IF(G143="","",IF(G143&gt;=15,"High",IF(G143&gt;=8,"Medium","Low")))</f>
        <v/>
      </c>
      <c r="O143" s="0" t="str">
        <f aca="true">IF(A143="","",IF(OR(M143="Closed",N143=""),"",TODAY()-N143))</f>
        <v/>
      </c>
    </row>
    <row r="144" customFormat="false" ht="15" hidden="false" customHeight="false" outlineLevel="0" collapsed="false">
      <c r="G144" s="0" t="str">
        <f aca="false">IF(A144="","",IF(AND(E144&lt;&gt;"",F144&lt;&gt;""),E144*F144,""))</f>
        <v/>
      </c>
      <c r="H144" s="0" t="str">
        <f aca="false">IF(G144="","",IF(G144&gt;=15,"High",IF(G144&gt;=8,"Medium","Low")))</f>
        <v/>
      </c>
      <c r="O144" s="0" t="str">
        <f aca="true">IF(A144="","",IF(OR(M144="Closed",N144=""),"",TODAY()-N144))</f>
        <v/>
      </c>
    </row>
    <row r="145" customFormat="false" ht="15" hidden="false" customHeight="false" outlineLevel="0" collapsed="false">
      <c r="G145" s="0" t="str">
        <f aca="false">IF(A145="","",IF(AND(E145&lt;&gt;"",F145&lt;&gt;""),E145*F145,""))</f>
        <v/>
      </c>
      <c r="H145" s="0" t="str">
        <f aca="false">IF(G145="","",IF(G145&gt;=15,"High",IF(G145&gt;=8,"Medium","Low")))</f>
        <v/>
      </c>
      <c r="O145" s="0" t="str">
        <f aca="true">IF(A145="","",IF(OR(M145="Closed",N145=""),"",TODAY()-N145))</f>
        <v/>
      </c>
    </row>
    <row r="146" customFormat="false" ht="15" hidden="false" customHeight="false" outlineLevel="0" collapsed="false">
      <c r="G146" s="0" t="str">
        <f aca="false">IF(A146="","",IF(AND(E146&lt;&gt;"",F146&lt;&gt;""),E146*F146,""))</f>
        <v/>
      </c>
      <c r="H146" s="0" t="str">
        <f aca="false">IF(G146="","",IF(G146&gt;=15,"High",IF(G146&gt;=8,"Medium","Low")))</f>
        <v/>
      </c>
      <c r="O146" s="0" t="str">
        <f aca="true">IF(A146="","",IF(OR(M146="Closed",N146=""),"",TODAY()-N146))</f>
        <v/>
      </c>
    </row>
    <row r="147" customFormat="false" ht="15" hidden="false" customHeight="false" outlineLevel="0" collapsed="false">
      <c r="G147" s="0" t="str">
        <f aca="false">IF(A147="","",IF(AND(E147&lt;&gt;"",F147&lt;&gt;""),E147*F147,""))</f>
        <v/>
      </c>
      <c r="H147" s="0" t="str">
        <f aca="false">IF(G147="","",IF(G147&gt;=15,"High",IF(G147&gt;=8,"Medium","Low")))</f>
        <v/>
      </c>
      <c r="O147" s="0" t="str">
        <f aca="true">IF(A147="","",IF(OR(M147="Closed",N147=""),"",TODAY()-N147))</f>
        <v/>
      </c>
    </row>
    <row r="148" customFormat="false" ht="15" hidden="false" customHeight="false" outlineLevel="0" collapsed="false">
      <c r="G148" s="0" t="str">
        <f aca="false">IF(A148="","",IF(AND(E148&lt;&gt;"",F148&lt;&gt;""),E148*F148,""))</f>
        <v/>
      </c>
      <c r="H148" s="0" t="str">
        <f aca="false">IF(G148="","",IF(G148&gt;=15,"High",IF(G148&gt;=8,"Medium","Low")))</f>
        <v/>
      </c>
      <c r="O148" s="0" t="str">
        <f aca="true">IF(A148="","",IF(OR(M148="Closed",N148=""),"",TODAY()-N148))</f>
        <v/>
      </c>
    </row>
    <row r="149" customFormat="false" ht="15" hidden="false" customHeight="false" outlineLevel="0" collapsed="false">
      <c r="G149" s="0" t="str">
        <f aca="false">IF(A149="","",IF(AND(E149&lt;&gt;"",F149&lt;&gt;""),E149*F149,""))</f>
        <v/>
      </c>
      <c r="H149" s="0" t="str">
        <f aca="false">IF(G149="","",IF(G149&gt;=15,"High",IF(G149&gt;=8,"Medium","Low")))</f>
        <v/>
      </c>
      <c r="O149" s="0" t="str">
        <f aca="true">IF(A149="","",IF(OR(M149="Closed",N149=""),"",TODAY()-N149))</f>
        <v/>
      </c>
    </row>
    <row r="150" customFormat="false" ht="15" hidden="false" customHeight="false" outlineLevel="0" collapsed="false">
      <c r="G150" s="0" t="str">
        <f aca="false">IF(A150="","",IF(AND(E150&lt;&gt;"",F150&lt;&gt;""),E150*F150,""))</f>
        <v/>
      </c>
      <c r="H150" s="0" t="str">
        <f aca="false">IF(G150="","",IF(G150&gt;=15,"High",IF(G150&gt;=8,"Medium","Low")))</f>
        <v/>
      </c>
      <c r="O150" s="0" t="str">
        <f aca="true">IF(A150="","",IF(OR(M150="Closed",N150=""),"",TODAY()-N150))</f>
        <v/>
      </c>
    </row>
    <row r="151" customFormat="false" ht="15" hidden="false" customHeight="false" outlineLevel="0" collapsed="false">
      <c r="G151" s="0" t="str">
        <f aca="false">IF(A151="","",IF(AND(E151&lt;&gt;"",F151&lt;&gt;""),E151*F151,""))</f>
        <v/>
      </c>
      <c r="H151" s="0" t="str">
        <f aca="false">IF(G151="","",IF(G151&gt;=15,"High",IF(G151&gt;=8,"Medium","Low")))</f>
        <v/>
      </c>
      <c r="O151" s="0" t="str">
        <f aca="true">IF(A151="","",IF(OR(M151="Closed",N151=""),"",TODAY()-N151))</f>
        <v/>
      </c>
    </row>
    <row r="152" customFormat="false" ht="15" hidden="false" customHeight="false" outlineLevel="0" collapsed="false">
      <c r="G152" s="0" t="str">
        <f aca="false">IF(A152="","",IF(AND(E152&lt;&gt;"",F152&lt;&gt;""),E152*F152,""))</f>
        <v/>
      </c>
      <c r="H152" s="0" t="str">
        <f aca="false">IF(G152="","",IF(G152&gt;=15,"High",IF(G152&gt;=8,"Medium","Low")))</f>
        <v/>
      </c>
      <c r="O152" s="0" t="str">
        <f aca="true">IF(A152="","",IF(OR(M152="Closed",N152=""),"",TODAY()-N152))</f>
        <v/>
      </c>
    </row>
    <row r="153" customFormat="false" ht="15" hidden="false" customHeight="false" outlineLevel="0" collapsed="false">
      <c r="G153" s="0" t="str">
        <f aca="false">IF(A153="","",IF(AND(E153&lt;&gt;"",F153&lt;&gt;""),E153*F153,""))</f>
        <v/>
      </c>
      <c r="H153" s="0" t="str">
        <f aca="false">IF(G153="","",IF(G153&gt;=15,"High",IF(G153&gt;=8,"Medium","Low")))</f>
        <v/>
      </c>
      <c r="O153" s="0" t="str">
        <f aca="true">IF(A153="","",IF(OR(M153="Closed",N153=""),"",TODAY()-N153))</f>
        <v/>
      </c>
    </row>
    <row r="154" customFormat="false" ht="15" hidden="false" customHeight="false" outlineLevel="0" collapsed="false">
      <c r="G154" s="0" t="str">
        <f aca="false">IF(A154="","",IF(AND(E154&lt;&gt;"",F154&lt;&gt;""),E154*F154,""))</f>
        <v/>
      </c>
      <c r="H154" s="0" t="str">
        <f aca="false">IF(G154="","",IF(G154&gt;=15,"High",IF(G154&gt;=8,"Medium","Low")))</f>
        <v/>
      </c>
      <c r="O154" s="0" t="str">
        <f aca="true">IF(A154="","",IF(OR(M154="Closed",N154=""),"",TODAY()-N154))</f>
        <v/>
      </c>
    </row>
    <row r="155" customFormat="false" ht="15" hidden="false" customHeight="false" outlineLevel="0" collapsed="false">
      <c r="G155" s="0" t="str">
        <f aca="false">IF(A155="","",IF(AND(E155&lt;&gt;"",F155&lt;&gt;""),E155*F155,""))</f>
        <v/>
      </c>
      <c r="H155" s="0" t="str">
        <f aca="false">IF(G155="","",IF(G155&gt;=15,"High",IF(G155&gt;=8,"Medium","Low")))</f>
        <v/>
      </c>
      <c r="O155" s="0" t="str">
        <f aca="true">IF(A155="","",IF(OR(M155="Closed",N155=""),"",TODAY()-N155))</f>
        <v/>
      </c>
    </row>
    <row r="156" customFormat="false" ht="15" hidden="false" customHeight="false" outlineLevel="0" collapsed="false">
      <c r="G156" s="0" t="str">
        <f aca="false">IF(A156="","",IF(AND(E156&lt;&gt;"",F156&lt;&gt;""),E156*F156,""))</f>
        <v/>
      </c>
      <c r="H156" s="0" t="str">
        <f aca="false">IF(G156="","",IF(G156&gt;=15,"High",IF(G156&gt;=8,"Medium","Low")))</f>
        <v/>
      </c>
      <c r="O156" s="0" t="str">
        <f aca="true">IF(A156="","",IF(OR(M156="Closed",N156=""),"",TODAY()-N156))</f>
        <v/>
      </c>
    </row>
    <row r="157" customFormat="false" ht="15" hidden="false" customHeight="false" outlineLevel="0" collapsed="false">
      <c r="G157" s="0" t="str">
        <f aca="false">IF(A157="","",IF(AND(E157&lt;&gt;"",F157&lt;&gt;""),E157*F157,""))</f>
        <v/>
      </c>
      <c r="H157" s="0" t="str">
        <f aca="false">IF(G157="","",IF(G157&gt;=15,"High",IF(G157&gt;=8,"Medium","Low")))</f>
        <v/>
      </c>
      <c r="O157" s="0" t="str">
        <f aca="true">IF(A157="","",IF(OR(M157="Closed",N157=""),"",TODAY()-N157))</f>
        <v/>
      </c>
    </row>
    <row r="158" customFormat="false" ht="15" hidden="false" customHeight="false" outlineLevel="0" collapsed="false">
      <c r="G158" s="0" t="str">
        <f aca="false">IF(A158="","",IF(AND(E158&lt;&gt;"",F158&lt;&gt;""),E158*F158,""))</f>
        <v/>
      </c>
      <c r="H158" s="0" t="str">
        <f aca="false">IF(G158="","",IF(G158&gt;=15,"High",IF(G158&gt;=8,"Medium","Low")))</f>
        <v/>
      </c>
      <c r="O158" s="0" t="str">
        <f aca="true">IF(A158="","",IF(OR(M158="Closed",N158=""),"",TODAY()-N158))</f>
        <v/>
      </c>
    </row>
    <row r="159" customFormat="false" ht="15" hidden="false" customHeight="false" outlineLevel="0" collapsed="false">
      <c r="G159" s="0" t="str">
        <f aca="false">IF(A159="","",IF(AND(E159&lt;&gt;"",F159&lt;&gt;""),E159*F159,""))</f>
        <v/>
      </c>
      <c r="H159" s="0" t="str">
        <f aca="false">IF(G159="","",IF(G159&gt;=15,"High",IF(G159&gt;=8,"Medium","Low")))</f>
        <v/>
      </c>
      <c r="O159" s="0" t="str">
        <f aca="true">IF(A159="","",IF(OR(M159="Closed",N159=""),"",TODAY()-N159))</f>
        <v/>
      </c>
    </row>
    <row r="160" customFormat="false" ht="15" hidden="false" customHeight="false" outlineLevel="0" collapsed="false">
      <c r="G160" s="0" t="str">
        <f aca="false">IF(A160="","",IF(AND(E160&lt;&gt;"",F160&lt;&gt;""),E160*F160,""))</f>
        <v/>
      </c>
      <c r="H160" s="0" t="str">
        <f aca="false">IF(G160="","",IF(G160&gt;=15,"High",IF(G160&gt;=8,"Medium","Low")))</f>
        <v/>
      </c>
      <c r="O160" s="0" t="str">
        <f aca="true">IF(A160="","",IF(OR(M160="Closed",N160=""),"",TODAY()-N160))</f>
        <v/>
      </c>
    </row>
    <row r="161" customFormat="false" ht="15" hidden="false" customHeight="false" outlineLevel="0" collapsed="false">
      <c r="G161" s="0" t="str">
        <f aca="false">IF(A161="","",IF(AND(E161&lt;&gt;"",F161&lt;&gt;""),E161*F161,""))</f>
        <v/>
      </c>
      <c r="H161" s="0" t="str">
        <f aca="false">IF(G161="","",IF(G161&gt;=15,"High",IF(G161&gt;=8,"Medium","Low")))</f>
        <v/>
      </c>
      <c r="O161" s="0" t="str">
        <f aca="true">IF(A161="","",IF(OR(M161="Closed",N161=""),"",TODAY()-N161))</f>
        <v/>
      </c>
    </row>
    <row r="162" customFormat="false" ht="15" hidden="false" customHeight="false" outlineLevel="0" collapsed="false">
      <c r="G162" s="0" t="str">
        <f aca="false">IF(A162="","",IF(AND(E162&lt;&gt;"",F162&lt;&gt;""),E162*F162,""))</f>
        <v/>
      </c>
      <c r="H162" s="0" t="str">
        <f aca="false">IF(G162="","",IF(G162&gt;=15,"High",IF(G162&gt;=8,"Medium","Low")))</f>
        <v/>
      </c>
      <c r="O162" s="0" t="str">
        <f aca="true">IF(A162="","",IF(OR(M162="Closed",N162=""),"",TODAY()-N162))</f>
        <v/>
      </c>
    </row>
    <row r="163" customFormat="false" ht="15" hidden="false" customHeight="false" outlineLevel="0" collapsed="false">
      <c r="G163" s="0" t="str">
        <f aca="false">IF(A163="","",IF(AND(E163&lt;&gt;"",F163&lt;&gt;""),E163*F163,""))</f>
        <v/>
      </c>
      <c r="H163" s="0" t="str">
        <f aca="false">IF(G163="","",IF(G163&gt;=15,"High",IF(G163&gt;=8,"Medium","Low")))</f>
        <v/>
      </c>
      <c r="O163" s="0" t="str">
        <f aca="true">IF(A163="","",IF(OR(M163="Closed",N163=""),"",TODAY()-N163))</f>
        <v/>
      </c>
    </row>
    <row r="164" customFormat="false" ht="15" hidden="false" customHeight="false" outlineLevel="0" collapsed="false">
      <c r="G164" s="0" t="str">
        <f aca="false">IF(A164="","",IF(AND(E164&lt;&gt;"",F164&lt;&gt;""),E164*F164,""))</f>
        <v/>
      </c>
      <c r="H164" s="0" t="str">
        <f aca="false">IF(G164="","",IF(G164&gt;=15,"High",IF(G164&gt;=8,"Medium","Low")))</f>
        <v/>
      </c>
      <c r="O164" s="0" t="str">
        <f aca="true">IF(A164="","",IF(OR(M164="Closed",N164=""),"",TODAY()-N164))</f>
        <v/>
      </c>
    </row>
    <row r="165" customFormat="false" ht="15" hidden="false" customHeight="false" outlineLevel="0" collapsed="false">
      <c r="G165" s="0" t="str">
        <f aca="false">IF(A165="","",IF(AND(E165&lt;&gt;"",F165&lt;&gt;""),E165*F165,""))</f>
        <v/>
      </c>
      <c r="H165" s="0" t="str">
        <f aca="false">IF(G165="","",IF(G165&gt;=15,"High",IF(G165&gt;=8,"Medium","Low")))</f>
        <v/>
      </c>
      <c r="O165" s="0" t="str">
        <f aca="true">IF(A165="","",IF(OR(M165="Closed",N165=""),"",TODAY()-N165))</f>
        <v/>
      </c>
    </row>
    <row r="166" customFormat="false" ht="15" hidden="false" customHeight="false" outlineLevel="0" collapsed="false">
      <c r="G166" s="0" t="str">
        <f aca="false">IF(A166="","",IF(AND(E166&lt;&gt;"",F166&lt;&gt;""),E166*F166,""))</f>
        <v/>
      </c>
      <c r="H166" s="0" t="str">
        <f aca="false">IF(G166="","",IF(G166&gt;=15,"High",IF(G166&gt;=8,"Medium","Low")))</f>
        <v/>
      </c>
      <c r="O166" s="0" t="str">
        <f aca="true">IF(A166="","",IF(OR(M166="Closed",N166=""),"",TODAY()-N166))</f>
        <v/>
      </c>
    </row>
    <row r="167" customFormat="false" ht="15" hidden="false" customHeight="false" outlineLevel="0" collapsed="false">
      <c r="G167" s="0" t="str">
        <f aca="false">IF(A167="","",IF(AND(E167&lt;&gt;"",F167&lt;&gt;""),E167*F167,""))</f>
        <v/>
      </c>
      <c r="H167" s="0" t="str">
        <f aca="false">IF(G167="","",IF(G167&gt;=15,"High",IF(G167&gt;=8,"Medium","Low")))</f>
        <v/>
      </c>
      <c r="O167" s="0" t="str">
        <f aca="true">IF(A167="","",IF(OR(M167="Closed",N167=""),"",TODAY()-N167))</f>
        <v/>
      </c>
    </row>
    <row r="168" customFormat="false" ht="15" hidden="false" customHeight="false" outlineLevel="0" collapsed="false">
      <c r="G168" s="0" t="str">
        <f aca="false">IF(A168="","",IF(AND(E168&lt;&gt;"",F168&lt;&gt;""),E168*F168,""))</f>
        <v/>
      </c>
      <c r="H168" s="0" t="str">
        <f aca="false">IF(G168="","",IF(G168&gt;=15,"High",IF(G168&gt;=8,"Medium","Low")))</f>
        <v/>
      </c>
      <c r="O168" s="0" t="str">
        <f aca="true">IF(A168="","",IF(OR(M168="Closed",N168=""),"",TODAY()-N168))</f>
        <v/>
      </c>
    </row>
    <row r="169" customFormat="false" ht="15" hidden="false" customHeight="false" outlineLevel="0" collapsed="false">
      <c r="G169" s="0" t="str">
        <f aca="false">IF(A169="","",IF(AND(E169&lt;&gt;"",F169&lt;&gt;""),E169*F169,""))</f>
        <v/>
      </c>
      <c r="H169" s="0" t="str">
        <f aca="false">IF(G169="","",IF(G169&gt;=15,"High",IF(G169&gt;=8,"Medium","Low")))</f>
        <v/>
      </c>
      <c r="O169" s="0" t="str">
        <f aca="true">IF(A169="","",IF(OR(M169="Closed",N169=""),"",TODAY()-N169))</f>
        <v/>
      </c>
    </row>
    <row r="170" customFormat="false" ht="15" hidden="false" customHeight="false" outlineLevel="0" collapsed="false">
      <c r="G170" s="0" t="str">
        <f aca="false">IF(A170="","",IF(AND(E170&lt;&gt;"",F170&lt;&gt;""),E170*F170,""))</f>
        <v/>
      </c>
      <c r="H170" s="0" t="str">
        <f aca="false">IF(G170="","",IF(G170&gt;=15,"High",IF(G170&gt;=8,"Medium","Low")))</f>
        <v/>
      </c>
      <c r="O170" s="0" t="str">
        <f aca="true">IF(A170="","",IF(OR(M170="Closed",N170=""),"",TODAY()-N170))</f>
        <v/>
      </c>
    </row>
    <row r="171" customFormat="false" ht="15" hidden="false" customHeight="false" outlineLevel="0" collapsed="false">
      <c r="G171" s="0" t="str">
        <f aca="false">IF(A171="","",IF(AND(E171&lt;&gt;"",F171&lt;&gt;""),E171*F171,""))</f>
        <v/>
      </c>
      <c r="H171" s="0" t="str">
        <f aca="false">IF(G171="","",IF(G171&gt;=15,"High",IF(G171&gt;=8,"Medium","Low")))</f>
        <v/>
      </c>
      <c r="O171" s="0" t="str">
        <f aca="true">IF(A171="","",IF(OR(M171="Closed",N171=""),"",TODAY()-N171))</f>
        <v/>
      </c>
    </row>
    <row r="172" customFormat="false" ht="15" hidden="false" customHeight="false" outlineLevel="0" collapsed="false">
      <c r="G172" s="0" t="str">
        <f aca="false">IF(A172="","",IF(AND(E172&lt;&gt;"",F172&lt;&gt;""),E172*F172,""))</f>
        <v/>
      </c>
      <c r="H172" s="0" t="str">
        <f aca="false">IF(G172="","",IF(G172&gt;=15,"High",IF(G172&gt;=8,"Medium","Low")))</f>
        <v/>
      </c>
      <c r="O172" s="0" t="str">
        <f aca="true">IF(A172="","",IF(OR(M172="Closed",N172=""),"",TODAY()-N172))</f>
        <v/>
      </c>
    </row>
    <row r="173" customFormat="false" ht="15" hidden="false" customHeight="false" outlineLevel="0" collapsed="false">
      <c r="G173" s="0" t="str">
        <f aca="false">IF(A173="","",IF(AND(E173&lt;&gt;"",F173&lt;&gt;""),E173*F173,""))</f>
        <v/>
      </c>
      <c r="H173" s="0" t="str">
        <f aca="false">IF(G173="","",IF(G173&gt;=15,"High",IF(G173&gt;=8,"Medium","Low")))</f>
        <v/>
      </c>
      <c r="O173" s="0" t="str">
        <f aca="true">IF(A173="","",IF(OR(M173="Closed",N173=""),"",TODAY()-N173))</f>
        <v/>
      </c>
    </row>
    <row r="174" customFormat="false" ht="15" hidden="false" customHeight="false" outlineLevel="0" collapsed="false">
      <c r="G174" s="0" t="str">
        <f aca="false">IF(A174="","",IF(AND(E174&lt;&gt;"",F174&lt;&gt;""),E174*F174,""))</f>
        <v/>
      </c>
      <c r="H174" s="0" t="str">
        <f aca="false">IF(G174="","",IF(G174&gt;=15,"High",IF(G174&gt;=8,"Medium","Low")))</f>
        <v/>
      </c>
      <c r="O174" s="0" t="str">
        <f aca="true">IF(A174="","",IF(OR(M174="Closed",N174=""),"",TODAY()-N174))</f>
        <v/>
      </c>
    </row>
    <row r="175" customFormat="false" ht="15" hidden="false" customHeight="false" outlineLevel="0" collapsed="false">
      <c r="G175" s="0" t="str">
        <f aca="false">IF(A175="","",IF(AND(E175&lt;&gt;"",F175&lt;&gt;""),E175*F175,""))</f>
        <v/>
      </c>
      <c r="H175" s="0" t="str">
        <f aca="false">IF(G175="","",IF(G175&gt;=15,"High",IF(G175&gt;=8,"Medium","Low")))</f>
        <v/>
      </c>
      <c r="O175" s="0" t="str">
        <f aca="true">IF(A175="","",IF(OR(M175="Closed",N175=""),"",TODAY()-N175))</f>
        <v/>
      </c>
    </row>
    <row r="176" customFormat="false" ht="15" hidden="false" customHeight="false" outlineLevel="0" collapsed="false">
      <c r="G176" s="0" t="str">
        <f aca="false">IF(A176="","",IF(AND(E176&lt;&gt;"",F176&lt;&gt;""),E176*F176,""))</f>
        <v/>
      </c>
      <c r="H176" s="0" t="str">
        <f aca="false">IF(G176="","",IF(G176&gt;=15,"High",IF(G176&gt;=8,"Medium","Low")))</f>
        <v/>
      </c>
      <c r="O176" s="0" t="str">
        <f aca="true">IF(A176="","",IF(OR(M176="Closed",N176=""),"",TODAY()-N176))</f>
        <v/>
      </c>
    </row>
    <row r="177" customFormat="false" ht="15" hidden="false" customHeight="false" outlineLevel="0" collapsed="false">
      <c r="G177" s="0" t="str">
        <f aca="false">IF(A177="","",IF(AND(E177&lt;&gt;"",F177&lt;&gt;""),E177*F177,""))</f>
        <v/>
      </c>
      <c r="H177" s="0" t="str">
        <f aca="false">IF(G177="","",IF(G177&gt;=15,"High",IF(G177&gt;=8,"Medium","Low")))</f>
        <v/>
      </c>
      <c r="O177" s="0" t="str">
        <f aca="true">IF(A177="","",IF(OR(M177="Closed",N177=""),"",TODAY()-N177))</f>
        <v/>
      </c>
    </row>
    <row r="178" customFormat="false" ht="15" hidden="false" customHeight="false" outlineLevel="0" collapsed="false">
      <c r="G178" s="0" t="str">
        <f aca="false">IF(A178="","",IF(AND(E178&lt;&gt;"",F178&lt;&gt;""),E178*F178,""))</f>
        <v/>
      </c>
      <c r="H178" s="0" t="str">
        <f aca="false">IF(G178="","",IF(G178&gt;=15,"High",IF(G178&gt;=8,"Medium","Low")))</f>
        <v/>
      </c>
      <c r="O178" s="0" t="str">
        <f aca="true">IF(A178="","",IF(OR(M178="Closed",N178=""),"",TODAY()-N178))</f>
        <v/>
      </c>
    </row>
    <row r="179" customFormat="false" ht="15" hidden="false" customHeight="false" outlineLevel="0" collapsed="false">
      <c r="G179" s="0" t="str">
        <f aca="false">IF(A179="","",IF(AND(E179&lt;&gt;"",F179&lt;&gt;""),E179*F179,""))</f>
        <v/>
      </c>
      <c r="H179" s="0" t="str">
        <f aca="false">IF(G179="","",IF(G179&gt;=15,"High",IF(G179&gt;=8,"Medium","Low")))</f>
        <v/>
      </c>
      <c r="O179" s="0" t="str">
        <f aca="true">IF(A179="","",IF(OR(M179="Closed",N179=""),"",TODAY()-N179))</f>
        <v/>
      </c>
    </row>
    <row r="180" customFormat="false" ht="15" hidden="false" customHeight="false" outlineLevel="0" collapsed="false">
      <c r="G180" s="0" t="str">
        <f aca="false">IF(A180="","",IF(AND(E180&lt;&gt;"",F180&lt;&gt;""),E180*F180,""))</f>
        <v/>
      </c>
      <c r="H180" s="0" t="str">
        <f aca="false">IF(G180="","",IF(G180&gt;=15,"High",IF(G180&gt;=8,"Medium","Low")))</f>
        <v/>
      </c>
      <c r="O180" s="0" t="str">
        <f aca="true">IF(A180="","",IF(OR(M180="Closed",N180=""),"",TODAY()-N180))</f>
        <v/>
      </c>
    </row>
    <row r="181" customFormat="false" ht="15" hidden="false" customHeight="false" outlineLevel="0" collapsed="false">
      <c r="G181" s="0" t="str">
        <f aca="false">IF(A181="","",IF(AND(E181&lt;&gt;"",F181&lt;&gt;""),E181*F181,""))</f>
        <v/>
      </c>
      <c r="H181" s="0" t="str">
        <f aca="false">IF(G181="","",IF(G181&gt;=15,"High",IF(G181&gt;=8,"Medium","Low")))</f>
        <v/>
      </c>
      <c r="O181" s="0" t="str">
        <f aca="true">IF(A181="","",IF(OR(M181="Closed",N181=""),"",TODAY()-N181))</f>
        <v/>
      </c>
    </row>
    <row r="182" customFormat="false" ht="15" hidden="false" customHeight="false" outlineLevel="0" collapsed="false">
      <c r="G182" s="0" t="str">
        <f aca="false">IF(A182="","",IF(AND(E182&lt;&gt;"",F182&lt;&gt;""),E182*F182,""))</f>
        <v/>
      </c>
      <c r="H182" s="0" t="str">
        <f aca="false">IF(G182="","",IF(G182&gt;=15,"High",IF(G182&gt;=8,"Medium","Low")))</f>
        <v/>
      </c>
      <c r="O182" s="0" t="str">
        <f aca="true">IF(A182="","",IF(OR(M182="Closed",N182=""),"",TODAY()-N182))</f>
        <v/>
      </c>
    </row>
    <row r="183" customFormat="false" ht="15" hidden="false" customHeight="false" outlineLevel="0" collapsed="false">
      <c r="G183" s="0" t="str">
        <f aca="false">IF(A183="","",IF(AND(E183&lt;&gt;"",F183&lt;&gt;""),E183*F183,""))</f>
        <v/>
      </c>
      <c r="H183" s="0" t="str">
        <f aca="false">IF(G183="","",IF(G183&gt;=15,"High",IF(G183&gt;=8,"Medium","Low")))</f>
        <v/>
      </c>
      <c r="O183" s="0" t="str">
        <f aca="true">IF(A183="","",IF(OR(M183="Closed",N183=""),"",TODAY()-N183))</f>
        <v/>
      </c>
    </row>
    <row r="184" customFormat="false" ht="15" hidden="false" customHeight="false" outlineLevel="0" collapsed="false">
      <c r="G184" s="0" t="str">
        <f aca="false">IF(A184="","",IF(AND(E184&lt;&gt;"",F184&lt;&gt;""),E184*F184,""))</f>
        <v/>
      </c>
      <c r="H184" s="0" t="str">
        <f aca="false">IF(G184="","",IF(G184&gt;=15,"High",IF(G184&gt;=8,"Medium","Low")))</f>
        <v/>
      </c>
      <c r="O184" s="0" t="str">
        <f aca="true">IF(A184="","",IF(OR(M184="Closed",N184=""),"",TODAY()-N184))</f>
        <v/>
      </c>
    </row>
    <row r="185" customFormat="false" ht="15" hidden="false" customHeight="false" outlineLevel="0" collapsed="false">
      <c r="G185" s="0" t="str">
        <f aca="false">IF(A185="","",IF(AND(E185&lt;&gt;"",F185&lt;&gt;""),E185*F185,""))</f>
        <v/>
      </c>
      <c r="H185" s="0" t="str">
        <f aca="false">IF(G185="","",IF(G185&gt;=15,"High",IF(G185&gt;=8,"Medium","Low")))</f>
        <v/>
      </c>
      <c r="O185" s="0" t="str">
        <f aca="true">IF(A185="","",IF(OR(M185="Closed",N185=""),"",TODAY()-N185))</f>
        <v/>
      </c>
    </row>
    <row r="186" customFormat="false" ht="15" hidden="false" customHeight="false" outlineLevel="0" collapsed="false">
      <c r="G186" s="0" t="str">
        <f aca="false">IF(A186="","",IF(AND(E186&lt;&gt;"",F186&lt;&gt;""),E186*F186,""))</f>
        <v/>
      </c>
      <c r="H186" s="0" t="str">
        <f aca="false">IF(G186="","",IF(G186&gt;=15,"High",IF(G186&gt;=8,"Medium","Low")))</f>
        <v/>
      </c>
      <c r="O186" s="0" t="str">
        <f aca="true">IF(A186="","",IF(OR(M186="Closed",N186=""),"",TODAY()-N186))</f>
        <v/>
      </c>
    </row>
    <row r="187" customFormat="false" ht="15" hidden="false" customHeight="false" outlineLevel="0" collapsed="false">
      <c r="G187" s="0" t="str">
        <f aca="false">IF(A187="","",IF(AND(E187&lt;&gt;"",F187&lt;&gt;""),E187*F187,""))</f>
        <v/>
      </c>
      <c r="H187" s="0" t="str">
        <f aca="false">IF(G187="","",IF(G187&gt;=15,"High",IF(G187&gt;=8,"Medium","Low")))</f>
        <v/>
      </c>
      <c r="O187" s="0" t="str">
        <f aca="true">IF(A187="","",IF(OR(M187="Closed",N187=""),"",TODAY()-N187))</f>
        <v/>
      </c>
    </row>
    <row r="188" customFormat="false" ht="15" hidden="false" customHeight="false" outlineLevel="0" collapsed="false">
      <c r="G188" s="0" t="str">
        <f aca="false">IF(A188="","",IF(AND(E188&lt;&gt;"",F188&lt;&gt;""),E188*F188,""))</f>
        <v/>
      </c>
      <c r="H188" s="0" t="str">
        <f aca="false">IF(G188="","",IF(G188&gt;=15,"High",IF(G188&gt;=8,"Medium","Low")))</f>
        <v/>
      </c>
      <c r="O188" s="0" t="str">
        <f aca="true">IF(A188="","",IF(OR(M188="Closed",N188=""),"",TODAY()-N188))</f>
        <v/>
      </c>
    </row>
    <row r="189" customFormat="false" ht="15" hidden="false" customHeight="false" outlineLevel="0" collapsed="false">
      <c r="G189" s="0" t="str">
        <f aca="false">IF(A189="","",IF(AND(E189&lt;&gt;"",F189&lt;&gt;""),E189*F189,""))</f>
        <v/>
      </c>
      <c r="H189" s="0" t="str">
        <f aca="false">IF(G189="","",IF(G189&gt;=15,"High",IF(G189&gt;=8,"Medium","Low")))</f>
        <v/>
      </c>
      <c r="O189" s="0" t="str">
        <f aca="true">IF(A189="","",IF(OR(M189="Closed",N189=""),"",TODAY()-N189))</f>
        <v/>
      </c>
    </row>
    <row r="190" customFormat="false" ht="15" hidden="false" customHeight="false" outlineLevel="0" collapsed="false">
      <c r="G190" s="0" t="str">
        <f aca="false">IF(A190="","",IF(AND(E190&lt;&gt;"",F190&lt;&gt;""),E190*F190,""))</f>
        <v/>
      </c>
      <c r="H190" s="0" t="str">
        <f aca="false">IF(G190="","",IF(G190&gt;=15,"High",IF(G190&gt;=8,"Medium","Low")))</f>
        <v/>
      </c>
      <c r="O190" s="0" t="str">
        <f aca="true">IF(A190="","",IF(OR(M190="Closed",N190=""),"",TODAY()-N190))</f>
        <v/>
      </c>
    </row>
    <row r="191" customFormat="false" ht="15" hidden="false" customHeight="false" outlineLevel="0" collapsed="false">
      <c r="G191" s="0" t="str">
        <f aca="false">IF(A191="","",IF(AND(E191&lt;&gt;"",F191&lt;&gt;""),E191*F191,""))</f>
        <v/>
      </c>
      <c r="H191" s="0" t="str">
        <f aca="false">IF(G191="","",IF(G191&gt;=15,"High",IF(G191&gt;=8,"Medium","Low")))</f>
        <v/>
      </c>
      <c r="O191" s="0" t="str">
        <f aca="true">IF(A191="","",IF(OR(M191="Closed",N191=""),"",TODAY()-N191))</f>
        <v/>
      </c>
    </row>
    <row r="192" customFormat="false" ht="15" hidden="false" customHeight="false" outlineLevel="0" collapsed="false">
      <c r="G192" s="0" t="str">
        <f aca="false">IF(A192="","",IF(AND(E192&lt;&gt;"",F192&lt;&gt;""),E192*F192,""))</f>
        <v/>
      </c>
      <c r="H192" s="0" t="str">
        <f aca="false">IF(G192="","",IF(G192&gt;=15,"High",IF(G192&gt;=8,"Medium","Low")))</f>
        <v/>
      </c>
      <c r="O192" s="0" t="str">
        <f aca="true">IF(A192="","",IF(OR(M192="Closed",N192=""),"",TODAY()-N192))</f>
        <v/>
      </c>
    </row>
    <row r="193" customFormat="false" ht="15" hidden="false" customHeight="false" outlineLevel="0" collapsed="false">
      <c r="G193" s="0" t="str">
        <f aca="false">IF(A193="","",IF(AND(E193&lt;&gt;"",F193&lt;&gt;""),E193*F193,""))</f>
        <v/>
      </c>
      <c r="H193" s="0" t="str">
        <f aca="false">IF(G193="","",IF(G193&gt;=15,"High",IF(G193&gt;=8,"Medium","Low")))</f>
        <v/>
      </c>
      <c r="O193" s="0" t="str">
        <f aca="true">IF(A193="","",IF(OR(M193="Closed",N193=""),"",TODAY()-N193))</f>
        <v/>
      </c>
    </row>
    <row r="194" customFormat="false" ht="15" hidden="false" customHeight="false" outlineLevel="0" collapsed="false">
      <c r="G194" s="0" t="str">
        <f aca="false">IF(A194="","",IF(AND(E194&lt;&gt;"",F194&lt;&gt;""),E194*F194,""))</f>
        <v/>
      </c>
      <c r="H194" s="0" t="str">
        <f aca="false">IF(G194="","",IF(G194&gt;=15,"High",IF(G194&gt;=8,"Medium","Low")))</f>
        <v/>
      </c>
      <c r="O194" s="0" t="str">
        <f aca="true">IF(A194="","",IF(OR(M194="Closed",N194=""),"",TODAY()-N194))</f>
        <v/>
      </c>
    </row>
    <row r="195" customFormat="false" ht="15" hidden="false" customHeight="false" outlineLevel="0" collapsed="false">
      <c r="G195" s="0" t="str">
        <f aca="false">IF(A195="","",IF(AND(E195&lt;&gt;"",F195&lt;&gt;""),E195*F195,""))</f>
        <v/>
      </c>
      <c r="H195" s="0" t="str">
        <f aca="false">IF(G195="","",IF(G195&gt;=15,"High",IF(G195&gt;=8,"Medium","Low")))</f>
        <v/>
      </c>
      <c r="O195" s="0" t="str">
        <f aca="true">IF(A195="","",IF(OR(M195="Closed",N195=""),"",TODAY()-N195))</f>
        <v/>
      </c>
    </row>
    <row r="196" customFormat="false" ht="15" hidden="false" customHeight="false" outlineLevel="0" collapsed="false">
      <c r="G196" s="0" t="str">
        <f aca="false">IF(A196="","",IF(AND(E196&lt;&gt;"",F196&lt;&gt;""),E196*F196,""))</f>
        <v/>
      </c>
      <c r="H196" s="0" t="str">
        <f aca="false">IF(G196="","",IF(G196&gt;=15,"High",IF(G196&gt;=8,"Medium","Low")))</f>
        <v/>
      </c>
      <c r="O196" s="0" t="str">
        <f aca="true">IF(A196="","",IF(OR(M196="Closed",N196=""),"",TODAY()-N196))</f>
        <v/>
      </c>
    </row>
    <row r="197" customFormat="false" ht="15" hidden="false" customHeight="false" outlineLevel="0" collapsed="false">
      <c r="G197" s="0" t="str">
        <f aca="false">IF(A197="","",IF(AND(E197&lt;&gt;"",F197&lt;&gt;""),E197*F197,""))</f>
        <v/>
      </c>
      <c r="H197" s="0" t="str">
        <f aca="false">IF(G197="","",IF(G197&gt;=15,"High",IF(G197&gt;=8,"Medium","Low")))</f>
        <v/>
      </c>
      <c r="O197" s="0" t="str">
        <f aca="true">IF(A197="","",IF(OR(M197="Closed",N197=""),"",TODAY()-N197))</f>
        <v/>
      </c>
    </row>
    <row r="198" customFormat="false" ht="15" hidden="false" customHeight="false" outlineLevel="0" collapsed="false">
      <c r="G198" s="0" t="str">
        <f aca="false">IF(A198="","",IF(AND(E198&lt;&gt;"",F198&lt;&gt;""),E198*F198,""))</f>
        <v/>
      </c>
      <c r="H198" s="0" t="str">
        <f aca="false">IF(G198="","",IF(G198&gt;=15,"High",IF(G198&gt;=8,"Medium","Low")))</f>
        <v/>
      </c>
      <c r="O198" s="0" t="str">
        <f aca="true">IF(A198="","",IF(OR(M198="Closed",N198=""),"",TODAY()-N198))</f>
        <v/>
      </c>
    </row>
    <row r="199" customFormat="false" ht="15" hidden="false" customHeight="false" outlineLevel="0" collapsed="false">
      <c r="G199" s="0" t="str">
        <f aca="false">IF(A199="","",IF(AND(E199&lt;&gt;"",F199&lt;&gt;""),E199*F199,""))</f>
        <v/>
      </c>
      <c r="H199" s="0" t="str">
        <f aca="false">IF(G199="","",IF(G199&gt;=15,"High",IF(G199&gt;=8,"Medium","Low")))</f>
        <v/>
      </c>
      <c r="O199" s="0" t="str">
        <f aca="true">IF(A199="","",IF(OR(M199="Closed",N199=""),"",TODAY()-N199))</f>
        <v/>
      </c>
    </row>
    <row r="200" customFormat="false" ht="15" hidden="false" customHeight="false" outlineLevel="0" collapsed="false">
      <c r="G200" s="0" t="str">
        <f aca="false">IF(A200="","",IF(AND(E200&lt;&gt;"",F200&lt;&gt;""),E200*F200,""))</f>
        <v/>
      </c>
      <c r="H200" s="0" t="str">
        <f aca="false">IF(G200="","",IF(G200&gt;=15,"High",IF(G200&gt;=8,"Medium","Low")))</f>
        <v/>
      </c>
      <c r="O200" s="0" t="str">
        <f aca="true">IF(A200="","",IF(OR(M200="Closed",N200=""),"",TODAY()-N200))</f>
        <v/>
      </c>
    </row>
    <row r="201" customFormat="false" ht="15" hidden="false" customHeight="false" outlineLevel="0" collapsed="false">
      <c r="G201" s="0" t="str">
        <f aca="false">IF(A201="","",IF(AND(E201&lt;&gt;"",F201&lt;&gt;""),E201*F201,""))</f>
        <v/>
      </c>
      <c r="H201" s="0" t="str">
        <f aca="false">IF(G201="","",IF(G201&gt;=15,"High",IF(G201&gt;=8,"Medium","Low")))</f>
        <v/>
      </c>
      <c r="O201" s="0" t="str">
        <f aca="true">IF(A201="","",IF(OR(M201="Closed",N201=""),"",TODAY()-N201))</f>
        <v/>
      </c>
    </row>
    <row r="202" customFormat="false" ht="15" hidden="false" customHeight="false" outlineLevel="0" collapsed="false">
      <c r="G202" s="0" t="str">
        <f aca="false">IF(A202="","",IF(AND(E202&lt;&gt;"",F202&lt;&gt;""),E202*F202,""))</f>
        <v/>
      </c>
      <c r="H202" s="0" t="str">
        <f aca="false">IF(G202="","",IF(G202&gt;=15,"High",IF(G202&gt;=8,"Medium","Low")))</f>
        <v/>
      </c>
      <c r="O202" s="0" t="str">
        <f aca="true">IF(A202="","",IF(OR(M202="Closed",N202=""),"",TODAY()-N202))</f>
        <v/>
      </c>
    </row>
    <row r="203" customFormat="false" ht="15" hidden="false" customHeight="false" outlineLevel="0" collapsed="false">
      <c r="G203" s="0" t="str">
        <f aca="false">IF(A203="","",IF(AND(E203&lt;&gt;"",F203&lt;&gt;""),E203*F203,""))</f>
        <v/>
      </c>
      <c r="H203" s="0" t="str">
        <f aca="false">IF(G203="","",IF(G203&gt;=15,"High",IF(G203&gt;=8,"Medium","Low")))</f>
        <v/>
      </c>
      <c r="O203" s="0" t="str">
        <f aca="true">IF(A203="","",IF(OR(M203="Closed",N203=""),"",TODAY()-N203))</f>
        <v/>
      </c>
    </row>
    <row r="204" customFormat="false" ht="15" hidden="false" customHeight="false" outlineLevel="0" collapsed="false">
      <c r="G204" s="0" t="str">
        <f aca="false">IF(A204="","",IF(AND(E204&lt;&gt;"",F204&lt;&gt;""),E204*F204,""))</f>
        <v/>
      </c>
      <c r="H204" s="0" t="str">
        <f aca="false">IF(G204="","",IF(G204&gt;=15,"High",IF(G204&gt;=8,"Medium","Low")))</f>
        <v/>
      </c>
      <c r="O204" s="0" t="str">
        <f aca="true">IF(A204="","",IF(OR(M204="Closed",N204=""),"",TODAY()-N204))</f>
        <v/>
      </c>
    </row>
    <row r="205" customFormat="false" ht="15" hidden="false" customHeight="false" outlineLevel="0" collapsed="false">
      <c r="G205" s="0" t="str">
        <f aca="false">IF(A205="","",IF(AND(E205&lt;&gt;"",F205&lt;&gt;""),E205*F205,""))</f>
        <v/>
      </c>
      <c r="H205" s="0" t="str">
        <f aca="false">IF(G205="","",IF(G205&gt;=15,"High",IF(G205&gt;=8,"Medium","Low")))</f>
        <v/>
      </c>
      <c r="O205" s="0" t="str">
        <f aca="true">IF(A205="","",IF(OR(M205="Closed",N205=""),"",TODAY()-N205))</f>
        <v/>
      </c>
    </row>
    <row r="206" customFormat="false" ht="15" hidden="false" customHeight="false" outlineLevel="0" collapsed="false">
      <c r="G206" s="0" t="str">
        <f aca="false">IF(A206="","",IF(AND(E206&lt;&gt;"",F206&lt;&gt;""),E206*F206,""))</f>
        <v/>
      </c>
      <c r="H206" s="0" t="str">
        <f aca="false">IF(G206="","",IF(G206&gt;=15,"High",IF(G206&gt;=8,"Medium","Low")))</f>
        <v/>
      </c>
      <c r="O206" s="0" t="str">
        <f aca="true">IF(A206="","",IF(OR(M206="Closed",N206=""),"",TODAY()-N206))</f>
        <v/>
      </c>
    </row>
    <row r="207" customFormat="false" ht="15" hidden="false" customHeight="false" outlineLevel="0" collapsed="false">
      <c r="G207" s="0" t="str">
        <f aca="false">IF(A207="","",IF(AND(E207&lt;&gt;"",F207&lt;&gt;""),E207*F207,""))</f>
        <v/>
      </c>
      <c r="H207" s="0" t="str">
        <f aca="false">IF(G207="","",IF(G207&gt;=15,"High",IF(G207&gt;=8,"Medium","Low")))</f>
        <v/>
      </c>
      <c r="O207" s="0" t="str">
        <f aca="true">IF(A207="","",IF(OR(M207="Closed",N207=""),"",TODAY()-N207))</f>
        <v/>
      </c>
    </row>
    <row r="208" customFormat="false" ht="15" hidden="false" customHeight="false" outlineLevel="0" collapsed="false">
      <c r="G208" s="0" t="str">
        <f aca="false">IF(A208="","",IF(AND(E208&lt;&gt;"",F208&lt;&gt;""),E208*F208,""))</f>
        <v/>
      </c>
      <c r="H208" s="0" t="str">
        <f aca="false">IF(G208="","",IF(G208&gt;=15,"High",IF(G208&gt;=8,"Medium","Low")))</f>
        <v/>
      </c>
      <c r="O208" s="0" t="str">
        <f aca="true">IF(A208="","",IF(OR(M208="Closed",N208=""),"",TODAY()-N208))</f>
        <v/>
      </c>
    </row>
    <row r="209" customFormat="false" ht="15" hidden="false" customHeight="false" outlineLevel="0" collapsed="false">
      <c r="G209" s="0" t="str">
        <f aca="false">IF(A209="","",IF(AND(E209&lt;&gt;"",F209&lt;&gt;""),E209*F209,""))</f>
        <v/>
      </c>
      <c r="H209" s="0" t="str">
        <f aca="false">IF(G209="","",IF(G209&gt;=15,"High",IF(G209&gt;=8,"Medium","Low")))</f>
        <v/>
      </c>
      <c r="O209" s="0" t="str">
        <f aca="true">IF(A209="","",IF(OR(M209="Closed",N209=""),"",TODAY()-N209))</f>
        <v/>
      </c>
    </row>
    <row r="210" customFormat="false" ht="15" hidden="false" customHeight="false" outlineLevel="0" collapsed="false">
      <c r="G210" s="0" t="str">
        <f aca="false">IF(A210="","",IF(AND(E210&lt;&gt;"",F210&lt;&gt;""),E210*F210,""))</f>
        <v/>
      </c>
      <c r="H210" s="0" t="str">
        <f aca="false">IF(G210="","",IF(G210&gt;=15,"High",IF(G210&gt;=8,"Medium","Low")))</f>
        <v/>
      </c>
      <c r="O210" s="0" t="str">
        <f aca="true">IF(A210="","",IF(OR(M210="Closed",N210=""),"",TODAY()-N210))</f>
        <v/>
      </c>
    </row>
    <row r="211" customFormat="false" ht="15" hidden="false" customHeight="false" outlineLevel="0" collapsed="false">
      <c r="G211" s="0" t="str">
        <f aca="false">IF(A211="","",IF(AND(E211&lt;&gt;"",F211&lt;&gt;""),E211*F211,""))</f>
        <v/>
      </c>
      <c r="H211" s="0" t="str">
        <f aca="false">IF(G211="","",IF(G211&gt;=15,"High",IF(G211&gt;=8,"Medium","Low")))</f>
        <v/>
      </c>
      <c r="O211" s="0" t="str">
        <f aca="true">IF(A211="","",IF(OR(M211="Closed",N211=""),"",TODAY()-N211))</f>
        <v/>
      </c>
    </row>
    <row r="212" customFormat="false" ht="15" hidden="false" customHeight="false" outlineLevel="0" collapsed="false">
      <c r="G212" s="0" t="str">
        <f aca="false">IF(A212="","",IF(AND(E212&lt;&gt;"",F212&lt;&gt;""),E212*F212,""))</f>
        <v/>
      </c>
      <c r="H212" s="0" t="str">
        <f aca="false">IF(G212="","",IF(G212&gt;=15,"High",IF(G212&gt;=8,"Medium","Low")))</f>
        <v/>
      </c>
      <c r="O212" s="0" t="str">
        <f aca="true">IF(A212="","",IF(OR(M212="Closed",N212=""),"",TODAY()-N212))</f>
        <v/>
      </c>
    </row>
    <row r="213" customFormat="false" ht="15" hidden="false" customHeight="false" outlineLevel="0" collapsed="false">
      <c r="G213" s="0" t="str">
        <f aca="false">IF(A213="","",IF(AND(E213&lt;&gt;"",F213&lt;&gt;""),E213*F213,""))</f>
        <v/>
      </c>
      <c r="H213" s="0" t="str">
        <f aca="false">IF(G213="","",IF(G213&gt;=15,"High",IF(G213&gt;=8,"Medium","Low")))</f>
        <v/>
      </c>
      <c r="O213" s="0" t="str">
        <f aca="true">IF(A213="","",IF(OR(M213="Closed",N213=""),"",TODAY()-N213))</f>
        <v/>
      </c>
    </row>
    <row r="214" customFormat="false" ht="15" hidden="false" customHeight="false" outlineLevel="0" collapsed="false">
      <c r="G214" s="0" t="str">
        <f aca="false">IF(A214="","",IF(AND(E214&lt;&gt;"",F214&lt;&gt;""),E214*F214,""))</f>
        <v/>
      </c>
      <c r="H214" s="0" t="str">
        <f aca="false">IF(G214="","",IF(G214&gt;=15,"High",IF(G214&gt;=8,"Medium","Low")))</f>
        <v/>
      </c>
      <c r="O214" s="0" t="str">
        <f aca="true">IF(A214="","",IF(OR(M214="Closed",N214=""),"",TODAY()-N214))</f>
        <v/>
      </c>
    </row>
    <row r="215" customFormat="false" ht="15" hidden="false" customHeight="false" outlineLevel="0" collapsed="false">
      <c r="G215" s="0" t="str">
        <f aca="false">IF(A215="","",IF(AND(E215&lt;&gt;"",F215&lt;&gt;""),E215*F215,""))</f>
        <v/>
      </c>
      <c r="H215" s="0" t="str">
        <f aca="false">IF(G215="","",IF(G215&gt;=15,"High",IF(G215&gt;=8,"Medium","Low")))</f>
        <v/>
      </c>
      <c r="O215" s="0" t="str">
        <f aca="true">IF(A215="","",IF(OR(M215="Closed",N215=""),"",TODAY()-N215))</f>
        <v/>
      </c>
    </row>
    <row r="216" customFormat="false" ht="15" hidden="false" customHeight="false" outlineLevel="0" collapsed="false">
      <c r="G216" s="0" t="str">
        <f aca="false">IF(A216="","",IF(AND(E216&lt;&gt;"",F216&lt;&gt;""),E216*F216,""))</f>
        <v/>
      </c>
      <c r="H216" s="0" t="str">
        <f aca="false">IF(G216="","",IF(G216&gt;=15,"High",IF(G216&gt;=8,"Medium","Low")))</f>
        <v/>
      </c>
      <c r="O216" s="0" t="str">
        <f aca="true">IF(A216="","",IF(OR(M216="Closed",N216=""),"",TODAY()-N216))</f>
        <v/>
      </c>
    </row>
    <row r="217" customFormat="false" ht="15" hidden="false" customHeight="false" outlineLevel="0" collapsed="false">
      <c r="G217" s="0" t="str">
        <f aca="false">IF(A217="","",IF(AND(E217&lt;&gt;"",F217&lt;&gt;""),E217*F217,""))</f>
        <v/>
      </c>
      <c r="H217" s="0" t="str">
        <f aca="false">IF(G217="","",IF(G217&gt;=15,"High",IF(G217&gt;=8,"Medium","Low")))</f>
        <v/>
      </c>
      <c r="O217" s="0" t="str">
        <f aca="true">IF(A217="","",IF(OR(M217="Closed",N217=""),"",TODAY()-N217))</f>
        <v/>
      </c>
    </row>
    <row r="218" customFormat="false" ht="15" hidden="false" customHeight="false" outlineLevel="0" collapsed="false">
      <c r="G218" s="0" t="str">
        <f aca="false">IF(A218="","",IF(AND(E218&lt;&gt;"",F218&lt;&gt;""),E218*F218,""))</f>
        <v/>
      </c>
      <c r="H218" s="0" t="str">
        <f aca="false">IF(G218="","",IF(G218&gt;=15,"High",IF(G218&gt;=8,"Medium","Low")))</f>
        <v/>
      </c>
      <c r="O218" s="0" t="str">
        <f aca="true">IF(A218="","",IF(OR(M218="Closed",N218=""),"",TODAY()-N218))</f>
        <v/>
      </c>
    </row>
    <row r="219" customFormat="false" ht="15" hidden="false" customHeight="false" outlineLevel="0" collapsed="false">
      <c r="G219" s="0" t="str">
        <f aca="false">IF(A219="","",IF(AND(E219&lt;&gt;"",F219&lt;&gt;""),E219*F219,""))</f>
        <v/>
      </c>
      <c r="H219" s="0" t="str">
        <f aca="false">IF(G219="","",IF(G219&gt;=15,"High",IF(G219&gt;=8,"Medium","Low")))</f>
        <v/>
      </c>
      <c r="O219" s="0" t="str">
        <f aca="true">IF(A219="","",IF(OR(M219="Closed",N219=""),"",TODAY()-N219))</f>
        <v/>
      </c>
    </row>
    <row r="220" customFormat="false" ht="15" hidden="false" customHeight="false" outlineLevel="0" collapsed="false">
      <c r="G220" s="0" t="str">
        <f aca="false">IF(A220="","",IF(AND(E220&lt;&gt;"",F220&lt;&gt;""),E220*F220,""))</f>
        <v/>
      </c>
      <c r="H220" s="0" t="str">
        <f aca="false">IF(G220="","",IF(G220&gt;=15,"High",IF(G220&gt;=8,"Medium","Low")))</f>
        <v/>
      </c>
      <c r="O220" s="0" t="str">
        <f aca="true">IF(A220="","",IF(OR(M220="Closed",N220=""),"",TODAY()-N220))</f>
        <v/>
      </c>
    </row>
    <row r="221" customFormat="false" ht="15" hidden="false" customHeight="false" outlineLevel="0" collapsed="false">
      <c r="G221" s="0" t="str">
        <f aca="false">IF(A221="","",IF(AND(E221&lt;&gt;"",F221&lt;&gt;""),E221*F221,""))</f>
        <v/>
      </c>
      <c r="H221" s="0" t="str">
        <f aca="false">IF(G221="","",IF(G221&gt;=15,"High",IF(G221&gt;=8,"Medium","Low")))</f>
        <v/>
      </c>
      <c r="O221" s="0" t="str">
        <f aca="true">IF(A221="","",IF(OR(M221="Closed",N221=""),"",TODAY()-N221))</f>
        <v/>
      </c>
    </row>
    <row r="222" customFormat="false" ht="15" hidden="false" customHeight="false" outlineLevel="0" collapsed="false">
      <c r="G222" s="0" t="str">
        <f aca="false">IF(A222="","",IF(AND(E222&lt;&gt;"",F222&lt;&gt;""),E222*F222,""))</f>
        <v/>
      </c>
      <c r="H222" s="0" t="str">
        <f aca="false">IF(G222="","",IF(G222&gt;=15,"High",IF(G222&gt;=8,"Medium","Low")))</f>
        <v/>
      </c>
      <c r="O222" s="0" t="str">
        <f aca="true">IF(A222="","",IF(OR(M222="Closed",N222=""),"",TODAY()-N222))</f>
        <v/>
      </c>
    </row>
    <row r="223" customFormat="false" ht="15" hidden="false" customHeight="false" outlineLevel="0" collapsed="false">
      <c r="G223" s="0" t="str">
        <f aca="false">IF(A223="","",IF(AND(E223&lt;&gt;"",F223&lt;&gt;""),E223*F223,""))</f>
        <v/>
      </c>
      <c r="H223" s="0" t="str">
        <f aca="false">IF(G223="","",IF(G223&gt;=15,"High",IF(G223&gt;=8,"Medium","Low")))</f>
        <v/>
      </c>
      <c r="O223" s="0" t="str">
        <f aca="true">IF(A223="","",IF(OR(M223="Closed",N223=""),"",TODAY()-N223))</f>
        <v/>
      </c>
    </row>
    <row r="224" customFormat="false" ht="15" hidden="false" customHeight="false" outlineLevel="0" collapsed="false">
      <c r="G224" s="0" t="str">
        <f aca="false">IF(A224="","",IF(AND(E224&lt;&gt;"",F224&lt;&gt;""),E224*F224,""))</f>
        <v/>
      </c>
      <c r="H224" s="0" t="str">
        <f aca="false">IF(G224="","",IF(G224&gt;=15,"High",IF(G224&gt;=8,"Medium","Low")))</f>
        <v/>
      </c>
      <c r="O224" s="0" t="str">
        <f aca="true">IF(A224="","",IF(OR(M224="Closed",N224=""),"",TODAY()-N224))</f>
        <v/>
      </c>
    </row>
    <row r="225" customFormat="false" ht="15" hidden="false" customHeight="false" outlineLevel="0" collapsed="false">
      <c r="G225" s="0" t="str">
        <f aca="false">IF(A225="","",IF(AND(E225&lt;&gt;"",F225&lt;&gt;""),E225*F225,""))</f>
        <v/>
      </c>
      <c r="H225" s="0" t="str">
        <f aca="false">IF(G225="","",IF(G225&gt;=15,"High",IF(G225&gt;=8,"Medium","Low")))</f>
        <v/>
      </c>
      <c r="O225" s="0" t="str">
        <f aca="true">IF(A225="","",IF(OR(M225="Closed",N225=""),"",TODAY()-N225))</f>
        <v/>
      </c>
    </row>
    <row r="226" customFormat="false" ht="15" hidden="false" customHeight="false" outlineLevel="0" collapsed="false">
      <c r="G226" s="0" t="str">
        <f aca="false">IF(A226="","",IF(AND(E226&lt;&gt;"",F226&lt;&gt;""),E226*F226,""))</f>
        <v/>
      </c>
      <c r="H226" s="0" t="str">
        <f aca="false">IF(G226="","",IF(G226&gt;=15,"High",IF(G226&gt;=8,"Medium","Low")))</f>
        <v/>
      </c>
      <c r="O226" s="0" t="str">
        <f aca="true">IF(A226="","",IF(OR(M226="Closed",N226=""),"",TODAY()-N226))</f>
        <v/>
      </c>
    </row>
    <row r="227" customFormat="false" ht="15" hidden="false" customHeight="false" outlineLevel="0" collapsed="false">
      <c r="G227" s="0" t="str">
        <f aca="false">IF(A227="","",IF(AND(E227&lt;&gt;"",F227&lt;&gt;""),E227*F227,""))</f>
        <v/>
      </c>
      <c r="H227" s="0" t="str">
        <f aca="false">IF(G227="","",IF(G227&gt;=15,"High",IF(G227&gt;=8,"Medium","Low")))</f>
        <v/>
      </c>
      <c r="O227" s="0" t="str">
        <f aca="true">IF(A227="","",IF(OR(M227="Closed",N227=""),"",TODAY()-N227))</f>
        <v/>
      </c>
    </row>
    <row r="228" customFormat="false" ht="15" hidden="false" customHeight="false" outlineLevel="0" collapsed="false">
      <c r="G228" s="0" t="str">
        <f aca="false">IF(A228="","",IF(AND(E228&lt;&gt;"",F228&lt;&gt;""),E228*F228,""))</f>
        <v/>
      </c>
      <c r="H228" s="0" t="str">
        <f aca="false">IF(G228="","",IF(G228&gt;=15,"High",IF(G228&gt;=8,"Medium","Low")))</f>
        <v/>
      </c>
      <c r="O228" s="0" t="str">
        <f aca="true">IF(A228="","",IF(OR(M228="Closed",N228=""),"",TODAY()-N228))</f>
        <v/>
      </c>
    </row>
    <row r="229" customFormat="false" ht="15" hidden="false" customHeight="false" outlineLevel="0" collapsed="false">
      <c r="G229" s="0" t="str">
        <f aca="false">IF(A229="","",IF(AND(E229&lt;&gt;"",F229&lt;&gt;""),E229*F229,""))</f>
        <v/>
      </c>
      <c r="H229" s="0" t="str">
        <f aca="false">IF(G229="","",IF(G229&gt;=15,"High",IF(G229&gt;=8,"Medium","Low")))</f>
        <v/>
      </c>
      <c r="O229" s="0" t="str">
        <f aca="true">IF(A229="","",IF(OR(M229="Closed",N229=""),"",TODAY()-N229))</f>
        <v/>
      </c>
    </row>
    <row r="230" customFormat="false" ht="15" hidden="false" customHeight="false" outlineLevel="0" collapsed="false">
      <c r="G230" s="0" t="str">
        <f aca="false">IF(A230="","",IF(AND(E230&lt;&gt;"",F230&lt;&gt;""),E230*F230,""))</f>
        <v/>
      </c>
      <c r="H230" s="0" t="str">
        <f aca="false">IF(G230="","",IF(G230&gt;=15,"High",IF(G230&gt;=8,"Medium","Low")))</f>
        <v/>
      </c>
      <c r="O230" s="0" t="str">
        <f aca="true">IF(A230="","",IF(OR(M230="Closed",N230=""),"",TODAY()-N230))</f>
        <v/>
      </c>
    </row>
    <row r="231" customFormat="false" ht="15" hidden="false" customHeight="false" outlineLevel="0" collapsed="false">
      <c r="G231" s="0" t="str">
        <f aca="false">IF(A231="","",IF(AND(E231&lt;&gt;"",F231&lt;&gt;""),E231*F231,""))</f>
        <v/>
      </c>
      <c r="H231" s="0" t="str">
        <f aca="false">IF(G231="","",IF(G231&gt;=15,"High",IF(G231&gt;=8,"Medium","Low")))</f>
        <v/>
      </c>
      <c r="O231" s="0" t="str">
        <f aca="true">IF(A231="","",IF(OR(M231="Closed",N231=""),"",TODAY()-N231))</f>
        <v/>
      </c>
    </row>
    <row r="232" customFormat="false" ht="15" hidden="false" customHeight="false" outlineLevel="0" collapsed="false">
      <c r="G232" s="0" t="str">
        <f aca="false">IF(A232="","",IF(AND(E232&lt;&gt;"",F232&lt;&gt;""),E232*F232,""))</f>
        <v/>
      </c>
      <c r="H232" s="0" t="str">
        <f aca="false">IF(G232="","",IF(G232&gt;=15,"High",IF(G232&gt;=8,"Medium","Low")))</f>
        <v/>
      </c>
      <c r="O232" s="0" t="str">
        <f aca="true">IF(A232="","",IF(OR(M232="Closed",N232=""),"",TODAY()-N232))</f>
        <v/>
      </c>
    </row>
    <row r="233" customFormat="false" ht="15" hidden="false" customHeight="false" outlineLevel="0" collapsed="false">
      <c r="G233" s="0" t="str">
        <f aca="false">IF(A233="","",IF(AND(E233&lt;&gt;"",F233&lt;&gt;""),E233*F233,""))</f>
        <v/>
      </c>
      <c r="H233" s="0" t="str">
        <f aca="false">IF(G233="","",IF(G233&gt;=15,"High",IF(G233&gt;=8,"Medium","Low")))</f>
        <v/>
      </c>
      <c r="O233" s="0" t="str">
        <f aca="true">IF(A233="","",IF(OR(M233="Closed",N233=""),"",TODAY()-N233))</f>
        <v/>
      </c>
    </row>
    <row r="234" customFormat="false" ht="15" hidden="false" customHeight="false" outlineLevel="0" collapsed="false">
      <c r="G234" s="0" t="str">
        <f aca="false">IF(A234="","",IF(AND(E234&lt;&gt;"",F234&lt;&gt;""),E234*F234,""))</f>
        <v/>
      </c>
      <c r="H234" s="0" t="str">
        <f aca="false">IF(G234="","",IF(G234&gt;=15,"High",IF(G234&gt;=8,"Medium","Low")))</f>
        <v/>
      </c>
      <c r="O234" s="0" t="str">
        <f aca="true">IF(A234="","",IF(OR(M234="Closed",N234=""),"",TODAY()-N234))</f>
        <v/>
      </c>
    </row>
    <row r="235" customFormat="false" ht="15" hidden="false" customHeight="false" outlineLevel="0" collapsed="false">
      <c r="G235" s="0" t="str">
        <f aca="false">IF(A235="","",IF(AND(E235&lt;&gt;"",F235&lt;&gt;""),E235*F235,""))</f>
        <v/>
      </c>
      <c r="H235" s="0" t="str">
        <f aca="false">IF(G235="","",IF(G235&gt;=15,"High",IF(G235&gt;=8,"Medium","Low")))</f>
        <v/>
      </c>
      <c r="O235" s="0" t="str">
        <f aca="true">IF(A235="","",IF(OR(M235="Closed",N235=""),"",TODAY()-N235))</f>
        <v/>
      </c>
    </row>
    <row r="236" customFormat="false" ht="15" hidden="false" customHeight="false" outlineLevel="0" collapsed="false">
      <c r="G236" s="0" t="str">
        <f aca="false">IF(A236="","",IF(AND(E236&lt;&gt;"",F236&lt;&gt;""),E236*F236,""))</f>
        <v/>
      </c>
      <c r="H236" s="0" t="str">
        <f aca="false">IF(G236="","",IF(G236&gt;=15,"High",IF(G236&gt;=8,"Medium","Low")))</f>
        <v/>
      </c>
      <c r="O236" s="0" t="str">
        <f aca="true">IF(A236="","",IF(OR(M236="Closed",N236=""),"",TODAY()-N236))</f>
        <v/>
      </c>
    </row>
    <row r="237" customFormat="false" ht="15" hidden="false" customHeight="false" outlineLevel="0" collapsed="false">
      <c r="G237" s="0" t="str">
        <f aca="false">IF(A237="","",IF(AND(E237&lt;&gt;"",F237&lt;&gt;""),E237*F237,""))</f>
        <v/>
      </c>
      <c r="H237" s="0" t="str">
        <f aca="false">IF(G237="","",IF(G237&gt;=15,"High",IF(G237&gt;=8,"Medium","Low")))</f>
        <v/>
      </c>
      <c r="O237" s="0" t="str">
        <f aca="true">IF(A237="","",IF(OR(M237="Closed",N237=""),"",TODAY()-N237))</f>
        <v/>
      </c>
    </row>
    <row r="238" customFormat="false" ht="15" hidden="false" customHeight="false" outlineLevel="0" collapsed="false">
      <c r="G238" s="0" t="str">
        <f aca="false">IF(A238="","",IF(AND(E238&lt;&gt;"",F238&lt;&gt;""),E238*F238,""))</f>
        <v/>
      </c>
      <c r="H238" s="0" t="str">
        <f aca="false">IF(G238="","",IF(G238&gt;=15,"High",IF(G238&gt;=8,"Medium","Low")))</f>
        <v/>
      </c>
      <c r="O238" s="0" t="str">
        <f aca="true">IF(A238="","",IF(OR(M238="Closed",N238=""),"",TODAY()-N238))</f>
        <v/>
      </c>
    </row>
    <row r="239" customFormat="false" ht="15" hidden="false" customHeight="false" outlineLevel="0" collapsed="false">
      <c r="G239" s="0" t="str">
        <f aca="false">IF(A239="","",IF(AND(E239&lt;&gt;"",F239&lt;&gt;""),E239*F239,""))</f>
        <v/>
      </c>
      <c r="H239" s="0" t="str">
        <f aca="false">IF(G239="","",IF(G239&gt;=15,"High",IF(G239&gt;=8,"Medium","Low")))</f>
        <v/>
      </c>
      <c r="O239" s="0" t="str">
        <f aca="true">IF(A239="","",IF(OR(M239="Closed",N239=""),"",TODAY()-N239))</f>
        <v/>
      </c>
    </row>
    <row r="240" customFormat="false" ht="15" hidden="false" customHeight="false" outlineLevel="0" collapsed="false">
      <c r="G240" s="0" t="str">
        <f aca="false">IF(A240="","",IF(AND(E240&lt;&gt;"",F240&lt;&gt;""),E240*F240,""))</f>
        <v/>
      </c>
      <c r="H240" s="0" t="str">
        <f aca="false">IF(G240="","",IF(G240&gt;=15,"High",IF(G240&gt;=8,"Medium","Low")))</f>
        <v/>
      </c>
      <c r="O240" s="0" t="str">
        <f aca="true">IF(A240="","",IF(OR(M240="Closed",N240=""),"",TODAY()-N240))</f>
        <v/>
      </c>
    </row>
    <row r="241" customFormat="false" ht="15" hidden="false" customHeight="false" outlineLevel="0" collapsed="false">
      <c r="G241" s="0" t="str">
        <f aca="false">IF(A241="","",IF(AND(E241&lt;&gt;"",F241&lt;&gt;""),E241*F241,""))</f>
        <v/>
      </c>
      <c r="H241" s="0" t="str">
        <f aca="false">IF(G241="","",IF(G241&gt;=15,"High",IF(G241&gt;=8,"Medium","Low")))</f>
        <v/>
      </c>
      <c r="O241" s="0" t="str">
        <f aca="true">IF(A241="","",IF(OR(M241="Closed",N241=""),"",TODAY()-N241))</f>
        <v/>
      </c>
    </row>
    <row r="242" customFormat="false" ht="15" hidden="false" customHeight="false" outlineLevel="0" collapsed="false">
      <c r="G242" s="0" t="str">
        <f aca="false">IF(A242="","",IF(AND(E242&lt;&gt;"",F242&lt;&gt;""),E242*F242,""))</f>
        <v/>
      </c>
      <c r="H242" s="0" t="str">
        <f aca="false">IF(G242="","",IF(G242&gt;=15,"High",IF(G242&gt;=8,"Medium","Low")))</f>
        <v/>
      </c>
      <c r="O242" s="0" t="str">
        <f aca="true">IF(A242="","",IF(OR(M242="Closed",N242=""),"",TODAY()-N242))</f>
        <v/>
      </c>
    </row>
    <row r="243" customFormat="false" ht="15" hidden="false" customHeight="false" outlineLevel="0" collapsed="false">
      <c r="G243" s="0" t="str">
        <f aca="false">IF(A243="","",IF(AND(E243&lt;&gt;"",F243&lt;&gt;""),E243*F243,""))</f>
        <v/>
      </c>
      <c r="H243" s="0" t="str">
        <f aca="false">IF(G243="","",IF(G243&gt;=15,"High",IF(G243&gt;=8,"Medium","Low")))</f>
        <v/>
      </c>
      <c r="O243" s="0" t="str">
        <f aca="true">IF(A243="","",IF(OR(M243="Closed",N243=""),"",TODAY()-N243))</f>
        <v/>
      </c>
    </row>
    <row r="244" customFormat="false" ht="15" hidden="false" customHeight="false" outlineLevel="0" collapsed="false">
      <c r="G244" s="0" t="str">
        <f aca="false">IF(A244="","",IF(AND(E244&lt;&gt;"",F244&lt;&gt;""),E244*F244,""))</f>
        <v/>
      </c>
      <c r="H244" s="0" t="str">
        <f aca="false">IF(G244="","",IF(G244&gt;=15,"High",IF(G244&gt;=8,"Medium","Low")))</f>
        <v/>
      </c>
      <c r="O244" s="0" t="str">
        <f aca="true">IF(A244="","",IF(OR(M244="Closed",N244=""),"",TODAY()-N244))</f>
        <v/>
      </c>
    </row>
    <row r="245" customFormat="false" ht="15" hidden="false" customHeight="false" outlineLevel="0" collapsed="false">
      <c r="G245" s="0" t="str">
        <f aca="false">IF(A245="","",IF(AND(E245&lt;&gt;"",F245&lt;&gt;""),E245*F245,""))</f>
        <v/>
      </c>
      <c r="H245" s="0" t="str">
        <f aca="false">IF(G245="","",IF(G245&gt;=15,"High",IF(G245&gt;=8,"Medium","Low")))</f>
        <v/>
      </c>
      <c r="O245" s="0" t="str">
        <f aca="true">IF(A245="","",IF(OR(M245="Closed",N245=""),"",TODAY()-N245))</f>
        <v/>
      </c>
    </row>
    <row r="246" customFormat="false" ht="15" hidden="false" customHeight="false" outlineLevel="0" collapsed="false">
      <c r="G246" s="0" t="str">
        <f aca="false">IF(A246="","",IF(AND(E246&lt;&gt;"",F246&lt;&gt;""),E246*F246,""))</f>
        <v/>
      </c>
      <c r="H246" s="0" t="str">
        <f aca="false">IF(G246="","",IF(G246&gt;=15,"High",IF(G246&gt;=8,"Medium","Low")))</f>
        <v/>
      </c>
      <c r="O246" s="0" t="str">
        <f aca="true">IF(A246="","",IF(OR(M246="Closed",N246=""),"",TODAY()-N246))</f>
        <v/>
      </c>
    </row>
    <row r="247" customFormat="false" ht="15" hidden="false" customHeight="false" outlineLevel="0" collapsed="false">
      <c r="G247" s="0" t="str">
        <f aca="false">IF(A247="","",IF(AND(E247&lt;&gt;"",F247&lt;&gt;""),E247*F247,""))</f>
        <v/>
      </c>
      <c r="H247" s="0" t="str">
        <f aca="false">IF(G247="","",IF(G247&gt;=15,"High",IF(G247&gt;=8,"Medium","Low")))</f>
        <v/>
      </c>
      <c r="O247" s="0" t="str">
        <f aca="true">IF(A247="","",IF(OR(M247="Closed",N247=""),"",TODAY()-N247))</f>
        <v/>
      </c>
    </row>
    <row r="248" customFormat="false" ht="15" hidden="false" customHeight="false" outlineLevel="0" collapsed="false">
      <c r="G248" s="0" t="str">
        <f aca="false">IF(A248="","",IF(AND(E248&lt;&gt;"",F248&lt;&gt;""),E248*F248,""))</f>
        <v/>
      </c>
      <c r="H248" s="0" t="str">
        <f aca="false">IF(G248="","",IF(G248&gt;=15,"High",IF(G248&gt;=8,"Medium","Low")))</f>
        <v/>
      </c>
      <c r="O248" s="0" t="str">
        <f aca="true">IF(A248="","",IF(OR(M248="Closed",N248=""),"",TODAY()-N248))</f>
        <v/>
      </c>
    </row>
    <row r="249" customFormat="false" ht="15" hidden="false" customHeight="false" outlineLevel="0" collapsed="false">
      <c r="G249" s="0" t="str">
        <f aca="false">IF(A249="","",IF(AND(E249&lt;&gt;"",F249&lt;&gt;""),E249*F249,""))</f>
        <v/>
      </c>
      <c r="H249" s="0" t="str">
        <f aca="false">IF(G249="","",IF(G249&gt;=15,"High",IF(G249&gt;=8,"Medium","Low")))</f>
        <v/>
      </c>
      <c r="O249" s="0" t="str">
        <f aca="true">IF(A249="","",IF(OR(M249="Closed",N249=""),"",TODAY()-N249))</f>
        <v/>
      </c>
    </row>
    <row r="250" customFormat="false" ht="15" hidden="false" customHeight="false" outlineLevel="0" collapsed="false">
      <c r="G250" s="0" t="str">
        <f aca="false">IF(A250="","",IF(AND(E250&lt;&gt;"",F250&lt;&gt;""),E250*F250,""))</f>
        <v/>
      </c>
      <c r="H250" s="0" t="str">
        <f aca="false">IF(G250="","",IF(G250&gt;=15,"High",IF(G250&gt;=8,"Medium","Low")))</f>
        <v/>
      </c>
      <c r="O250" s="0" t="str">
        <f aca="true">IF(A250="","",IF(OR(M250="Closed",N250=""),"",TODAY()-N250))</f>
        <v/>
      </c>
    </row>
    <row r="251" customFormat="false" ht="15" hidden="false" customHeight="false" outlineLevel="0" collapsed="false">
      <c r="G251" s="0" t="str">
        <f aca="false">IF(A251="","",IF(AND(E251&lt;&gt;"",F251&lt;&gt;""),E251*F251,""))</f>
        <v/>
      </c>
      <c r="H251" s="0" t="str">
        <f aca="false">IF(G251="","",IF(G251&gt;=15,"High",IF(G251&gt;=8,"Medium","Low")))</f>
        <v/>
      </c>
      <c r="O251" s="0" t="str">
        <f aca="true">IF(A251="","",IF(OR(M251="Closed",N251=""),"",TODAY()-N251))</f>
        <v/>
      </c>
    </row>
    <row r="252" customFormat="false" ht="15" hidden="false" customHeight="false" outlineLevel="0" collapsed="false">
      <c r="G252" s="0" t="str">
        <f aca="false">IF(A252="","",IF(AND(E252&lt;&gt;"",F252&lt;&gt;""),E252*F252,""))</f>
        <v/>
      </c>
      <c r="H252" s="0" t="str">
        <f aca="false">IF(G252="","",IF(G252&gt;=15,"High",IF(G252&gt;=8,"Medium","Low")))</f>
        <v/>
      </c>
      <c r="O252" s="0" t="str">
        <f aca="true">IF(A252="","",IF(OR(M252="Closed",N252=""),"",TODAY()-N252))</f>
        <v/>
      </c>
    </row>
    <row r="253" customFormat="false" ht="15" hidden="false" customHeight="false" outlineLevel="0" collapsed="false">
      <c r="G253" s="0" t="str">
        <f aca="false">IF(A253="","",IF(AND(E253&lt;&gt;"",F253&lt;&gt;""),E253*F253,""))</f>
        <v/>
      </c>
      <c r="H253" s="0" t="str">
        <f aca="false">IF(G253="","",IF(G253&gt;=15,"High",IF(G253&gt;=8,"Medium","Low")))</f>
        <v/>
      </c>
      <c r="O253" s="0" t="str">
        <f aca="true">IF(A253="","",IF(OR(M253="Closed",N253=""),"",TODAY()-N253))</f>
        <v/>
      </c>
    </row>
    <row r="254" customFormat="false" ht="15" hidden="false" customHeight="false" outlineLevel="0" collapsed="false">
      <c r="G254" s="0" t="str">
        <f aca="false">IF(A254="","",IF(AND(E254&lt;&gt;"",F254&lt;&gt;""),E254*F254,""))</f>
        <v/>
      </c>
      <c r="H254" s="0" t="str">
        <f aca="false">IF(G254="","",IF(G254&gt;=15,"High",IF(G254&gt;=8,"Medium","Low")))</f>
        <v/>
      </c>
      <c r="O254" s="0" t="str">
        <f aca="true">IF(A254="","",IF(OR(M254="Closed",N254=""),"",TODAY()-N254))</f>
        <v/>
      </c>
    </row>
    <row r="255" customFormat="false" ht="15" hidden="false" customHeight="false" outlineLevel="0" collapsed="false">
      <c r="G255" s="0" t="str">
        <f aca="false">IF(A255="","",IF(AND(E255&lt;&gt;"",F255&lt;&gt;""),E255*F255,""))</f>
        <v/>
      </c>
      <c r="H255" s="0" t="str">
        <f aca="false">IF(G255="","",IF(G255&gt;=15,"High",IF(G255&gt;=8,"Medium","Low")))</f>
        <v/>
      </c>
      <c r="O255" s="0" t="str">
        <f aca="true">IF(A255="","",IF(OR(M255="Closed",N255=""),"",TODAY()-N255))</f>
        <v/>
      </c>
    </row>
    <row r="256" customFormat="false" ht="15" hidden="false" customHeight="false" outlineLevel="0" collapsed="false">
      <c r="G256" s="0" t="str">
        <f aca="false">IF(A256="","",IF(AND(E256&lt;&gt;"",F256&lt;&gt;""),E256*F256,""))</f>
        <v/>
      </c>
      <c r="H256" s="0" t="str">
        <f aca="false">IF(G256="","",IF(G256&gt;=15,"High",IF(G256&gt;=8,"Medium","Low")))</f>
        <v/>
      </c>
      <c r="O256" s="0" t="str">
        <f aca="true">IF(A256="","",IF(OR(M256="Closed",N256=""),"",TODAY()-N256))</f>
        <v/>
      </c>
    </row>
    <row r="257" customFormat="false" ht="15" hidden="false" customHeight="false" outlineLevel="0" collapsed="false">
      <c r="G257" s="0" t="str">
        <f aca="false">IF(A257="","",IF(AND(E257&lt;&gt;"",F257&lt;&gt;""),E257*F257,""))</f>
        <v/>
      </c>
      <c r="H257" s="0" t="str">
        <f aca="false">IF(G257="","",IF(G257&gt;=15,"High",IF(G257&gt;=8,"Medium","Low")))</f>
        <v/>
      </c>
      <c r="O257" s="0" t="str">
        <f aca="true">IF(A257="","",IF(OR(M257="Closed",N257=""),"",TODAY()-N257))</f>
        <v/>
      </c>
    </row>
    <row r="258" customFormat="false" ht="15" hidden="false" customHeight="false" outlineLevel="0" collapsed="false">
      <c r="G258" s="0" t="str">
        <f aca="false">IF(A258="","",IF(AND(E258&lt;&gt;"",F258&lt;&gt;""),E258*F258,""))</f>
        <v/>
      </c>
      <c r="H258" s="0" t="str">
        <f aca="false">IF(G258="","",IF(G258&gt;=15,"High",IF(G258&gt;=8,"Medium","Low")))</f>
        <v/>
      </c>
      <c r="O258" s="0" t="str">
        <f aca="true">IF(A258="","",IF(OR(M258="Closed",N258=""),"",TODAY()-N258))</f>
        <v/>
      </c>
    </row>
    <row r="259" customFormat="false" ht="15" hidden="false" customHeight="false" outlineLevel="0" collapsed="false">
      <c r="G259" s="0" t="str">
        <f aca="false">IF(A259="","",IF(AND(E259&lt;&gt;"",F259&lt;&gt;""),E259*F259,""))</f>
        <v/>
      </c>
      <c r="H259" s="0" t="str">
        <f aca="false">IF(G259="","",IF(G259&gt;=15,"High",IF(G259&gt;=8,"Medium","Low")))</f>
        <v/>
      </c>
      <c r="O259" s="0" t="str">
        <f aca="true">IF(A259="","",IF(OR(M259="Closed",N259=""),"",TODAY()-N259))</f>
        <v/>
      </c>
    </row>
    <row r="260" customFormat="false" ht="15" hidden="false" customHeight="false" outlineLevel="0" collapsed="false">
      <c r="G260" s="0" t="str">
        <f aca="false">IF(A260="","",IF(AND(E260&lt;&gt;"",F260&lt;&gt;""),E260*F260,""))</f>
        <v/>
      </c>
      <c r="H260" s="0" t="str">
        <f aca="false">IF(G260="","",IF(G260&gt;=15,"High",IF(G260&gt;=8,"Medium","Low")))</f>
        <v/>
      </c>
      <c r="O260" s="0" t="str">
        <f aca="true">IF(A260="","",IF(OR(M260="Closed",N260=""),"",TODAY()-N260))</f>
        <v/>
      </c>
    </row>
    <row r="261" customFormat="false" ht="15" hidden="false" customHeight="false" outlineLevel="0" collapsed="false">
      <c r="G261" s="0" t="str">
        <f aca="false">IF(A261="","",IF(AND(E261&lt;&gt;"",F261&lt;&gt;""),E261*F261,""))</f>
        <v/>
      </c>
      <c r="H261" s="0" t="str">
        <f aca="false">IF(G261="","",IF(G261&gt;=15,"High",IF(G261&gt;=8,"Medium","Low")))</f>
        <v/>
      </c>
      <c r="O261" s="0" t="str">
        <f aca="true">IF(A261="","",IF(OR(M261="Closed",N261=""),"",TODAY()-N261))</f>
        <v/>
      </c>
    </row>
    <row r="262" customFormat="false" ht="15" hidden="false" customHeight="false" outlineLevel="0" collapsed="false">
      <c r="G262" s="0" t="str">
        <f aca="false">IF(A262="","",IF(AND(E262&lt;&gt;"",F262&lt;&gt;""),E262*F262,""))</f>
        <v/>
      </c>
      <c r="H262" s="0" t="str">
        <f aca="false">IF(G262="","",IF(G262&gt;=15,"High",IF(G262&gt;=8,"Medium","Low")))</f>
        <v/>
      </c>
      <c r="O262" s="0" t="str">
        <f aca="true">IF(A262="","",IF(OR(M262="Closed",N262=""),"",TODAY()-N262))</f>
        <v/>
      </c>
    </row>
    <row r="263" customFormat="false" ht="15" hidden="false" customHeight="false" outlineLevel="0" collapsed="false">
      <c r="G263" s="0" t="str">
        <f aca="false">IF(A263="","",IF(AND(E263&lt;&gt;"",F263&lt;&gt;""),E263*F263,""))</f>
        <v/>
      </c>
      <c r="H263" s="0" t="str">
        <f aca="false">IF(G263="","",IF(G263&gt;=15,"High",IF(G263&gt;=8,"Medium","Low")))</f>
        <v/>
      </c>
      <c r="O263" s="0" t="str">
        <f aca="true">IF(A263="","",IF(OR(M263="Closed",N263=""),"",TODAY()-N263))</f>
        <v/>
      </c>
    </row>
    <row r="264" customFormat="false" ht="15" hidden="false" customHeight="false" outlineLevel="0" collapsed="false">
      <c r="G264" s="0" t="str">
        <f aca="false">IF(A264="","",IF(AND(E264&lt;&gt;"",F264&lt;&gt;""),E264*F264,""))</f>
        <v/>
      </c>
      <c r="H264" s="0" t="str">
        <f aca="false">IF(G264="","",IF(G264&gt;=15,"High",IF(G264&gt;=8,"Medium","Low")))</f>
        <v/>
      </c>
      <c r="O264" s="0" t="str">
        <f aca="true">IF(A264="","",IF(OR(M264="Closed",N264=""),"",TODAY()-N264))</f>
        <v/>
      </c>
    </row>
    <row r="265" customFormat="false" ht="15" hidden="false" customHeight="false" outlineLevel="0" collapsed="false">
      <c r="G265" s="0" t="str">
        <f aca="false">IF(A265="","",IF(AND(E265&lt;&gt;"",F265&lt;&gt;""),E265*F265,""))</f>
        <v/>
      </c>
      <c r="H265" s="0" t="str">
        <f aca="false">IF(G265="","",IF(G265&gt;=15,"High",IF(G265&gt;=8,"Medium","Low")))</f>
        <v/>
      </c>
      <c r="O265" s="0" t="str">
        <f aca="true">IF(A265="","",IF(OR(M265="Closed",N265=""),"",TODAY()-N265))</f>
        <v/>
      </c>
    </row>
    <row r="266" customFormat="false" ht="15" hidden="false" customHeight="false" outlineLevel="0" collapsed="false">
      <c r="G266" s="0" t="str">
        <f aca="false">IF(A266="","",IF(AND(E266&lt;&gt;"",F266&lt;&gt;""),E266*F266,""))</f>
        <v/>
      </c>
      <c r="H266" s="0" t="str">
        <f aca="false">IF(G266="","",IF(G266&gt;=15,"High",IF(G266&gt;=8,"Medium","Low")))</f>
        <v/>
      </c>
      <c r="O266" s="0" t="str">
        <f aca="true">IF(A266="","",IF(OR(M266="Closed",N266=""),"",TODAY()-N266))</f>
        <v/>
      </c>
    </row>
    <row r="267" customFormat="false" ht="15" hidden="false" customHeight="false" outlineLevel="0" collapsed="false">
      <c r="G267" s="0" t="str">
        <f aca="false">IF(A267="","",IF(AND(E267&lt;&gt;"",F267&lt;&gt;""),E267*F267,""))</f>
        <v/>
      </c>
      <c r="H267" s="0" t="str">
        <f aca="false">IF(G267="","",IF(G267&gt;=15,"High",IF(G267&gt;=8,"Medium","Low")))</f>
        <v/>
      </c>
      <c r="O267" s="0" t="str">
        <f aca="true">IF(A267="","",IF(OR(M267="Closed",N267=""),"",TODAY()-N267))</f>
        <v/>
      </c>
    </row>
    <row r="268" customFormat="false" ht="15" hidden="false" customHeight="false" outlineLevel="0" collapsed="false">
      <c r="G268" s="0" t="str">
        <f aca="false">IF(A268="","",IF(AND(E268&lt;&gt;"",F268&lt;&gt;""),E268*F268,""))</f>
        <v/>
      </c>
      <c r="H268" s="0" t="str">
        <f aca="false">IF(G268="","",IF(G268&gt;=15,"High",IF(G268&gt;=8,"Medium","Low")))</f>
        <v/>
      </c>
      <c r="O268" s="0" t="str">
        <f aca="true">IF(A268="","",IF(OR(M268="Closed",N268=""),"",TODAY()-N268))</f>
        <v/>
      </c>
    </row>
    <row r="269" customFormat="false" ht="15" hidden="false" customHeight="false" outlineLevel="0" collapsed="false">
      <c r="G269" s="0" t="str">
        <f aca="false">IF(A269="","",IF(AND(E269&lt;&gt;"",F269&lt;&gt;""),E269*F269,""))</f>
        <v/>
      </c>
      <c r="H269" s="0" t="str">
        <f aca="false">IF(G269="","",IF(G269&gt;=15,"High",IF(G269&gt;=8,"Medium","Low")))</f>
        <v/>
      </c>
      <c r="O269" s="0" t="str">
        <f aca="true">IF(A269="","",IF(OR(M269="Closed",N269=""),"",TODAY()-N269))</f>
        <v/>
      </c>
    </row>
    <row r="270" customFormat="false" ht="15" hidden="false" customHeight="false" outlineLevel="0" collapsed="false">
      <c r="G270" s="0" t="str">
        <f aca="false">IF(A270="","",IF(AND(E270&lt;&gt;"",F270&lt;&gt;""),E270*F270,""))</f>
        <v/>
      </c>
      <c r="H270" s="0" t="str">
        <f aca="false">IF(G270="","",IF(G270&gt;=15,"High",IF(G270&gt;=8,"Medium","Low")))</f>
        <v/>
      </c>
      <c r="O270" s="0" t="str">
        <f aca="true">IF(A270="","",IF(OR(M270="Closed",N270=""),"",TODAY()-N270))</f>
        <v/>
      </c>
    </row>
    <row r="271" customFormat="false" ht="15" hidden="false" customHeight="false" outlineLevel="0" collapsed="false">
      <c r="G271" s="0" t="str">
        <f aca="false">IF(A271="","",IF(AND(E271&lt;&gt;"",F271&lt;&gt;""),E271*F271,""))</f>
        <v/>
      </c>
      <c r="H271" s="0" t="str">
        <f aca="false">IF(G271="","",IF(G271&gt;=15,"High",IF(G271&gt;=8,"Medium","Low")))</f>
        <v/>
      </c>
      <c r="O271" s="0" t="str">
        <f aca="true">IF(A271="","",IF(OR(M271="Closed",N271=""),"",TODAY()-N271))</f>
        <v/>
      </c>
    </row>
    <row r="272" customFormat="false" ht="15" hidden="false" customHeight="false" outlineLevel="0" collapsed="false">
      <c r="G272" s="0" t="str">
        <f aca="false">IF(A272="","",IF(AND(E272&lt;&gt;"",F272&lt;&gt;""),E272*F272,""))</f>
        <v/>
      </c>
      <c r="H272" s="0" t="str">
        <f aca="false">IF(G272="","",IF(G272&gt;=15,"High",IF(G272&gt;=8,"Medium","Low")))</f>
        <v/>
      </c>
      <c r="O272" s="0" t="str">
        <f aca="true">IF(A272="","",IF(OR(M272="Closed",N272=""),"",TODAY()-N272))</f>
        <v/>
      </c>
    </row>
    <row r="273" customFormat="false" ht="15" hidden="false" customHeight="false" outlineLevel="0" collapsed="false">
      <c r="G273" s="0" t="str">
        <f aca="false">IF(A273="","",IF(AND(E273&lt;&gt;"",F273&lt;&gt;""),E273*F273,""))</f>
        <v/>
      </c>
      <c r="H273" s="0" t="str">
        <f aca="false">IF(G273="","",IF(G273&gt;=15,"High",IF(G273&gt;=8,"Medium","Low")))</f>
        <v/>
      </c>
      <c r="O273" s="0" t="str">
        <f aca="true">IF(A273="","",IF(OR(M273="Closed",N273=""),"",TODAY()-N273))</f>
        <v/>
      </c>
    </row>
    <row r="274" customFormat="false" ht="15" hidden="false" customHeight="false" outlineLevel="0" collapsed="false">
      <c r="G274" s="0" t="str">
        <f aca="false">IF(A274="","",IF(AND(E274&lt;&gt;"",F274&lt;&gt;""),E274*F274,""))</f>
        <v/>
      </c>
      <c r="H274" s="0" t="str">
        <f aca="false">IF(G274="","",IF(G274&gt;=15,"High",IF(G274&gt;=8,"Medium","Low")))</f>
        <v/>
      </c>
      <c r="O274" s="0" t="str">
        <f aca="true">IF(A274="","",IF(OR(M274="Closed",N274=""),"",TODAY()-N274))</f>
        <v/>
      </c>
    </row>
    <row r="275" customFormat="false" ht="15" hidden="false" customHeight="false" outlineLevel="0" collapsed="false">
      <c r="G275" s="0" t="str">
        <f aca="false">IF(A275="","",IF(AND(E275&lt;&gt;"",F275&lt;&gt;""),E275*F275,""))</f>
        <v/>
      </c>
      <c r="H275" s="0" t="str">
        <f aca="false">IF(G275="","",IF(G275&gt;=15,"High",IF(G275&gt;=8,"Medium","Low")))</f>
        <v/>
      </c>
      <c r="O275" s="0" t="str">
        <f aca="true">IF(A275="","",IF(OR(M275="Closed",N275=""),"",TODAY()-N275))</f>
        <v/>
      </c>
    </row>
    <row r="276" customFormat="false" ht="15" hidden="false" customHeight="false" outlineLevel="0" collapsed="false">
      <c r="G276" s="0" t="str">
        <f aca="false">IF(A276="","",IF(AND(E276&lt;&gt;"",F276&lt;&gt;""),E276*F276,""))</f>
        <v/>
      </c>
      <c r="H276" s="0" t="str">
        <f aca="false">IF(G276="","",IF(G276&gt;=15,"High",IF(G276&gt;=8,"Medium","Low")))</f>
        <v/>
      </c>
      <c r="O276" s="0" t="str">
        <f aca="true">IF(A276="","",IF(OR(M276="Closed",N276=""),"",TODAY()-N276))</f>
        <v/>
      </c>
    </row>
    <row r="277" customFormat="false" ht="15" hidden="false" customHeight="false" outlineLevel="0" collapsed="false">
      <c r="G277" s="0" t="str">
        <f aca="false">IF(A277="","",IF(AND(E277&lt;&gt;"",F277&lt;&gt;""),E277*F277,""))</f>
        <v/>
      </c>
      <c r="H277" s="0" t="str">
        <f aca="false">IF(G277="","",IF(G277&gt;=15,"High",IF(G277&gt;=8,"Medium","Low")))</f>
        <v/>
      </c>
      <c r="O277" s="0" t="str">
        <f aca="true">IF(A277="","",IF(OR(M277="Closed",N277=""),"",TODAY()-N277))</f>
        <v/>
      </c>
    </row>
    <row r="278" customFormat="false" ht="15" hidden="false" customHeight="false" outlineLevel="0" collapsed="false">
      <c r="G278" s="0" t="str">
        <f aca="false">IF(A278="","",IF(AND(E278&lt;&gt;"",F278&lt;&gt;""),E278*F278,""))</f>
        <v/>
      </c>
      <c r="H278" s="0" t="str">
        <f aca="false">IF(G278="","",IF(G278&gt;=15,"High",IF(G278&gt;=8,"Medium","Low")))</f>
        <v/>
      </c>
      <c r="O278" s="0" t="str">
        <f aca="true">IF(A278="","",IF(OR(M278="Closed",N278=""),"",TODAY()-N278))</f>
        <v/>
      </c>
    </row>
    <row r="279" customFormat="false" ht="15" hidden="false" customHeight="false" outlineLevel="0" collapsed="false">
      <c r="G279" s="0" t="str">
        <f aca="false">IF(A279="","",IF(AND(E279&lt;&gt;"",F279&lt;&gt;""),E279*F279,""))</f>
        <v/>
      </c>
      <c r="H279" s="0" t="str">
        <f aca="false">IF(G279="","",IF(G279&gt;=15,"High",IF(G279&gt;=8,"Medium","Low")))</f>
        <v/>
      </c>
      <c r="O279" s="0" t="str">
        <f aca="true">IF(A279="","",IF(OR(M279="Closed",N279=""),"",TODAY()-N279))</f>
        <v/>
      </c>
    </row>
    <row r="280" customFormat="false" ht="15" hidden="false" customHeight="false" outlineLevel="0" collapsed="false">
      <c r="G280" s="0" t="str">
        <f aca="false">IF(A280="","",IF(AND(E280&lt;&gt;"",F280&lt;&gt;""),E280*F280,""))</f>
        <v/>
      </c>
      <c r="H280" s="0" t="str">
        <f aca="false">IF(G280="","",IF(G280&gt;=15,"High",IF(G280&gt;=8,"Medium","Low")))</f>
        <v/>
      </c>
      <c r="O280" s="0" t="str">
        <f aca="true">IF(A280="","",IF(OR(M280="Closed",N280=""),"",TODAY()-N280))</f>
        <v/>
      </c>
    </row>
    <row r="281" customFormat="false" ht="15" hidden="false" customHeight="false" outlineLevel="0" collapsed="false">
      <c r="G281" s="0" t="str">
        <f aca="false">IF(A281="","",IF(AND(E281&lt;&gt;"",F281&lt;&gt;""),E281*F281,""))</f>
        <v/>
      </c>
      <c r="H281" s="0" t="str">
        <f aca="false">IF(G281="","",IF(G281&gt;=15,"High",IF(G281&gt;=8,"Medium","Low")))</f>
        <v/>
      </c>
      <c r="O281" s="0" t="str">
        <f aca="true">IF(A281="","",IF(OR(M281="Closed",N281=""),"",TODAY()-N281))</f>
        <v/>
      </c>
    </row>
    <row r="282" customFormat="false" ht="15" hidden="false" customHeight="false" outlineLevel="0" collapsed="false">
      <c r="G282" s="0" t="str">
        <f aca="false">IF(A282="","",IF(AND(E282&lt;&gt;"",F282&lt;&gt;""),E282*F282,""))</f>
        <v/>
      </c>
      <c r="H282" s="0" t="str">
        <f aca="false">IF(G282="","",IF(G282&gt;=15,"High",IF(G282&gt;=8,"Medium","Low")))</f>
        <v/>
      </c>
      <c r="O282" s="0" t="str">
        <f aca="true">IF(A282="","",IF(OR(M282="Closed",N282=""),"",TODAY()-N282))</f>
        <v/>
      </c>
    </row>
    <row r="283" customFormat="false" ht="15" hidden="false" customHeight="false" outlineLevel="0" collapsed="false">
      <c r="G283" s="0" t="str">
        <f aca="false">IF(A283="","",IF(AND(E283&lt;&gt;"",F283&lt;&gt;""),E283*F283,""))</f>
        <v/>
      </c>
      <c r="H283" s="0" t="str">
        <f aca="false">IF(G283="","",IF(G283&gt;=15,"High",IF(G283&gt;=8,"Medium","Low")))</f>
        <v/>
      </c>
      <c r="O283" s="0" t="str">
        <f aca="true">IF(A283="","",IF(OR(M283="Closed",N283=""),"",TODAY()-N283))</f>
        <v/>
      </c>
    </row>
    <row r="284" customFormat="false" ht="15" hidden="false" customHeight="false" outlineLevel="0" collapsed="false">
      <c r="G284" s="0" t="str">
        <f aca="false">IF(A284="","",IF(AND(E284&lt;&gt;"",F284&lt;&gt;""),E284*F284,""))</f>
        <v/>
      </c>
      <c r="H284" s="0" t="str">
        <f aca="false">IF(G284="","",IF(G284&gt;=15,"High",IF(G284&gt;=8,"Medium","Low")))</f>
        <v/>
      </c>
      <c r="O284" s="0" t="str">
        <f aca="true">IF(A284="","",IF(OR(M284="Closed",N284=""),"",TODAY()-N284))</f>
        <v/>
      </c>
    </row>
    <row r="285" customFormat="false" ht="15" hidden="false" customHeight="false" outlineLevel="0" collapsed="false">
      <c r="G285" s="0" t="str">
        <f aca="false">IF(A285="","",IF(AND(E285&lt;&gt;"",F285&lt;&gt;""),E285*F285,""))</f>
        <v/>
      </c>
      <c r="H285" s="0" t="str">
        <f aca="false">IF(G285="","",IF(G285&gt;=15,"High",IF(G285&gt;=8,"Medium","Low")))</f>
        <v/>
      </c>
      <c r="O285" s="0" t="str">
        <f aca="true">IF(A285="","",IF(OR(M285="Closed",N285=""),"",TODAY()-N285))</f>
        <v/>
      </c>
    </row>
    <row r="286" customFormat="false" ht="15" hidden="false" customHeight="false" outlineLevel="0" collapsed="false">
      <c r="G286" s="0" t="str">
        <f aca="false">IF(A286="","",IF(AND(E286&lt;&gt;"",F286&lt;&gt;""),E286*F286,""))</f>
        <v/>
      </c>
      <c r="H286" s="0" t="str">
        <f aca="false">IF(G286="","",IF(G286&gt;=15,"High",IF(G286&gt;=8,"Medium","Low")))</f>
        <v/>
      </c>
      <c r="O286" s="0" t="str">
        <f aca="true">IF(A286="","",IF(OR(M286="Closed",N286=""),"",TODAY()-N286))</f>
        <v/>
      </c>
    </row>
    <row r="287" customFormat="false" ht="15" hidden="false" customHeight="false" outlineLevel="0" collapsed="false">
      <c r="G287" s="0" t="str">
        <f aca="false">IF(A287="","",IF(AND(E287&lt;&gt;"",F287&lt;&gt;""),E287*F287,""))</f>
        <v/>
      </c>
      <c r="H287" s="0" t="str">
        <f aca="false">IF(G287="","",IF(G287&gt;=15,"High",IF(G287&gt;=8,"Medium","Low")))</f>
        <v/>
      </c>
      <c r="O287" s="0" t="str">
        <f aca="true">IF(A287="","",IF(OR(M287="Closed",N287=""),"",TODAY()-N287))</f>
        <v/>
      </c>
    </row>
    <row r="288" customFormat="false" ht="15" hidden="false" customHeight="false" outlineLevel="0" collapsed="false">
      <c r="G288" s="0" t="str">
        <f aca="false">IF(A288="","",IF(AND(E288&lt;&gt;"",F288&lt;&gt;""),E288*F288,""))</f>
        <v/>
      </c>
      <c r="H288" s="0" t="str">
        <f aca="false">IF(G288="","",IF(G288&gt;=15,"High",IF(G288&gt;=8,"Medium","Low")))</f>
        <v/>
      </c>
      <c r="O288" s="0" t="str">
        <f aca="true">IF(A288="","",IF(OR(M288="Closed",N288=""),"",TODAY()-N288))</f>
        <v/>
      </c>
    </row>
    <row r="289" customFormat="false" ht="15" hidden="false" customHeight="false" outlineLevel="0" collapsed="false">
      <c r="G289" s="0" t="str">
        <f aca="false">IF(A289="","",IF(AND(E289&lt;&gt;"",F289&lt;&gt;""),E289*F289,""))</f>
        <v/>
      </c>
      <c r="H289" s="0" t="str">
        <f aca="false">IF(G289="","",IF(G289&gt;=15,"High",IF(G289&gt;=8,"Medium","Low")))</f>
        <v/>
      </c>
      <c r="O289" s="0" t="str">
        <f aca="true">IF(A289="","",IF(OR(M289="Closed",N289=""),"",TODAY()-N289))</f>
        <v/>
      </c>
    </row>
    <row r="290" customFormat="false" ht="15" hidden="false" customHeight="false" outlineLevel="0" collapsed="false">
      <c r="G290" s="0" t="str">
        <f aca="false">IF(A290="","",IF(AND(E290&lt;&gt;"",F290&lt;&gt;""),E290*F290,""))</f>
        <v/>
      </c>
      <c r="H290" s="0" t="str">
        <f aca="false">IF(G290="","",IF(G290&gt;=15,"High",IF(G290&gt;=8,"Medium","Low")))</f>
        <v/>
      </c>
      <c r="O290" s="0" t="str">
        <f aca="true">IF(A290="","",IF(OR(M290="Closed",N290=""),"",TODAY()-N290))</f>
        <v/>
      </c>
    </row>
    <row r="291" customFormat="false" ht="15" hidden="false" customHeight="false" outlineLevel="0" collapsed="false">
      <c r="G291" s="0" t="str">
        <f aca="false">IF(A291="","",IF(AND(E291&lt;&gt;"",F291&lt;&gt;""),E291*F291,""))</f>
        <v/>
      </c>
      <c r="H291" s="0" t="str">
        <f aca="false">IF(G291="","",IF(G291&gt;=15,"High",IF(G291&gt;=8,"Medium","Low")))</f>
        <v/>
      </c>
      <c r="O291" s="0" t="str">
        <f aca="true">IF(A291="","",IF(OR(M291="Closed",N291=""),"",TODAY()-N291))</f>
        <v/>
      </c>
    </row>
    <row r="292" customFormat="false" ht="15" hidden="false" customHeight="false" outlineLevel="0" collapsed="false">
      <c r="G292" s="0" t="str">
        <f aca="false">IF(A292="","",IF(AND(E292&lt;&gt;"",F292&lt;&gt;""),E292*F292,""))</f>
        <v/>
      </c>
      <c r="H292" s="0" t="str">
        <f aca="false">IF(G292="","",IF(G292&gt;=15,"High",IF(G292&gt;=8,"Medium","Low")))</f>
        <v/>
      </c>
      <c r="O292" s="0" t="str">
        <f aca="true">IF(A292="","",IF(OR(M292="Closed",N292=""),"",TODAY()-N292))</f>
        <v/>
      </c>
    </row>
    <row r="293" customFormat="false" ht="15" hidden="false" customHeight="false" outlineLevel="0" collapsed="false">
      <c r="G293" s="0" t="str">
        <f aca="false">IF(A293="","",IF(AND(E293&lt;&gt;"",F293&lt;&gt;""),E293*F293,""))</f>
        <v/>
      </c>
      <c r="H293" s="0" t="str">
        <f aca="false">IF(G293="","",IF(G293&gt;=15,"High",IF(G293&gt;=8,"Medium","Low")))</f>
        <v/>
      </c>
      <c r="O293" s="0" t="str">
        <f aca="true">IF(A293="","",IF(OR(M293="Closed",N293=""),"",TODAY()-N293))</f>
        <v/>
      </c>
    </row>
    <row r="294" customFormat="false" ht="15" hidden="false" customHeight="false" outlineLevel="0" collapsed="false">
      <c r="G294" s="0" t="str">
        <f aca="false">IF(A294="","",IF(AND(E294&lt;&gt;"",F294&lt;&gt;""),E294*F294,""))</f>
        <v/>
      </c>
      <c r="H294" s="0" t="str">
        <f aca="false">IF(G294="","",IF(G294&gt;=15,"High",IF(G294&gt;=8,"Medium","Low")))</f>
        <v/>
      </c>
      <c r="O294" s="0" t="str">
        <f aca="true">IF(A294="","",IF(OR(M294="Closed",N294=""),"",TODAY()-N294))</f>
        <v/>
      </c>
    </row>
    <row r="295" customFormat="false" ht="15" hidden="false" customHeight="false" outlineLevel="0" collapsed="false">
      <c r="G295" s="0" t="str">
        <f aca="false">IF(A295="","",IF(AND(E295&lt;&gt;"",F295&lt;&gt;""),E295*F295,""))</f>
        <v/>
      </c>
      <c r="H295" s="0" t="str">
        <f aca="false">IF(G295="","",IF(G295&gt;=15,"High",IF(G295&gt;=8,"Medium","Low")))</f>
        <v/>
      </c>
      <c r="O295" s="0" t="str">
        <f aca="true">IF(A295="","",IF(OR(M295="Closed",N295=""),"",TODAY()-N295))</f>
        <v/>
      </c>
    </row>
    <row r="296" customFormat="false" ht="15" hidden="false" customHeight="false" outlineLevel="0" collapsed="false">
      <c r="G296" s="0" t="str">
        <f aca="false">IF(A296="","",IF(AND(E296&lt;&gt;"",F296&lt;&gt;""),E296*F296,""))</f>
        <v/>
      </c>
      <c r="H296" s="0" t="str">
        <f aca="false">IF(G296="","",IF(G296&gt;=15,"High",IF(G296&gt;=8,"Medium","Low")))</f>
        <v/>
      </c>
      <c r="O296" s="0" t="str">
        <f aca="true">IF(A296="","",IF(OR(M296="Closed",N296=""),"",TODAY()-N296))</f>
        <v/>
      </c>
    </row>
    <row r="297" customFormat="false" ht="15" hidden="false" customHeight="false" outlineLevel="0" collapsed="false">
      <c r="G297" s="0" t="str">
        <f aca="false">IF(A297="","",IF(AND(E297&lt;&gt;"",F297&lt;&gt;""),E297*F297,""))</f>
        <v/>
      </c>
      <c r="H297" s="0" t="str">
        <f aca="false">IF(G297="","",IF(G297&gt;=15,"High",IF(G297&gt;=8,"Medium","Low")))</f>
        <v/>
      </c>
      <c r="O297" s="0" t="str">
        <f aca="true">IF(A297="","",IF(OR(M297="Closed",N297=""),"",TODAY()-N297))</f>
        <v/>
      </c>
    </row>
    <row r="298" customFormat="false" ht="15" hidden="false" customHeight="false" outlineLevel="0" collapsed="false">
      <c r="G298" s="0" t="str">
        <f aca="false">IF(A298="","",IF(AND(E298&lt;&gt;"",F298&lt;&gt;""),E298*F298,""))</f>
        <v/>
      </c>
      <c r="H298" s="0" t="str">
        <f aca="false">IF(G298="","",IF(G298&gt;=15,"High",IF(G298&gt;=8,"Medium","Low")))</f>
        <v/>
      </c>
      <c r="O298" s="0" t="str">
        <f aca="true">IF(A298="","",IF(OR(M298="Closed",N298=""),"",TODAY()-N298))</f>
        <v/>
      </c>
    </row>
    <row r="299" customFormat="false" ht="15" hidden="false" customHeight="false" outlineLevel="0" collapsed="false">
      <c r="G299" s="0" t="str">
        <f aca="false">IF(A299="","",IF(AND(E299&lt;&gt;"",F299&lt;&gt;""),E299*F299,""))</f>
        <v/>
      </c>
      <c r="H299" s="0" t="str">
        <f aca="false">IF(G299="","",IF(G299&gt;=15,"High",IF(G299&gt;=8,"Medium","Low")))</f>
        <v/>
      </c>
      <c r="O299" s="0" t="str">
        <f aca="true">IF(A299="","",IF(OR(M299="Closed",N299=""),"",TODAY()-N299))</f>
        <v/>
      </c>
    </row>
    <row r="302" customFormat="false" ht="15" hidden="false" customHeight="false" outlineLevel="0" collapsed="false">
      <c r="A302" s="3" t="s">
        <v>329</v>
      </c>
    </row>
  </sheetData>
  <conditionalFormatting sqref="H2:H300">
    <cfRule type="cellIs" priority="2" operator="equal" aboveAverage="0" equalAverage="0" bottom="0" percent="0" rank="0" text="" dxfId="1">
      <formula>"High"</formula>
    </cfRule>
  </conditionalFormatting>
  <conditionalFormatting sqref="O2:O300">
    <cfRule type="cellIs" priority="3" operator="greaterThanOrEqual" aboveAverage="0" equalAverage="0" bottom="0" percent="0" rank="0" text="" dxfId="0">
      <formula>14</formula>
    </cfRule>
  </conditionalFormatting>
  <dataValidations count="1">
    <dataValidation allowBlank="true" errorStyle="stop" operator="between" showDropDown="false" showErrorMessage="false" showInputMessage="false" sqref="M2:M500" type="list">
      <formula1>"Open,Mitigating,Closed,Occurred"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N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31.5" hidden="false" customHeight="true" outlineLevel="0" collapsed="false">
      <c r="A1" s="19" t="s">
        <v>330</v>
      </c>
      <c r="B1" s="19" t="s">
        <v>331</v>
      </c>
      <c r="C1" s="19" t="s">
        <v>332</v>
      </c>
      <c r="D1" s="19" t="s">
        <v>333</v>
      </c>
      <c r="E1" s="19" t="s">
        <v>334</v>
      </c>
      <c r="F1" s="19" t="s">
        <v>335</v>
      </c>
      <c r="G1" s="19" t="s">
        <v>336</v>
      </c>
      <c r="H1" s="19" t="s">
        <v>337</v>
      </c>
      <c r="I1" s="19" t="s">
        <v>338</v>
      </c>
      <c r="J1" s="19" t="s">
        <v>339</v>
      </c>
      <c r="K1" s="19" t="s">
        <v>340</v>
      </c>
      <c r="L1" s="19" t="s">
        <v>341</v>
      </c>
      <c r="M1" s="19" t="s">
        <v>342</v>
      </c>
      <c r="N1" s="19" t="s">
        <v>343</v>
      </c>
    </row>
    <row r="2" customFormat="false" ht="15" hidden="false" customHeight="false" outlineLevel="0" collapsed="false">
      <c r="A2" s="20" t="s">
        <v>307</v>
      </c>
      <c r="B2" s="20" t="s">
        <v>344</v>
      </c>
      <c r="C2" s="20" t="s">
        <v>345</v>
      </c>
      <c r="D2" s="20" t="s">
        <v>346</v>
      </c>
      <c r="E2" s="20" t="s">
        <v>347</v>
      </c>
      <c r="F2" s="20" t="s">
        <v>348</v>
      </c>
      <c r="G2" s="20" t="s">
        <v>349</v>
      </c>
      <c r="H2" s="20" t="s">
        <v>350</v>
      </c>
      <c r="I2" s="20" t="s">
        <v>351</v>
      </c>
      <c r="J2" s="20" t="s">
        <v>352</v>
      </c>
      <c r="K2" s="20" t="s">
        <v>353</v>
      </c>
      <c r="L2" s="20" t="s">
        <v>220</v>
      </c>
      <c r="M2" s="20"/>
      <c r="N2" s="20" t="s">
        <v>354</v>
      </c>
    </row>
    <row r="302" customFormat="false" ht="15" hidden="false" customHeight="false" outlineLevel="0" collapsed="false">
      <c r="A302" s="3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K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6" min="5" style="0" width="28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31.5" hidden="false" customHeight="true" outlineLevel="0" collapsed="false">
      <c r="A1" s="19" t="s">
        <v>356</v>
      </c>
      <c r="B1" s="19" t="s">
        <v>330</v>
      </c>
      <c r="C1" s="19" t="s">
        <v>235</v>
      </c>
      <c r="D1" s="19" t="s">
        <v>357</v>
      </c>
      <c r="E1" s="19" t="s">
        <v>358</v>
      </c>
      <c r="F1" s="19" t="s">
        <v>359</v>
      </c>
      <c r="G1" s="19" t="s">
        <v>360</v>
      </c>
      <c r="H1" s="19" t="s">
        <v>361</v>
      </c>
      <c r="I1" s="19" t="s">
        <v>208</v>
      </c>
      <c r="J1" s="19" t="s">
        <v>362</v>
      </c>
      <c r="K1" s="19" t="s">
        <v>214</v>
      </c>
    </row>
    <row r="2" customFormat="false" ht="15" hidden="false" customHeight="false" outlineLevel="0" collapsed="false">
      <c r="A2" s="20" t="s">
        <v>363</v>
      </c>
      <c r="B2" s="20" t="s">
        <v>364</v>
      </c>
      <c r="C2" s="20" t="s">
        <v>365</v>
      </c>
      <c r="D2" s="20" t="s">
        <v>366</v>
      </c>
      <c r="E2" s="20" t="s">
        <v>367</v>
      </c>
      <c r="F2" s="20" t="s">
        <v>368</v>
      </c>
      <c r="G2" s="20" t="s">
        <v>369</v>
      </c>
      <c r="H2" s="20" t="s">
        <v>227</v>
      </c>
      <c r="I2" s="20" t="s">
        <v>312</v>
      </c>
      <c r="J2" s="20" t="s">
        <v>220</v>
      </c>
      <c r="K2" s="20" t="s">
        <v>370</v>
      </c>
    </row>
    <row r="302" customFormat="false" ht="15" hidden="false" customHeight="false" outlineLevel="0" collapsed="false">
      <c r="A302" s="3" t="s">
        <v>371</v>
      </c>
    </row>
  </sheetData>
  <conditionalFormatting sqref="I2:I300">
    <cfRule type="expression" priority="2" aboveAverage="0" equalAverage="0" bottom="0" percent="0" rank="0" text="" dxfId="1">
      <formula>AND(H2&lt;&gt;"",TODAY()&gt;H2,I2&lt;&gt;"Closed")</formula>
    </cfRule>
  </conditionalFormatting>
  <dataValidations count="1">
    <dataValidation allowBlank="true" errorStyle="stop" operator="between" showDropDown="false" showErrorMessage="false" showInputMessage="false" sqref="I2:I500" type="list">
      <formula1>"Open,Closed,Overdue"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J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26"/>
    <col collapsed="false" customWidth="true" hidden="false" outlineLevel="0" max="7" min="6" style="0" width="11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31.5" hidden="false" customHeight="true" outlineLevel="0" collapsed="false">
      <c r="A1" s="19" t="s">
        <v>372</v>
      </c>
      <c r="B1" s="19" t="s">
        <v>373</v>
      </c>
      <c r="C1" s="19" t="s">
        <v>374</v>
      </c>
      <c r="D1" s="19" t="s">
        <v>375</v>
      </c>
      <c r="E1" s="19" t="s">
        <v>376</v>
      </c>
      <c r="F1" s="19" t="s">
        <v>377</v>
      </c>
      <c r="G1" s="19" t="s">
        <v>378</v>
      </c>
      <c r="H1" s="19" t="s">
        <v>379</v>
      </c>
      <c r="I1" s="19" t="s">
        <v>208</v>
      </c>
      <c r="J1" s="19" t="s">
        <v>214</v>
      </c>
    </row>
    <row r="2" customFormat="false" ht="15" hidden="false" customHeight="false" outlineLevel="0" collapsed="false">
      <c r="A2" s="20" t="s">
        <v>292</v>
      </c>
      <c r="B2" s="20" t="s">
        <v>380</v>
      </c>
      <c r="C2" s="20" t="s">
        <v>381</v>
      </c>
      <c r="D2" s="20" t="s">
        <v>382</v>
      </c>
      <c r="E2" s="20" t="s">
        <v>383</v>
      </c>
      <c r="F2" s="20" t="s">
        <v>252</v>
      </c>
      <c r="G2" s="20" t="s">
        <v>384</v>
      </c>
      <c r="H2" s="20" t="s">
        <v>385</v>
      </c>
      <c r="I2" s="20" t="s">
        <v>312</v>
      </c>
      <c r="J2" s="20" t="s">
        <v>386</v>
      </c>
    </row>
    <row r="302" customFormat="false" ht="15" hidden="false" customHeight="false" outlineLevel="0" collapsed="false">
      <c r="A302" s="3" t="s">
        <v>387</v>
      </c>
    </row>
  </sheetData>
  <conditionalFormatting sqref="G2:G300">
    <cfRule type="cellIs" priority="2" operator="equal" aboveAverage="0" equalAverage="0" bottom="0" percent="0" rank="0" text="" dxfId="1">
      <formula>"High"</formula>
    </cfRule>
  </conditionalFormatting>
  <dataValidations count="3">
    <dataValidation allowBlank="true" errorStyle="stop" operator="between" showDropDown="false" showErrorMessage="false" showInputMessage="false" sqref="F2:F500" type="list">
      <formula1>"Yes,No"</formula1>
      <formula2>0</formula2>
    </dataValidation>
    <dataValidation allowBlank="true" errorStyle="stop" operator="between" showDropDown="false" showErrorMessage="false" showInputMessage="false" sqref="G2:G500" type="list">
      <formula1>"High,Medium,Low"</formula1>
      <formula2>0</formula2>
    </dataValidation>
    <dataValidation allowBlank="true" errorStyle="stop" operator="between" showDropDown="false" showErrorMessage="false" showInputMessage="false" sqref="I2:I500" type="list">
      <formula1>"Open,Negotiating,Accepted,Resolved"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K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31.5" hidden="false" customHeight="true" outlineLevel="0" collapsed="false">
      <c r="A1" s="19" t="s">
        <v>388</v>
      </c>
      <c r="B1" s="19" t="s">
        <v>389</v>
      </c>
      <c r="C1" s="19" t="s">
        <v>390</v>
      </c>
      <c r="D1" s="19" t="s">
        <v>391</v>
      </c>
      <c r="E1" s="19" t="s">
        <v>392</v>
      </c>
      <c r="F1" s="19" t="s">
        <v>393</v>
      </c>
      <c r="G1" s="19" t="s">
        <v>394</v>
      </c>
      <c r="H1" s="19" t="s">
        <v>208</v>
      </c>
      <c r="I1" s="19" t="s">
        <v>395</v>
      </c>
      <c r="J1" s="19" t="s">
        <v>396</v>
      </c>
      <c r="K1" s="19" t="s">
        <v>397</v>
      </c>
    </row>
    <row r="2" customFormat="false" ht="15" hidden="false" customHeight="false" outlineLevel="0" collapsed="false">
      <c r="A2" s="20" t="s">
        <v>398</v>
      </c>
      <c r="B2" s="20" t="s">
        <v>399</v>
      </c>
      <c r="C2" s="20" t="s">
        <v>288</v>
      </c>
      <c r="D2" s="20" t="s">
        <v>399</v>
      </c>
      <c r="E2" s="20" t="s">
        <v>400</v>
      </c>
      <c r="F2" s="20" t="n">
        <v>75</v>
      </c>
      <c r="G2" s="22" t="n">
        <f aca="false">IF(A2="","",IF(AND(C2&lt;&gt;"",E2&lt;&gt;""),E2-C2,""))</f>
        <v>7</v>
      </c>
      <c r="H2" s="22" t="str">
        <f aca="false">IF(A2="","",IF(G2="","",IF(G2&gt;5,"Delayed",IF(G2&gt;0,"At Risk","On Track"))))</f>
        <v>Delayed</v>
      </c>
      <c r="I2" s="20" t="s">
        <v>252</v>
      </c>
      <c r="J2" s="20" t="s">
        <v>401</v>
      </c>
      <c r="K2" s="20" t="s">
        <v>402</v>
      </c>
    </row>
    <row r="3" customFormat="false" ht="15" hidden="false" customHeight="false" outlineLevel="0" collapsed="false">
      <c r="G3" s="0" t="str">
        <f aca="false">IF(A3="","",IF(AND(C3&lt;&gt;"",E3&lt;&gt;""),E3-C3,""))</f>
        <v/>
      </c>
      <c r="H3" s="0" t="str">
        <f aca="false">IF(A3="","",IF(G3="","",IF(G3&gt;5,"Delayed",IF(G3&gt;0,"At Risk","On Track"))))</f>
        <v/>
      </c>
    </row>
    <row r="4" customFormat="false" ht="15" hidden="false" customHeight="false" outlineLevel="0" collapsed="false">
      <c r="G4" s="0" t="str">
        <f aca="false">IF(A4="","",IF(AND(C4&lt;&gt;"",E4&lt;&gt;""),E4-C4,""))</f>
        <v/>
      </c>
      <c r="H4" s="0" t="str">
        <f aca="false">IF(A4="","",IF(G4="","",IF(G4&gt;5,"Delayed",IF(G4&gt;0,"At Risk","On Track"))))</f>
        <v/>
      </c>
    </row>
    <row r="5" customFormat="false" ht="15" hidden="false" customHeight="false" outlineLevel="0" collapsed="false">
      <c r="G5" s="0" t="str">
        <f aca="false">IF(A5="","",IF(AND(C5&lt;&gt;"",E5&lt;&gt;""),E5-C5,""))</f>
        <v/>
      </c>
      <c r="H5" s="0" t="str">
        <f aca="false">IF(A5="","",IF(G5="","",IF(G5&gt;5,"Delayed",IF(G5&gt;0,"At Risk","On Track"))))</f>
        <v/>
      </c>
    </row>
    <row r="6" customFormat="false" ht="15" hidden="false" customHeight="false" outlineLevel="0" collapsed="false">
      <c r="G6" s="0" t="str">
        <f aca="false">IF(A6="","",IF(AND(C6&lt;&gt;"",E6&lt;&gt;""),E6-C6,""))</f>
        <v/>
      </c>
      <c r="H6" s="0" t="str">
        <f aca="false">IF(A6="","",IF(G6="","",IF(G6&gt;5,"Delayed",IF(G6&gt;0,"At Risk","On Track"))))</f>
        <v/>
      </c>
    </row>
    <row r="7" customFormat="false" ht="15" hidden="false" customHeight="false" outlineLevel="0" collapsed="false">
      <c r="G7" s="0" t="str">
        <f aca="false">IF(A7="","",IF(AND(C7&lt;&gt;"",E7&lt;&gt;""),E7-C7,""))</f>
        <v/>
      </c>
      <c r="H7" s="0" t="str">
        <f aca="false">IF(A7="","",IF(G7="","",IF(G7&gt;5,"Delayed",IF(G7&gt;0,"At Risk","On Track"))))</f>
        <v/>
      </c>
    </row>
    <row r="8" customFormat="false" ht="15" hidden="false" customHeight="false" outlineLevel="0" collapsed="false">
      <c r="G8" s="0" t="str">
        <f aca="false">IF(A8="","",IF(AND(C8&lt;&gt;"",E8&lt;&gt;""),E8-C8,""))</f>
        <v/>
      </c>
      <c r="H8" s="0" t="str">
        <f aca="false">IF(A8="","",IF(G8="","",IF(G8&gt;5,"Delayed",IF(G8&gt;0,"At Risk","On Track"))))</f>
        <v/>
      </c>
    </row>
    <row r="9" customFormat="false" ht="15" hidden="false" customHeight="false" outlineLevel="0" collapsed="false">
      <c r="G9" s="0" t="str">
        <f aca="false">IF(A9="","",IF(AND(C9&lt;&gt;"",E9&lt;&gt;""),E9-C9,""))</f>
        <v/>
      </c>
      <c r="H9" s="0" t="str">
        <f aca="false">IF(A9="","",IF(G9="","",IF(G9&gt;5,"Delayed",IF(G9&gt;0,"At Risk","On Track"))))</f>
        <v/>
      </c>
    </row>
    <row r="10" customFormat="false" ht="15" hidden="false" customHeight="false" outlineLevel="0" collapsed="false">
      <c r="G10" s="0" t="str">
        <f aca="false">IF(A10="","",IF(AND(C10&lt;&gt;"",E10&lt;&gt;""),E10-C10,""))</f>
        <v/>
      </c>
      <c r="H10" s="0" t="str">
        <f aca="false">IF(A10="","",IF(G10="","",IF(G10&gt;5,"Delayed",IF(G10&gt;0,"At Risk","On Track"))))</f>
        <v/>
      </c>
    </row>
    <row r="11" customFormat="false" ht="15" hidden="false" customHeight="false" outlineLevel="0" collapsed="false">
      <c r="G11" s="0" t="str">
        <f aca="false">IF(A11="","",IF(AND(C11&lt;&gt;"",E11&lt;&gt;""),E11-C11,""))</f>
        <v/>
      </c>
      <c r="H11" s="0" t="str">
        <f aca="false">IF(A11="","",IF(G11="","",IF(G11&gt;5,"Delayed",IF(G11&gt;0,"At Risk","On Track"))))</f>
        <v/>
      </c>
    </row>
    <row r="12" customFormat="false" ht="15" hidden="false" customHeight="false" outlineLevel="0" collapsed="false">
      <c r="G12" s="0" t="str">
        <f aca="false">IF(A12="","",IF(AND(C12&lt;&gt;"",E12&lt;&gt;""),E12-C12,""))</f>
        <v/>
      </c>
      <c r="H12" s="0" t="str">
        <f aca="false">IF(A12="","",IF(G12="","",IF(G12&gt;5,"Delayed",IF(G12&gt;0,"At Risk","On Track"))))</f>
        <v/>
      </c>
    </row>
    <row r="13" customFormat="false" ht="15" hidden="false" customHeight="false" outlineLevel="0" collapsed="false">
      <c r="G13" s="0" t="str">
        <f aca="false">IF(A13="","",IF(AND(C13&lt;&gt;"",E13&lt;&gt;""),E13-C13,""))</f>
        <v/>
      </c>
      <c r="H13" s="0" t="str">
        <f aca="false">IF(A13="","",IF(G13="","",IF(G13&gt;5,"Delayed",IF(G13&gt;0,"At Risk","On Track"))))</f>
        <v/>
      </c>
    </row>
    <row r="14" customFormat="false" ht="15" hidden="false" customHeight="false" outlineLevel="0" collapsed="false">
      <c r="G14" s="0" t="str">
        <f aca="false">IF(A14="","",IF(AND(C14&lt;&gt;"",E14&lt;&gt;""),E14-C14,""))</f>
        <v/>
      </c>
      <c r="H14" s="0" t="str">
        <f aca="false">IF(A14="","",IF(G14="","",IF(G14&gt;5,"Delayed",IF(G14&gt;0,"At Risk","On Track"))))</f>
        <v/>
      </c>
    </row>
    <row r="15" customFormat="false" ht="15" hidden="false" customHeight="false" outlineLevel="0" collapsed="false">
      <c r="G15" s="0" t="str">
        <f aca="false">IF(A15="","",IF(AND(C15&lt;&gt;"",E15&lt;&gt;""),E15-C15,""))</f>
        <v/>
      </c>
      <c r="H15" s="0" t="str">
        <f aca="false">IF(A15="","",IF(G15="","",IF(G15&gt;5,"Delayed",IF(G15&gt;0,"At Risk","On Track"))))</f>
        <v/>
      </c>
    </row>
    <row r="16" customFormat="false" ht="15" hidden="false" customHeight="false" outlineLevel="0" collapsed="false">
      <c r="G16" s="0" t="str">
        <f aca="false">IF(A16="","",IF(AND(C16&lt;&gt;"",E16&lt;&gt;""),E16-C16,""))</f>
        <v/>
      </c>
      <c r="H16" s="0" t="str">
        <f aca="false">IF(A16="","",IF(G16="","",IF(G16&gt;5,"Delayed",IF(G16&gt;0,"At Risk","On Track"))))</f>
        <v/>
      </c>
    </row>
    <row r="17" customFormat="false" ht="15" hidden="false" customHeight="false" outlineLevel="0" collapsed="false">
      <c r="G17" s="0" t="str">
        <f aca="false">IF(A17="","",IF(AND(C17&lt;&gt;"",E17&lt;&gt;""),E17-C17,""))</f>
        <v/>
      </c>
      <c r="H17" s="0" t="str">
        <f aca="false">IF(A17="","",IF(G17="","",IF(G17&gt;5,"Delayed",IF(G17&gt;0,"At Risk","On Track"))))</f>
        <v/>
      </c>
    </row>
    <row r="18" customFormat="false" ht="15" hidden="false" customHeight="false" outlineLevel="0" collapsed="false">
      <c r="G18" s="0" t="str">
        <f aca="false">IF(A18="","",IF(AND(C18&lt;&gt;"",E18&lt;&gt;""),E18-C18,""))</f>
        <v/>
      </c>
      <c r="H18" s="0" t="str">
        <f aca="false">IF(A18="","",IF(G18="","",IF(G18&gt;5,"Delayed",IF(G18&gt;0,"At Risk","On Track"))))</f>
        <v/>
      </c>
    </row>
    <row r="19" customFormat="false" ht="15" hidden="false" customHeight="false" outlineLevel="0" collapsed="false">
      <c r="G19" s="0" t="str">
        <f aca="false">IF(A19="","",IF(AND(C19&lt;&gt;"",E19&lt;&gt;""),E19-C19,""))</f>
        <v/>
      </c>
      <c r="H19" s="0" t="str">
        <f aca="false">IF(A19="","",IF(G19="","",IF(G19&gt;5,"Delayed",IF(G19&gt;0,"At Risk","On Track"))))</f>
        <v/>
      </c>
    </row>
    <row r="20" customFormat="false" ht="15" hidden="false" customHeight="false" outlineLevel="0" collapsed="false">
      <c r="G20" s="0" t="str">
        <f aca="false">IF(A20="","",IF(AND(C20&lt;&gt;"",E20&lt;&gt;""),E20-C20,""))</f>
        <v/>
      </c>
      <c r="H20" s="0" t="str">
        <f aca="false">IF(A20="","",IF(G20="","",IF(G20&gt;5,"Delayed",IF(G20&gt;0,"At Risk","On Track"))))</f>
        <v/>
      </c>
    </row>
    <row r="21" customFormat="false" ht="15" hidden="false" customHeight="false" outlineLevel="0" collapsed="false">
      <c r="G21" s="0" t="str">
        <f aca="false">IF(A21="","",IF(AND(C21&lt;&gt;"",E21&lt;&gt;""),E21-C21,""))</f>
        <v/>
      </c>
      <c r="H21" s="0" t="str">
        <f aca="false">IF(A21="","",IF(G21="","",IF(G21&gt;5,"Delayed",IF(G21&gt;0,"At Risk","On Track"))))</f>
        <v/>
      </c>
    </row>
    <row r="22" customFormat="false" ht="15" hidden="false" customHeight="false" outlineLevel="0" collapsed="false">
      <c r="G22" s="0" t="str">
        <f aca="false">IF(A22="","",IF(AND(C22&lt;&gt;"",E22&lt;&gt;""),E22-C22,""))</f>
        <v/>
      </c>
      <c r="H22" s="0" t="str">
        <f aca="false">IF(A22="","",IF(G22="","",IF(G22&gt;5,"Delayed",IF(G22&gt;0,"At Risk","On Track"))))</f>
        <v/>
      </c>
    </row>
    <row r="23" customFormat="false" ht="15" hidden="false" customHeight="false" outlineLevel="0" collapsed="false">
      <c r="G23" s="0" t="str">
        <f aca="false">IF(A23="","",IF(AND(C23&lt;&gt;"",E23&lt;&gt;""),E23-C23,""))</f>
        <v/>
      </c>
      <c r="H23" s="0" t="str">
        <f aca="false">IF(A23="","",IF(G23="","",IF(G23&gt;5,"Delayed",IF(G23&gt;0,"At Risk","On Track"))))</f>
        <v/>
      </c>
    </row>
    <row r="24" customFormat="false" ht="15" hidden="false" customHeight="false" outlineLevel="0" collapsed="false">
      <c r="G24" s="0" t="str">
        <f aca="false">IF(A24="","",IF(AND(C24&lt;&gt;"",E24&lt;&gt;""),E24-C24,""))</f>
        <v/>
      </c>
      <c r="H24" s="0" t="str">
        <f aca="false">IF(A24="","",IF(G24="","",IF(G24&gt;5,"Delayed",IF(G24&gt;0,"At Risk","On Track"))))</f>
        <v/>
      </c>
    </row>
    <row r="25" customFormat="false" ht="15" hidden="false" customHeight="false" outlineLevel="0" collapsed="false">
      <c r="G25" s="0" t="str">
        <f aca="false">IF(A25="","",IF(AND(C25&lt;&gt;"",E25&lt;&gt;""),E25-C25,""))</f>
        <v/>
      </c>
      <c r="H25" s="0" t="str">
        <f aca="false">IF(A25="","",IF(G25="","",IF(G25&gt;5,"Delayed",IF(G25&gt;0,"At Risk","On Track"))))</f>
        <v/>
      </c>
    </row>
    <row r="26" customFormat="false" ht="15" hidden="false" customHeight="false" outlineLevel="0" collapsed="false">
      <c r="G26" s="0" t="str">
        <f aca="false">IF(A26="","",IF(AND(C26&lt;&gt;"",E26&lt;&gt;""),E26-C26,""))</f>
        <v/>
      </c>
      <c r="H26" s="0" t="str">
        <f aca="false">IF(A26="","",IF(G26="","",IF(G26&gt;5,"Delayed",IF(G26&gt;0,"At Risk","On Track"))))</f>
        <v/>
      </c>
    </row>
    <row r="27" customFormat="false" ht="15" hidden="false" customHeight="false" outlineLevel="0" collapsed="false">
      <c r="G27" s="0" t="str">
        <f aca="false">IF(A27="","",IF(AND(C27&lt;&gt;"",E27&lt;&gt;""),E27-C27,""))</f>
        <v/>
      </c>
      <c r="H27" s="0" t="str">
        <f aca="false">IF(A27="","",IF(G27="","",IF(G27&gt;5,"Delayed",IF(G27&gt;0,"At Risk","On Track"))))</f>
        <v/>
      </c>
    </row>
    <row r="28" customFormat="false" ht="15" hidden="false" customHeight="false" outlineLevel="0" collapsed="false">
      <c r="G28" s="0" t="str">
        <f aca="false">IF(A28="","",IF(AND(C28&lt;&gt;"",E28&lt;&gt;""),E28-C28,""))</f>
        <v/>
      </c>
      <c r="H28" s="0" t="str">
        <f aca="false">IF(A28="","",IF(G28="","",IF(G28&gt;5,"Delayed",IF(G28&gt;0,"At Risk","On Track"))))</f>
        <v/>
      </c>
    </row>
    <row r="29" customFormat="false" ht="15" hidden="false" customHeight="false" outlineLevel="0" collapsed="false">
      <c r="G29" s="0" t="str">
        <f aca="false">IF(A29="","",IF(AND(C29&lt;&gt;"",E29&lt;&gt;""),E29-C29,""))</f>
        <v/>
      </c>
      <c r="H29" s="0" t="str">
        <f aca="false">IF(A29="","",IF(G29="","",IF(G29&gt;5,"Delayed",IF(G29&gt;0,"At Risk","On Track"))))</f>
        <v/>
      </c>
    </row>
    <row r="30" customFormat="false" ht="15" hidden="false" customHeight="false" outlineLevel="0" collapsed="false">
      <c r="G30" s="0" t="str">
        <f aca="false">IF(A30="","",IF(AND(C30&lt;&gt;"",E30&lt;&gt;""),E30-C30,""))</f>
        <v/>
      </c>
      <c r="H30" s="0" t="str">
        <f aca="false">IF(A30="","",IF(G30="","",IF(G30&gt;5,"Delayed",IF(G30&gt;0,"At Risk","On Track"))))</f>
        <v/>
      </c>
    </row>
    <row r="31" customFormat="false" ht="15" hidden="false" customHeight="false" outlineLevel="0" collapsed="false">
      <c r="G31" s="0" t="str">
        <f aca="false">IF(A31="","",IF(AND(C31&lt;&gt;"",E31&lt;&gt;""),E31-C31,""))</f>
        <v/>
      </c>
      <c r="H31" s="0" t="str">
        <f aca="false">IF(A31="","",IF(G31="","",IF(G31&gt;5,"Delayed",IF(G31&gt;0,"At Risk","On Track"))))</f>
        <v/>
      </c>
    </row>
    <row r="32" customFormat="false" ht="15" hidden="false" customHeight="false" outlineLevel="0" collapsed="false">
      <c r="G32" s="0" t="str">
        <f aca="false">IF(A32="","",IF(AND(C32&lt;&gt;"",E32&lt;&gt;""),E32-C32,""))</f>
        <v/>
      </c>
      <c r="H32" s="0" t="str">
        <f aca="false">IF(A32="","",IF(G32="","",IF(G32&gt;5,"Delayed",IF(G32&gt;0,"At Risk","On Track"))))</f>
        <v/>
      </c>
    </row>
    <row r="33" customFormat="false" ht="15" hidden="false" customHeight="false" outlineLevel="0" collapsed="false">
      <c r="G33" s="0" t="str">
        <f aca="false">IF(A33="","",IF(AND(C33&lt;&gt;"",E33&lt;&gt;""),E33-C33,""))</f>
        <v/>
      </c>
      <c r="H33" s="0" t="str">
        <f aca="false">IF(A33="","",IF(G33="","",IF(G33&gt;5,"Delayed",IF(G33&gt;0,"At Risk","On Track"))))</f>
        <v/>
      </c>
    </row>
    <row r="34" customFormat="false" ht="15" hidden="false" customHeight="false" outlineLevel="0" collapsed="false">
      <c r="G34" s="0" t="str">
        <f aca="false">IF(A34="","",IF(AND(C34&lt;&gt;"",E34&lt;&gt;""),E34-C34,""))</f>
        <v/>
      </c>
      <c r="H34" s="0" t="str">
        <f aca="false">IF(A34="","",IF(G34="","",IF(G34&gt;5,"Delayed",IF(G34&gt;0,"At Risk","On Track"))))</f>
        <v/>
      </c>
    </row>
    <row r="35" customFormat="false" ht="15" hidden="false" customHeight="false" outlineLevel="0" collapsed="false">
      <c r="G35" s="0" t="str">
        <f aca="false">IF(A35="","",IF(AND(C35&lt;&gt;"",E35&lt;&gt;""),E35-C35,""))</f>
        <v/>
      </c>
      <c r="H35" s="0" t="str">
        <f aca="false">IF(A35="","",IF(G35="","",IF(G35&gt;5,"Delayed",IF(G35&gt;0,"At Risk","On Track"))))</f>
        <v/>
      </c>
    </row>
    <row r="36" customFormat="false" ht="15" hidden="false" customHeight="false" outlineLevel="0" collapsed="false">
      <c r="G36" s="0" t="str">
        <f aca="false">IF(A36="","",IF(AND(C36&lt;&gt;"",E36&lt;&gt;""),E36-C36,""))</f>
        <v/>
      </c>
      <c r="H36" s="0" t="str">
        <f aca="false">IF(A36="","",IF(G36="","",IF(G36&gt;5,"Delayed",IF(G36&gt;0,"At Risk","On Track"))))</f>
        <v/>
      </c>
    </row>
    <row r="37" customFormat="false" ht="15" hidden="false" customHeight="false" outlineLevel="0" collapsed="false">
      <c r="G37" s="0" t="str">
        <f aca="false">IF(A37="","",IF(AND(C37&lt;&gt;"",E37&lt;&gt;""),E37-C37,""))</f>
        <v/>
      </c>
      <c r="H37" s="0" t="str">
        <f aca="false">IF(A37="","",IF(G37="","",IF(G37&gt;5,"Delayed",IF(G37&gt;0,"At Risk","On Track"))))</f>
        <v/>
      </c>
    </row>
    <row r="38" customFormat="false" ht="15" hidden="false" customHeight="false" outlineLevel="0" collapsed="false">
      <c r="G38" s="0" t="str">
        <f aca="false">IF(A38="","",IF(AND(C38&lt;&gt;"",E38&lt;&gt;""),E38-C38,""))</f>
        <v/>
      </c>
      <c r="H38" s="0" t="str">
        <f aca="false">IF(A38="","",IF(G38="","",IF(G38&gt;5,"Delayed",IF(G38&gt;0,"At Risk","On Track"))))</f>
        <v/>
      </c>
    </row>
    <row r="39" customFormat="false" ht="15" hidden="false" customHeight="false" outlineLevel="0" collapsed="false">
      <c r="G39" s="0" t="str">
        <f aca="false">IF(A39="","",IF(AND(C39&lt;&gt;"",E39&lt;&gt;""),E39-C39,""))</f>
        <v/>
      </c>
      <c r="H39" s="0" t="str">
        <f aca="false">IF(A39="","",IF(G39="","",IF(G39&gt;5,"Delayed",IF(G39&gt;0,"At Risk","On Track"))))</f>
        <v/>
      </c>
    </row>
    <row r="40" customFormat="false" ht="15" hidden="false" customHeight="false" outlineLevel="0" collapsed="false">
      <c r="G40" s="0" t="str">
        <f aca="false">IF(A40="","",IF(AND(C40&lt;&gt;"",E40&lt;&gt;""),E40-C40,""))</f>
        <v/>
      </c>
      <c r="H40" s="0" t="str">
        <f aca="false">IF(A40="","",IF(G40="","",IF(G40&gt;5,"Delayed",IF(G40&gt;0,"At Risk","On Track"))))</f>
        <v/>
      </c>
    </row>
    <row r="41" customFormat="false" ht="15" hidden="false" customHeight="false" outlineLevel="0" collapsed="false">
      <c r="G41" s="0" t="str">
        <f aca="false">IF(A41="","",IF(AND(C41&lt;&gt;"",E41&lt;&gt;""),E41-C41,""))</f>
        <v/>
      </c>
      <c r="H41" s="0" t="str">
        <f aca="false">IF(A41="","",IF(G41="","",IF(G41&gt;5,"Delayed",IF(G41&gt;0,"At Risk","On Track"))))</f>
        <v/>
      </c>
    </row>
    <row r="42" customFormat="false" ht="15" hidden="false" customHeight="false" outlineLevel="0" collapsed="false">
      <c r="G42" s="0" t="str">
        <f aca="false">IF(A42="","",IF(AND(C42&lt;&gt;"",E42&lt;&gt;""),E42-C42,""))</f>
        <v/>
      </c>
      <c r="H42" s="0" t="str">
        <f aca="false">IF(A42="","",IF(G42="","",IF(G42&gt;5,"Delayed",IF(G42&gt;0,"At Risk","On Track"))))</f>
        <v/>
      </c>
    </row>
    <row r="43" customFormat="false" ht="15" hidden="false" customHeight="false" outlineLevel="0" collapsed="false">
      <c r="G43" s="0" t="str">
        <f aca="false">IF(A43="","",IF(AND(C43&lt;&gt;"",E43&lt;&gt;""),E43-C43,""))</f>
        <v/>
      </c>
      <c r="H43" s="0" t="str">
        <f aca="false">IF(A43="","",IF(G43="","",IF(G43&gt;5,"Delayed",IF(G43&gt;0,"At Risk","On Track"))))</f>
        <v/>
      </c>
    </row>
    <row r="44" customFormat="false" ht="15" hidden="false" customHeight="false" outlineLevel="0" collapsed="false">
      <c r="G44" s="0" t="str">
        <f aca="false">IF(A44="","",IF(AND(C44&lt;&gt;"",E44&lt;&gt;""),E44-C44,""))</f>
        <v/>
      </c>
      <c r="H44" s="0" t="str">
        <f aca="false">IF(A44="","",IF(G44="","",IF(G44&gt;5,"Delayed",IF(G44&gt;0,"At Risk","On Track"))))</f>
        <v/>
      </c>
    </row>
    <row r="45" customFormat="false" ht="15" hidden="false" customHeight="false" outlineLevel="0" collapsed="false">
      <c r="G45" s="0" t="str">
        <f aca="false">IF(A45="","",IF(AND(C45&lt;&gt;"",E45&lt;&gt;""),E45-C45,""))</f>
        <v/>
      </c>
      <c r="H45" s="0" t="str">
        <f aca="false">IF(A45="","",IF(G45="","",IF(G45&gt;5,"Delayed",IF(G45&gt;0,"At Risk","On Track"))))</f>
        <v/>
      </c>
    </row>
    <row r="46" customFormat="false" ht="15" hidden="false" customHeight="false" outlineLevel="0" collapsed="false">
      <c r="G46" s="0" t="str">
        <f aca="false">IF(A46="","",IF(AND(C46&lt;&gt;"",E46&lt;&gt;""),E46-C46,""))</f>
        <v/>
      </c>
      <c r="H46" s="0" t="str">
        <f aca="false">IF(A46="","",IF(G46="","",IF(G46&gt;5,"Delayed",IF(G46&gt;0,"At Risk","On Track"))))</f>
        <v/>
      </c>
    </row>
    <row r="47" customFormat="false" ht="15" hidden="false" customHeight="false" outlineLevel="0" collapsed="false">
      <c r="G47" s="0" t="str">
        <f aca="false">IF(A47="","",IF(AND(C47&lt;&gt;"",E47&lt;&gt;""),E47-C47,""))</f>
        <v/>
      </c>
      <c r="H47" s="0" t="str">
        <f aca="false">IF(A47="","",IF(G47="","",IF(G47&gt;5,"Delayed",IF(G47&gt;0,"At Risk","On Track"))))</f>
        <v/>
      </c>
    </row>
    <row r="48" customFormat="false" ht="15" hidden="false" customHeight="false" outlineLevel="0" collapsed="false">
      <c r="G48" s="0" t="str">
        <f aca="false">IF(A48="","",IF(AND(C48&lt;&gt;"",E48&lt;&gt;""),E48-C48,""))</f>
        <v/>
      </c>
      <c r="H48" s="0" t="str">
        <f aca="false">IF(A48="","",IF(G48="","",IF(G48&gt;5,"Delayed",IF(G48&gt;0,"At Risk","On Track"))))</f>
        <v/>
      </c>
    </row>
    <row r="49" customFormat="false" ht="15" hidden="false" customHeight="false" outlineLevel="0" collapsed="false">
      <c r="G49" s="0" t="str">
        <f aca="false">IF(A49="","",IF(AND(C49&lt;&gt;"",E49&lt;&gt;""),E49-C49,""))</f>
        <v/>
      </c>
      <c r="H49" s="0" t="str">
        <f aca="false">IF(A49="","",IF(G49="","",IF(G49&gt;5,"Delayed",IF(G49&gt;0,"At Risk","On Track"))))</f>
        <v/>
      </c>
    </row>
    <row r="50" customFormat="false" ht="15" hidden="false" customHeight="false" outlineLevel="0" collapsed="false">
      <c r="G50" s="0" t="str">
        <f aca="false">IF(A50="","",IF(AND(C50&lt;&gt;"",E50&lt;&gt;""),E50-C50,""))</f>
        <v/>
      </c>
      <c r="H50" s="0" t="str">
        <f aca="false">IF(A50="","",IF(G50="","",IF(G50&gt;5,"Delayed",IF(G50&gt;0,"At Risk","On Track"))))</f>
        <v/>
      </c>
    </row>
    <row r="51" customFormat="false" ht="15" hidden="false" customHeight="false" outlineLevel="0" collapsed="false">
      <c r="G51" s="0" t="str">
        <f aca="false">IF(A51="","",IF(AND(C51&lt;&gt;"",E51&lt;&gt;""),E51-C51,""))</f>
        <v/>
      </c>
      <c r="H51" s="0" t="str">
        <f aca="false">IF(A51="","",IF(G51="","",IF(G51&gt;5,"Delayed",IF(G51&gt;0,"At Risk","On Track"))))</f>
        <v/>
      </c>
    </row>
    <row r="52" customFormat="false" ht="15" hidden="false" customHeight="false" outlineLevel="0" collapsed="false">
      <c r="G52" s="0" t="str">
        <f aca="false">IF(A52="","",IF(AND(C52&lt;&gt;"",E52&lt;&gt;""),E52-C52,""))</f>
        <v/>
      </c>
      <c r="H52" s="0" t="str">
        <f aca="false">IF(A52="","",IF(G52="","",IF(G52&gt;5,"Delayed",IF(G52&gt;0,"At Risk","On Track"))))</f>
        <v/>
      </c>
    </row>
    <row r="53" customFormat="false" ht="15" hidden="false" customHeight="false" outlineLevel="0" collapsed="false">
      <c r="G53" s="0" t="str">
        <f aca="false">IF(A53="","",IF(AND(C53&lt;&gt;"",E53&lt;&gt;""),E53-C53,""))</f>
        <v/>
      </c>
      <c r="H53" s="0" t="str">
        <f aca="false">IF(A53="","",IF(G53="","",IF(G53&gt;5,"Delayed",IF(G53&gt;0,"At Risk","On Track"))))</f>
        <v/>
      </c>
    </row>
    <row r="54" customFormat="false" ht="15" hidden="false" customHeight="false" outlineLevel="0" collapsed="false">
      <c r="G54" s="0" t="str">
        <f aca="false">IF(A54="","",IF(AND(C54&lt;&gt;"",E54&lt;&gt;""),E54-C54,""))</f>
        <v/>
      </c>
      <c r="H54" s="0" t="str">
        <f aca="false">IF(A54="","",IF(G54="","",IF(G54&gt;5,"Delayed",IF(G54&gt;0,"At Risk","On Track"))))</f>
        <v/>
      </c>
    </row>
    <row r="55" customFormat="false" ht="15" hidden="false" customHeight="false" outlineLevel="0" collapsed="false">
      <c r="G55" s="0" t="str">
        <f aca="false">IF(A55="","",IF(AND(C55&lt;&gt;"",E55&lt;&gt;""),E55-C55,""))</f>
        <v/>
      </c>
      <c r="H55" s="0" t="str">
        <f aca="false">IF(A55="","",IF(G55="","",IF(G55&gt;5,"Delayed",IF(G55&gt;0,"At Risk","On Track"))))</f>
        <v/>
      </c>
    </row>
    <row r="56" customFormat="false" ht="15" hidden="false" customHeight="false" outlineLevel="0" collapsed="false">
      <c r="G56" s="0" t="str">
        <f aca="false">IF(A56="","",IF(AND(C56&lt;&gt;"",E56&lt;&gt;""),E56-C56,""))</f>
        <v/>
      </c>
      <c r="H56" s="0" t="str">
        <f aca="false">IF(A56="","",IF(G56="","",IF(G56&gt;5,"Delayed",IF(G56&gt;0,"At Risk","On Track"))))</f>
        <v/>
      </c>
    </row>
    <row r="57" customFormat="false" ht="15" hidden="false" customHeight="false" outlineLevel="0" collapsed="false">
      <c r="G57" s="0" t="str">
        <f aca="false">IF(A57="","",IF(AND(C57&lt;&gt;"",E57&lt;&gt;""),E57-C57,""))</f>
        <v/>
      </c>
      <c r="H57" s="0" t="str">
        <f aca="false">IF(A57="","",IF(G57="","",IF(G57&gt;5,"Delayed",IF(G57&gt;0,"At Risk","On Track"))))</f>
        <v/>
      </c>
    </row>
    <row r="58" customFormat="false" ht="15" hidden="false" customHeight="false" outlineLevel="0" collapsed="false">
      <c r="G58" s="0" t="str">
        <f aca="false">IF(A58="","",IF(AND(C58&lt;&gt;"",E58&lt;&gt;""),E58-C58,""))</f>
        <v/>
      </c>
      <c r="H58" s="0" t="str">
        <f aca="false">IF(A58="","",IF(G58="","",IF(G58&gt;5,"Delayed",IF(G58&gt;0,"At Risk","On Track"))))</f>
        <v/>
      </c>
    </row>
    <row r="59" customFormat="false" ht="15" hidden="false" customHeight="false" outlineLevel="0" collapsed="false">
      <c r="G59" s="0" t="str">
        <f aca="false">IF(A59="","",IF(AND(C59&lt;&gt;"",E59&lt;&gt;""),E59-C59,""))</f>
        <v/>
      </c>
      <c r="H59" s="0" t="str">
        <f aca="false">IF(A59="","",IF(G59="","",IF(G59&gt;5,"Delayed",IF(G59&gt;0,"At Risk","On Track"))))</f>
        <v/>
      </c>
    </row>
    <row r="60" customFormat="false" ht="15" hidden="false" customHeight="false" outlineLevel="0" collapsed="false">
      <c r="G60" s="0" t="str">
        <f aca="false">IF(A60="","",IF(AND(C60&lt;&gt;"",E60&lt;&gt;""),E60-C60,""))</f>
        <v/>
      </c>
      <c r="H60" s="0" t="str">
        <f aca="false">IF(A60="","",IF(G60="","",IF(G60&gt;5,"Delayed",IF(G60&gt;0,"At Risk","On Track"))))</f>
        <v/>
      </c>
    </row>
    <row r="61" customFormat="false" ht="15" hidden="false" customHeight="false" outlineLevel="0" collapsed="false">
      <c r="G61" s="0" t="str">
        <f aca="false">IF(A61="","",IF(AND(C61&lt;&gt;"",E61&lt;&gt;""),E61-C61,""))</f>
        <v/>
      </c>
      <c r="H61" s="0" t="str">
        <f aca="false">IF(A61="","",IF(G61="","",IF(G61&gt;5,"Delayed",IF(G61&gt;0,"At Risk","On Track"))))</f>
        <v/>
      </c>
    </row>
    <row r="62" customFormat="false" ht="15" hidden="false" customHeight="false" outlineLevel="0" collapsed="false">
      <c r="G62" s="0" t="str">
        <f aca="false">IF(A62="","",IF(AND(C62&lt;&gt;"",E62&lt;&gt;""),E62-C62,""))</f>
        <v/>
      </c>
      <c r="H62" s="0" t="str">
        <f aca="false">IF(A62="","",IF(G62="","",IF(G62&gt;5,"Delayed",IF(G62&gt;0,"At Risk","On Track"))))</f>
        <v/>
      </c>
    </row>
    <row r="63" customFormat="false" ht="15" hidden="false" customHeight="false" outlineLevel="0" collapsed="false">
      <c r="G63" s="0" t="str">
        <f aca="false">IF(A63="","",IF(AND(C63&lt;&gt;"",E63&lt;&gt;""),E63-C63,""))</f>
        <v/>
      </c>
      <c r="H63" s="0" t="str">
        <f aca="false">IF(A63="","",IF(G63="","",IF(G63&gt;5,"Delayed",IF(G63&gt;0,"At Risk","On Track"))))</f>
        <v/>
      </c>
    </row>
    <row r="64" customFormat="false" ht="15" hidden="false" customHeight="false" outlineLevel="0" collapsed="false">
      <c r="G64" s="0" t="str">
        <f aca="false">IF(A64="","",IF(AND(C64&lt;&gt;"",E64&lt;&gt;""),E64-C64,""))</f>
        <v/>
      </c>
      <c r="H64" s="0" t="str">
        <f aca="false">IF(A64="","",IF(G64="","",IF(G64&gt;5,"Delayed",IF(G64&gt;0,"At Risk","On Track"))))</f>
        <v/>
      </c>
    </row>
    <row r="65" customFormat="false" ht="15" hidden="false" customHeight="false" outlineLevel="0" collapsed="false">
      <c r="G65" s="0" t="str">
        <f aca="false">IF(A65="","",IF(AND(C65&lt;&gt;"",E65&lt;&gt;""),E65-C65,""))</f>
        <v/>
      </c>
      <c r="H65" s="0" t="str">
        <f aca="false">IF(A65="","",IF(G65="","",IF(G65&gt;5,"Delayed",IF(G65&gt;0,"At Risk","On Track"))))</f>
        <v/>
      </c>
    </row>
    <row r="66" customFormat="false" ht="15" hidden="false" customHeight="false" outlineLevel="0" collapsed="false">
      <c r="G66" s="0" t="str">
        <f aca="false">IF(A66="","",IF(AND(C66&lt;&gt;"",E66&lt;&gt;""),E66-C66,""))</f>
        <v/>
      </c>
      <c r="H66" s="0" t="str">
        <f aca="false">IF(A66="","",IF(G66="","",IF(G66&gt;5,"Delayed",IF(G66&gt;0,"At Risk","On Track"))))</f>
        <v/>
      </c>
    </row>
    <row r="67" customFormat="false" ht="15" hidden="false" customHeight="false" outlineLevel="0" collapsed="false">
      <c r="G67" s="0" t="str">
        <f aca="false">IF(A67="","",IF(AND(C67&lt;&gt;"",E67&lt;&gt;""),E67-C67,""))</f>
        <v/>
      </c>
      <c r="H67" s="0" t="str">
        <f aca="false">IF(A67="","",IF(G67="","",IF(G67&gt;5,"Delayed",IF(G67&gt;0,"At Risk","On Track"))))</f>
        <v/>
      </c>
    </row>
    <row r="68" customFormat="false" ht="15" hidden="false" customHeight="false" outlineLevel="0" collapsed="false">
      <c r="G68" s="0" t="str">
        <f aca="false">IF(A68="","",IF(AND(C68&lt;&gt;"",E68&lt;&gt;""),E68-C68,""))</f>
        <v/>
      </c>
      <c r="H68" s="0" t="str">
        <f aca="false">IF(A68="","",IF(G68="","",IF(G68&gt;5,"Delayed",IF(G68&gt;0,"At Risk","On Track"))))</f>
        <v/>
      </c>
    </row>
    <row r="69" customFormat="false" ht="15" hidden="false" customHeight="false" outlineLevel="0" collapsed="false">
      <c r="G69" s="0" t="str">
        <f aca="false">IF(A69="","",IF(AND(C69&lt;&gt;"",E69&lt;&gt;""),E69-C69,""))</f>
        <v/>
      </c>
      <c r="H69" s="0" t="str">
        <f aca="false">IF(A69="","",IF(G69="","",IF(G69&gt;5,"Delayed",IF(G69&gt;0,"At Risk","On Track"))))</f>
        <v/>
      </c>
    </row>
    <row r="70" customFormat="false" ht="15" hidden="false" customHeight="false" outlineLevel="0" collapsed="false">
      <c r="G70" s="0" t="str">
        <f aca="false">IF(A70="","",IF(AND(C70&lt;&gt;"",E70&lt;&gt;""),E70-C70,""))</f>
        <v/>
      </c>
      <c r="H70" s="0" t="str">
        <f aca="false">IF(A70="","",IF(G70="","",IF(G70&gt;5,"Delayed",IF(G70&gt;0,"At Risk","On Track"))))</f>
        <v/>
      </c>
    </row>
    <row r="71" customFormat="false" ht="15" hidden="false" customHeight="false" outlineLevel="0" collapsed="false">
      <c r="G71" s="0" t="str">
        <f aca="false">IF(A71="","",IF(AND(C71&lt;&gt;"",E71&lt;&gt;""),E71-C71,""))</f>
        <v/>
      </c>
      <c r="H71" s="0" t="str">
        <f aca="false">IF(A71="","",IF(G71="","",IF(G71&gt;5,"Delayed",IF(G71&gt;0,"At Risk","On Track"))))</f>
        <v/>
      </c>
    </row>
    <row r="72" customFormat="false" ht="15" hidden="false" customHeight="false" outlineLevel="0" collapsed="false">
      <c r="G72" s="0" t="str">
        <f aca="false">IF(A72="","",IF(AND(C72&lt;&gt;"",E72&lt;&gt;""),E72-C72,""))</f>
        <v/>
      </c>
      <c r="H72" s="0" t="str">
        <f aca="false">IF(A72="","",IF(G72="","",IF(G72&gt;5,"Delayed",IF(G72&gt;0,"At Risk","On Track"))))</f>
        <v/>
      </c>
    </row>
    <row r="73" customFormat="false" ht="15" hidden="false" customHeight="false" outlineLevel="0" collapsed="false">
      <c r="G73" s="0" t="str">
        <f aca="false">IF(A73="","",IF(AND(C73&lt;&gt;"",E73&lt;&gt;""),E73-C73,""))</f>
        <v/>
      </c>
      <c r="H73" s="0" t="str">
        <f aca="false">IF(A73="","",IF(G73="","",IF(G73&gt;5,"Delayed",IF(G73&gt;0,"At Risk","On Track"))))</f>
        <v/>
      </c>
    </row>
    <row r="74" customFormat="false" ht="15" hidden="false" customHeight="false" outlineLevel="0" collapsed="false">
      <c r="G74" s="0" t="str">
        <f aca="false">IF(A74="","",IF(AND(C74&lt;&gt;"",E74&lt;&gt;""),E74-C74,""))</f>
        <v/>
      </c>
      <c r="H74" s="0" t="str">
        <f aca="false">IF(A74="","",IF(G74="","",IF(G74&gt;5,"Delayed",IF(G74&gt;0,"At Risk","On Track"))))</f>
        <v/>
      </c>
    </row>
    <row r="75" customFormat="false" ht="15" hidden="false" customHeight="false" outlineLevel="0" collapsed="false">
      <c r="G75" s="0" t="str">
        <f aca="false">IF(A75="","",IF(AND(C75&lt;&gt;"",E75&lt;&gt;""),E75-C75,""))</f>
        <v/>
      </c>
      <c r="H75" s="0" t="str">
        <f aca="false">IF(A75="","",IF(G75="","",IF(G75&gt;5,"Delayed",IF(G75&gt;0,"At Risk","On Track"))))</f>
        <v/>
      </c>
    </row>
    <row r="76" customFormat="false" ht="15" hidden="false" customHeight="false" outlineLevel="0" collapsed="false">
      <c r="G76" s="0" t="str">
        <f aca="false">IF(A76="","",IF(AND(C76&lt;&gt;"",E76&lt;&gt;""),E76-C76,""))</f>
        <v/>
      </c>
      <c r="H76" s="0" t="str">
        <f aca="false">IF(A76="","",IF(G76="","",IF(G76&gt;5,"Delayed",IF(G76&gt;0,"At Risk","On Track"))))</f>
        <v/>
      </c>
    </row>
    <row r="77" customFormat="false" ht="15" hidden="false" customHeight="false" outlineLevel="0" collapsed="false">
      <c r="G77" s="0" t="str">
        <f aca="false">IF(A77="","",IF(AND(C77&lt;&gt;"",E77&lt;&gt;""),E77-C77,""))</f>
        <v/>
      </c>
      <c r="H77" s="0" t="str">
        <f aca="false">IF(A77="","",IF(G77="","",IF(G77&gt;5,"Delayed",IF(G77&gt;0,"At Risk","On Track"))))</f>
        <v/>
      </c>
    </row>
    <row r="78" customFormat="false" ht="15" hidden="false" customHeight="false" outlineLevel="0" collapsed="false">
      <c r="G78" s="0" t="str">
        <f aca="false">IF(A78="","",IF(AND(C78&lt;&gt;"",E78&lt;&gt;""),E78-C78,""))</f>
        <v/>
      </c>
      <c r="H78" s="0" t="str">
        <f aca="false">IF(A78="","",IF(G78="","",IF(G78&gt;5,"Delayed",IF(G78&gt;0,"At Risk","On Track"))))</f>
        <v/>
      </c>
    </row>
    <row r="79" customFormat="false" ht="15" hidden="false" customHeight="false" outlineLevel="0" collapsed="false">
      <c r="G79" s="0" t="str">
        <f aca="false">IF(A79="","",IF(AND(C79&lt;&gt;"",E79&lt;&gt;""),E79-C79,""))</f>
        <v/>
      </c>
      <c r="H79" s="0" t="str">
        <f aca="false">IF(A79="","",IF(G79="","",IF(G79&gt;5,"Delayed",IF(G79&gt;0,"At Risk","On Track"))))</f>
        <v/>
      </c>
    </row>
    <row r="80" customFormat="false" ht="15" hidden="false" customHeight="false" outlineLevel="0" collapsed="false">
      <c r="G80" s="0" t="str">
        <f aca="false">IF(A80="","",IF(AND(C80&lt;&gt;"",E80&lt;&gt;""),E80-C80,""))</f>
        <v/>
      </c>
      <c r="H80" s="0" t="str">
        <f aca="false">IF(A80="","",IF(G80="","",IF(G80&gt;5,"Delayed",IF(G80&gt;0,"At Risk","On Track"))))</f>
        <v/>
      </c>
    </row>
    <row r="81" customFormat="false" ht="15" hidden="false" customHeight="false" outlineLevel="0" collapsed="false">
      <c r="G81" s="0" t="str">
        <f aca="false">IF(A81="","",IF(AND(C81&lt;&gt;"",E81&lt;&gt;""),E81-C81,""))</f>
        <v/>
      </c>
      <c r="H81" s="0" t="str">
        <f aca="false">IF(A81="","",IF(G81="","",IF(G81&gt;5,"Delayed",IF(G81&gt;0,"At Risk","On Track"))))</f>
        <v/>
      </c>
    </row>
    <row r="82" customFormat="false" ht="15" hidden="false" customHeight="false" outlineLevel="0" collapsed="false">
      <c r="G82" s="0" t="str">
        <f aca="false">IF(A82="","",IF(AND(C82&lt;&gt;"",E82&lt;&gt;""),E82-C82,""))</f>
        <v/>
      </c>
      <c r="H82" s="0" t="str">
        <f aca="false">IF(A82="","",IF(G82="","",IF(G82&gt;5,"Delayed",IF(G82&gt;0,"At Risk","On Track"))))</f>
        <v/>
      </c>
    </row>
    <row r="83" customFormat="false" ht="15" hidden="false" customHeight="false" outlineLevel="0" collapsed="false">
      <c r="G83" s="0" t="str">
        <f aca="false">IF(A83="","",IF(AND(C83&lt;&gt;"",E83&lt;&gt;""),E83-C83,""))</f>
        <v/>
      </c>
      <c r="H83" s="0" t="str">
        <f aca="false">IF(A83="","",IF(G83="","",IF(G83&gt;5,"Delayed",IF(G83&gt;0,"At Risk","On Track"))))</f>
        <v/>
      </c>
    </row>
    <row r="84" customFormat="false" ht="15" hidden="false" customHeight="false" outlineLevel="0" collapsed="false">
      <c r="G84" s="0" t="str">
        <f aca="false">IF(A84="","",IF(AND(C84&lt;&gt;"",E84&lt;&gt;""),E84-C84,""))</f>
        <v/>
      </c>
      <c r="H84" s="0" t="str">
        <f aca="false">IF(A84="","",IF(G84="","",IF(G84&gt;5,"Delayed",IF(G84&gt;0,"At Risk","On Track"))))</f>
        <v/>
      </c>
    </row>
    <row r="85" customFormat="false" ht="15" hidden="false" customHeight="false" outlineLevel="0" collapsed="false">
      <c r="G85" s="0" t="str">
        <f aca="false">IF(A85="","",IF(AND(C85&lt;&gt;"",E85&lt;&gt;""),E85-C85,""))</f>
        <v/>
      </c>
      <c r="H85" s="0" t="str">
        <f aca="false">IF(A85="","",IF(G85="","",IF(G85&gt;5,"Delayed",IF(G85&gt;0,"At Risk","On Track"))))</f>
        <v/>
      </c>
    </row>
    <row r="86" customFormat="false" ht="15" hidden="false" customHeight="false" outlineLevel="0" collapsed="false">
      <c r="G86" s="0" t="str">
        <f aca="false">IF(A86="","",IF(AND(C86&lt;&gt;"",E86&lt;&gt;""),E86-C86,""))</f>
        <v/>
      </c>
      <c r="H86" s="0" t="str">
        <f aca="false">IF(A86="","",IF(G86="","",IF(G86&gt;5,"Delayed",IF(G86&gt;0,"At Risk","On Track"))))</f>
        <v/>
      </c>
    </row>
    <row r="87" customFormat="false" ht="15" hidden="false" customHeight="false" outlineLevel="0" collapsed="false">
      <c r="G87" s="0" t="str">
        <f aca="false">IF(A87="","",IF(AND(C87&lt;&gt;"",E87&lt;&gt;""),E87-C87,""))</f>
        <v/>
      </c>
      <c r="H87" s="0" t="str">
        <f aca="false">IF(A87="","",IF(G87="","",IF(G87&gt;5,"Delayed",IF(G87&gt;0,"At Risk","On Track"))))</f>
        <v/>
      </c>
    </row>
    <row r="88" customFormat="false" ht="15" hidden="false" customHeight="false" outlineLevel="0" collapsed="false">
      <c r="G88" s="0" t="str">
        <f aca="false">IF(A88="","",IF(AND(C88&lt;&gt;"",E88&lt;&gt;""),E88-C88,""))</f>
        <v/>
      </c>
      <c r="H88" s="0" t="str">
        <f aca="false">IF(A88="","",IF(G88="","",IF(G88&gt;5,"Delayed",IF(G88&gt;0,"At Risk","On Track"))))</f>
        <v/>
      </c>
    </row>
    <row r="89" customFormat="false" ht="15" hidden="false" customHeight="false" outlineLevel="0" collapsed="false">
      <c r="G89" s="0" t="str">
        <f aca="false">IF(A89="","",IF(AND(C89&lt;&gt;"",E89&lt;&gt;""),E89-C89,""))</f>
        <v/>
      </c>
      <c r="H89" s="0" t="str">
        <f aca="false">IF(A89="","",IF(G89="","",IF(G89&gt;5,"Delayed",IF(G89&gt;0,"At Risk","On Track"))))</f>
        <v/>
      </c>
    </row>
    <row r="90" customFormat="false" ht="15" hidden="false" customHeight="false" outlineLevel="0" collapsed="false">
      <c r="G90" s="0" t="str">
        <f aca="false">IF(A90="","",IF(AND(C90&lt;&gt;"",E90&lt;&gt;""),E90-C90,""))</f>
        <v/>
      </c>
      <c r="H90" s="0" t="str">
        <f aca="false">IF(A90="","",IF(G90="","",IF(G90&gt;5,"Delayed",IF(G90&gt;0,"At Risk","On Track"))))</f>
        <v/>
      </c>
    </row>
    <row r="91" customFormat="false" ht="15" hidden="false" customHeight="false" outlineLevel="0" collapsed="false">
      <c r="G91" s="0" t="str">
        <f aca="false">IF(A91="","",IF(AND(C91&lt;&gt;"",E91&lt;&gt;""),E91-C91,""))</f>
        <v/>
      </c>
      <c r="H91" s="0" t="str">
        <f aca="false">IF(A91="","",IF(G91="","",IF(G91&gt;5,"Delayed",IF(G91&gt;0,"At Risk","On Track"))))</f>
        <v/>
      </c>
    </row>
    <row r="92" customFormat="false" ht="15" hidden="false" customHeight="false" outlineLevel="0" collapsed="false">
      <c r="G92" s="0" t="str">
        <f aca="false">IF(A92="","",IF(AND(C92&lt;&gt;"",E92&lt;&gt;""),E92-C92,""))</f>
        <v/>
      </c>
      <c r="H92" s="0" t="str">
        <f aca="false">IF(A92="","",IF(G92="","",IF(G92&gt;5,"Delayed",IF(G92&gt;0,"At Risk","On Track"))))</f>
        <v/>
      </c>
    </row>
    <row r="93" customFormat="false" ht="15" hidden="false" customHeight="false" outlineLevel="0" collapsed="false">
      <c r="G93" s="0" t="str">
        <f aca="false">IF(A93="","",IF(AND(C93&lt;&gt;"",E93&lt;&gt;""),E93-C93,""))</f>
        <v/>
      </c>
      <c r="H93" s="0" t="str">
        <f aca="false">IF(A93="","",IF(G93="","",IF(G93&gt;5,"Delayed",IF(G93&gt;0,"At Risk","On Track"))))</f>
        <v/>
      </c>
    </row>
    <row r="94" customFormat="false" ht="15" hidden="false" customHeight="false" outlineLevel="0" collapsed="false">
      <c r="G94" s="0" t="str">
        <f aca="false">IF(A94="","",IF(AND(C94&lt;&gt;"",E94&lt;&gt;""),E94-C94,""))</f>
        <v/>
      </c>
      <c r="H94" s="0" t="str">
        <f aca="false">IF(A94="","",IF(G94="","",IF(G94&gt;5,"Delayed",IF(G94&gt;0,"At Risk","On Track"))))</f>
        <v/>
      </c>
    </row>
    <row r="95" customFormat="false" ht="15" hidden="false" customHeight="false" outlineLevel="0" collapsed="false">
      <c r="G95" s="0" t="str">
        <f aca="false">IF(A95="","",IF(AND(C95&lt;&gt;"",E95&lt;&gt;""),E95-C95,""))</f>
        <v/>
      </c>
      <c r="H95" s="0" t="str">
        <f aca="false">IF(A95="","",IF(G95="","",IF(G95&gt;5,"Delayed",IF(G95&gt;0,"At Risk","On Track"))))</f>
        <v/>
      </c>
    </row>
    <row r="96" customFormat="false" ht="15" hidden="false" customHeight="false" outlineLevel="0" collapsed="false">
      <c r="G96" s="0" t="str">
        <f aca="false">IF(A96="","",IF(AND(C96&lt;&gt;"",E96&lt;&gt;""),E96-C96,""))</f>
        <v/>
      </c>
      <c r="H96" s="0" t="str">
        <f aca="false">IF(A96="","",IF(G96="","",IF(G96&gt;5,"Delayed",IF(G96&gt;0,"At Risk","On Track"))))</f>
        <v/>
      </c>
    </row>
    <row r="97" customFormat="false" ht="15" hidden="false" customHeight="false" outlineLevel="0" collapsed="false">
      <c r="G97" s="0" t="str">
        <f aca="false">IF(A97="","",IF(AND(C97&lt;&gt;"",E97&lt;&gt;""),E97-C97,""))</f>
        <v/>
      </c>
      <c r="H97" s="0" t="str">
        <f aca="false">IF(A97="","",IF(G97="","",IF(G97&gt;5,"Delayed",IF(G97&gt;0,"At Risk","On Track"))))</f>
        <v/>
      </c>
    </row>
    <row r="98" customFormat="false" ht="15" hidden="false" customHeight="false" outlineLevel="0" collapsed="false">
      <c r="G98" s="0" t="str">
        <f aca="false">IF(A98="","",IF(AND(C98&lt;&gt;"",E98&lt;&gt;""),E98-C98,""))</f>
        <v/>
      </c>
      <c r="H98" s="0" t="str">
        <f aca="false">IF(A98="","",IF(G98="","",IF(G98&gt;5,"Delayed",IF(G98&gt;0,"At Risk","On Track"))))</f>
        <v/>
      </c>
    </row>
    <row r="99" customFormat="false" ht="15" hidden="false" customHeight="false" outlineLevel="0" collapsed="false">
      <c r="G99" s="0" t="str">
        <f aca="false">IF(A99="","",IF(AND(C99&lt;&gt;"",E99&lt;&gt;""),E99-C99,""))</f>
        <v/>
      </c>
      <c r="H99" s="0" t="str">
        <f aca="false">IF(A99="","",IF(G99="","",IF(G99&gt;5,"Delayed",IF(G99&gt;0,"At Risk","On Track"))))</f>
        <v/>
      </c>
    </row>
    <row r="100" customFormat="false" ht="15" hidden="false" customHeight="false" outlineLevel="0" collapsed="false">
      <c r="G100" s="0" t="str">
        <f aca="false">IF(A100="","",IF(AND(C100&lt;&gt;"",E100&lt;&gt;""),E100-C100,""))</f>
        <v/>
      </c>
      <c r="H100" s="0" t="str">
        <f aca="false">IF(A100="","",IF(G100="","",IF(G100&gt;5,"Delayed",IF(G100&gt;0,"At Risk","On Track"))))</f>
        <v/>
      </c>
    </row>
    <row r="101" customFormat="false" ht="15" hidden="false" customHeight="false" outlineLevel="0" collapsed="false">
      <c r="G101" s="0" t="str">
        <f aca="false">IF(A101="","",IF(AND(C101&lt;&gt;"",E101&lt;&gt;""),E101-C101,""))</f>
        <v/>
      </c>
      <c r="H101" s="0" t="str">
        <f aca="false">IF(A101="","",IF(G101="","",IF(G101&gt;5,"Delayed",IF(G101&gt;0,"At Risk","On Track"))))</f>
        <v/>
      </c>
    </row>
    <row r="102" customFormat="false" ht="15" hidden="false" customHeight="false" outlineLevel="0" collapsed="false">
      <c r="G102" s="0" t="str">
        <f aca="false">IF(A102="","",IF(AND(C102&lt;&gt;"",E102&lt;&gt;""),E102-C102,""))</f>
        <v/>
      </c>
      <c r="H102" s="0" t="str">
        <f aca="false">IF(A102="","",IF(G102="","",IF(G102&gt;5,"Delayed",IF(G102&gt;0,"At Risk","On Track"))))</f>
        <v/>
      </c>
    </row>
    <row r="103" customFormat="false" ht="15" hidden="false" customHeight="false" outlineLevel="0" collapsed="false">
      <c r="G103" s="0" t="str">
        <f aca="false">IF(A103="","",IF(AND(C103&lt;&gt;"",E103&lt;&gt;""),E103-C103,""))</f>
        <v/>
      </c>
      <c r="H103" s="0" t="str">
        <f aca="false">IF(A103="","",IF(G103="","",IF(G103&gt;5,"Delayed",IF(G103&gt;0,"At Risk","On Track"))))</f>
        <v/>
      </c>
    </row>
    <row r="104" customFormat="false" ht="15" hidden="false" customHeight="false" outlineLevel="0" collapsed="false">
      <c r="G104" s="0" t="str">
        <f aca="false">IF(A104="","",IF(AND(C104&lt;&gt;"",E104&lt;&gt;""),E104-C104,""))</f>
        <v/>
      </c>
      <c r="H104" s="0" t="str">
        <f aca="false">IF(A104="","",IF(G104="","",IF(G104&gt;5,"Delayed",IF(G104&gt;0,"At Risk","On Track"))))</f>
        <v/>
      </c>
    </row>
    <row r="105" customFormat="false" ht="15" hidden="false" customHeight="false" outlineLevel="0" collapsed="false">
      <c r="G105" s="0" t="str">
        <f aca="false">IF(A105="","",IF(AND(C105&lt;&gt;"",E105&lt;&gt;""),E105-C105,""))</f>
        <v/>
      </c>
      <c r="H105" s="0" t="str">
        <f aca="false">IF(A105="","",IF(G105="","",IF(G105&gt;5,"Delayed",IF(G105&gt;0,"At Risk","On Track"))))</f>
        <v/>
      </c>
    </row>
    <row r="106" customFormat="false" ht="15" hidden="false" customHeight="false" outlineLevel="0" collapsed="false">
      <c r="G106" s="0" t="str">
        <f aca="false">IF(A106="","",IF(AND(C106&lt;&gt;"",E106&lt;&gt;""),E106-C106,""))</f>
        <v/>
      </c>
      <c r="H106" s="0" t="str">
        <f aca="false">IF(A106="","",IF(G106="","",IF(G106&gt;5,"Delayed",IF(G106&gt;0,"At Risk","On Track"))))</f>
        <v/>
      </c>
    </row>
    <row r="107" customFormat="false" ht="15" hidden="false" customHeight="false" outlineLevel="0" collapsed="false">
      <c r="G107" s="0" t="str">
        <f aca="false">IF(A107="","",IF(AND(C107&lt;&gt;"",E107&lt;&gt;""),E107-C107,""))</f>
        <v/>
      </c>
      <c r="H107" s="0" t="str">
        <f aca="false">IF(A107="","",IF(G107="","",IF(G107&gt;5,"Delayed",IF(G107&gt;0,"At Risk","On Track"))))</f>
        <v/>
      </c>
    </row>
    <row r="108" customFormat="false" ht="15" hidden="false" customHeight="false" outlineLevel="0" collapsed="false">
      <c r="G108" s="0" t="str">
        <f aca="false">IF(A108="","",IF(AND(C108&lt;&gt;"",E108&lt;&gt;""),E108-C108,""))</f>
        <v/>
      </c>
      <c r="H108" s="0" t="str">
        <f aca="false">IF(A108="","",IF(G108="","",IF(G108&gt;5,"Delayed",IF(G108&gt;0,"At Risk","On Track"))))</f>
        <v/>
      </c>
    </row>
    <row r="109" customFormat="false" ht="15" hidden="false" customHeight="false" outlineLevel="0" collapsed="false">
      <c r="G109" s="0" t="str">
        <f aca="false">IF(A109="","",IF(AND(C109&lt;&gt;"",E109&lt;&gt;""),E109-C109,""))</f>
        <v/>
      </c>
      <c r="H109" s="0" t="str">
        <f aca="false">IF(A109="","",IF(G109="","",IF(G109&gt;5,"Delayed",IF(G109&gt;0,"At Risk","On Track"))))</f>
        <v/>
      </c>
    </row>
    <row r="110" customFormat="false" ht="15" hidden="false" customHeight="false" outlineLevel="0" collapsed="false">
      <c r="G110" s="0" t="str">
        <f aca="false">IF(A110="","",IF(AND(C110&lt;&gt;"",E110&lt;&gt;""),E110-C110,""))</f>
        <v/>
      </c>
      <c r="H110" s="0" t="str">
        <f aca="false">IF(A110="","",IF(G110="","",IF(G110&gt;5,"Delayed",IF(G110&gt;0,"At Risk","On Track"))))</f>
        <v/>
      </c>
    </row>
    <row r="111" customFormat="false" ht="15" hidden="false" customHeight="false" outlineLevel="0" collapsed="false">
      <c r="G111" s="0" t="str">
        <f aca="false">IF(A111="","",IF(AND(C111&lt;&gt;"",E111&lt;&gt;""),E111-C111,""))</f>
        <v/>
      </c>
      <c r="H111" s="0" t="str">
        <f aca="false">IF(A111="","",IF(G111="","",IF(G111&gt;5,"Delayed",IF(G111&gt;0,"At Risk","On Track"))))</f>
        <v/>
      </c>
    </row>
    <row r="112" customFormat="false" ht="15" hidden="false" customHeight="false" outlineLevel="0" collapsed="false">
      <c r="G112" s="0" t="str">
        <f aca="false">IF(A112="","",IF(AND(C112&lt;&gt;"",E112&lt;&gt;""),E112-C112,""))</f>
        <v/>
      </c>
      <c r="H112" s="0" t="str">
        <f aca="false">IF(A112="","",IF(G112="","",IF(G112&gt;5,"Delayed",IF(G112&gt;0,"At Risk","On Track"))))</f>
        <v/>
      </c>
    </row>
    <row r="113" customFormat="false" ht="15" hidden="false" customHeight="false" outlineLevel="0" collapsed="false">
      <c r="G113" s="0" t="str">
        <f aca="false">IF(A113="","",IF(AND(C113&lt;&gt;"",E113&lt;&gt;""),E113-C113,""))</f>
        <v/>
      </c>
      <c r="H113" s="0" t="str">
        <f aca="false">IF(A113="","",IF(G113="","",IF(G113&gt;5,"Delayed",IF(G113&gt;0,"At Risk","On Track"))))</f>
        <v/>
      </c>
    </row>
    <row r="114" customFormat="false" ht="15" hidden="false" customHeight="false" outlineLevel="0" collapsed="false">
      <c r="G114" s="0" t="str">
        <f aca="false">IF(A114="","",IF(AND(C114&lt;&gt;"",E114&lt;&gt;""),E114-C114,""))</f>
        <v/>
      </c>
      <c r="H114" s="0" t="str">
        <f aca="false">IF(A114="","",IF(G114="","",IF(G114&gt;5,"Delayed",IF(G114&gt;0,"At Risk","On Track"))))</f>
        <v/>
      </c>
    </row>
    <row r="115" customFormat="false" ht="15" hidden="false" customHeight="false" outlineLevel="0" collapsed="false">
      <c r="G115" s="0" t="str">
        <f aca="false">IF(A115="","",IF(AND(C115&lt;&gt;"",E115&lt;&gt;""),E115-C115,""))</f>
        <v/>
      </c>
      <c r="H115" s="0" t="str">
        <f aca="false">IF(A115="","",IF(G115="","",IF(G115&gt;5,"Delayed",IF(G115&gt;0,"At Risk","On Track"))))</f>
        <v/>
      </c>
    </row>
    <row r="116" customFormat="false" ht="15" hidden="false" customHeight="false" outlineLevel="0" collapsed="false">
      <c r="G116" s="0" t="str">
        <f aca="false">IF(A116="","",IF(AND(C116&lt;&gt;"",E116&lt;&gt;""),E116-C116,""))</f>
        <v/>
      </c>
      <c r="H116" s="0" t="str">
        <f aca="false">IF(A116="","",IF(G116="","",IF(G116&gt;5,"Delayed",IF(G116&gt;0,"At Risk","On Track"))))</f>
        <v/>
      </c>
    </row>
    <row r="117" customFormat="false" ht="15" hidden="false" customHeight="false" outlineLevel="0" collapsed="false">
      <c r="G117" s="0" t="str">
        <f aca="false">IF(A117="","",IF(AND(C117&lt;&gt;"",E117&lt;&gt;""),E117-C117,""))</f>
        <v/>
      </c>
      <c r="H117" s="0" t="str">
        <f aca="false">IF(A117="","",IF(G117="","",IF(G117&gt;5,"Delayed",IF(G117&gt;0,"At Risk","On Track"))))</f>
        <v/>
      </c>
    </row>
    <row r="118" customFormat="false" ht="15" hidden="false" customHeight="false" outlineLevel="0" collapsed="false">
      <c r="G118" s="0" t="str">
        <f aca="false">IF(A118="","",IF(AND(C118&lt;&gt;"",E118&lt;&gt;""),E118-C118,""))</f>
        <v/>
      </c>
      <c r="H118" s="0" t="str">
        <f aca="false">IF(A118="","",IF(G118="","",IF(G118&gt;5,"Delayed",IF(G118&gt;0,"At Risk","On Track"))))</f>
        <v/>
      </c>
    </row>
    <row r="119" customFormat="false" ht="15" hidden="false" customHeight="false" outlineLevel="0" collapsed="false">
      <c r="G119" s="0" t="str">
        <f aca="false">IF(A119="","",IF(AND(C119&lt;&gt;"",E119&lt;&gt;""),E119-C119,""))</f>
        <v/>
      </c>
      <c r="H119" s="0" t="str">
        <f aca="false">IF(A119="","",IF(G119="","",IF(G119&gt;5,"Delayed",IF(G119&gt;0,"At Risk","On Track"))))</f>
        <v/>
      </c>
    </row>
    <row r="120" customFormat="false" ht="15" hidden="false" customHeight="false" outlineLevel="0" collapsed="false">
      <c r="G120" s="0" t="str">
        <f aca="false">IF(A120="","",IF(AND(C120&lt;&gt;"",E120&lt;&gt;""),E120-C120,""))</f>
        <v/>
      </c>
      <c r="H120" s="0" t="str">
        <f aca="false">IF(A120="","",IF(G120="","",IF(G120&gt;5,"Delayed",IF(G120&gt;0,"At Risk","On Track"))))</f>
        <v/>
      </c>
    </row>
    <row r="121" customFormat="false" ht="15" hidden="false" customHeight="false" outlineLevel="0" collapsed="false">
      <c r="G121" s="0" t="str">
        <f aca="false">IF(A121="","",IF(AND(C121&lt;&gt;"",E121&lt;&gt;""),E121-C121,""))</f>
        <v/>
      </c>
      <c r="H121" s="0" t="str">
        <f aca="false">IF(A121="","",IF(G121="","",IF(G121&gt;5,"Delayed",IF(G121&gt;0,"At Risk","On Track"))))</f>
        <v/>
      </c>
    </row>
    <row r="122" customFormat="false" ht="15" hidden="false" customHeight="false" outlineLevel="0" collapsed="false">
      <c r="G122" s="0" t="str">
        <f aca="false">IF(A122="","",IF(AND(C122&lt;&gt;"",E122&lt;&gt;""),E122-C122,""))</f>
        <v/>
      </c>
      <c r="H122" s="0" t="str">
        <f aca="false">IF(A122="","",IF(G122="","",IF(G122&gt;5,"Delayed",IF(G122&gt;0,"At Risk","On Track"))))</f>
        <v/>
      </c>
    </row>
    <row r="123" customFormat="false" ht="15" hidden="false" customHeight="false" outlineLevel="0" collapsed="false">
      <c r="G123" s="0" t="str">
        <f aca="false">IF(A123="","",IF(AND(C123&lt;&gt;"",E123&lt;&gt;""),E123-C123,""))</f>
        <v/>
      </c>
      <c r="H123" s="0" t="str">
        <f aca="false">IF(A123="","",IF(G123="","",IF(G123&gt;5,"Delayed",IF(G123&gt;0,"At Risk","On Track"))))</f>
        <v/>
      </c>
    </row>
    <row r="124" customFormat="false" ht="15" hidden="false" customHeight="false" outlineLevel="0" collapsed="false">
      <c r="G124" s="0" t="str">
        <f aca="false">IF(A124="","",IF(AND(C124&lt;&gt;"",E124&lt;&gt;""),E124-C124,""))</f>
        <v/>
      </c>
      <c r="H124" s="0" t="str">
        <f aca="false">IF(A124="","",IF(G124="","",IF(G124&gt;5,"Delayed",IF(G124&gt;0,"At Risk","On Track"))))</f>
        <v/>
      </c>
    </row>
    <row r="125" customFormat="false" ht="15" hidden="false" customHeight="false" outlineLevel="0" collapsed="false">
      <c r="G125" s="0" t="str">
        <f aca="false">IF(A125="","",IF(AND(C125&lt;&gt;"",E125&lt;&gt;""),E125-C125,""))</f>
        <v/>
      </c>
      <c r="H125" s="0" t="str">
        <f aca="false">IF(A125="","",IF(G125="","",IF(G125&gt;5,"Delayed",IF(G125&gt;0,"At Risk","On Track"))))</f>
        <v/>
      </c>
    </row>
    <row r="126" customFormat="false" ht="15" hidden="false" customHeight="false" outlineLevel="0" collapsed="false">
      <c r="G126" s="0" t="str">
        <f aca="false">IF(A126="","",IF(AND(C126&lt;&gt;"",E126&lt;&gt;""),E126-C126,""))</f>
        <v/>
      </c>
      <c r="H126" s="0" t="str">
        <f aca="false">IF(A126="","",IF(G126="","",IF(G126&gt;5,"Delayed",IF(G126&gt;0,"At Risk","On Track"))))</f>
        <v/>
      </c>
    </row>
    <row r="127" customFormat="false" ht="15" hidden="false" customHeight="false" outlineLevel="0" collapsed="false">
      <c r="G127" s="0" t="str">
        <f aca="false">IF(A127="","",IF(AND(C127&lt;&gt;"",E127&lt;&gt;""),E127-C127,""))</f>
        <v/>
      </c>
      <c r="H127" s="0" t="str">
        <f aca="false">IF(A127="","",IF(G127="","",IF(G127&gt;5,"Delayed",IF(G127&gt;0,"At Risk","On Track"))))</f>
        <v/>
      </c>
    </row>
    <row r="128" customFormat="false" ht="15" hidden="false" customHeight="false" outlineLevel="0" collapsed="false">
      <c r="G128" s="0" t="str">
        <f aca="false">IF(A128="","",IF(AND(C128&lt;&gt;"",E128&lt;&gt;""),E128-C128,""))</f>
        <v/>
      </c>
      <c r="H128" s="0" t="str">
        <f aca="false">IF(A128="","",IF(G128="","",IF(G128&gt;5,"Delayed",IF(G128&gt;0,"At Risk","On Track"))))</f>
        <v/>
      </c>
    </row>
    <row r="129" customFormat="false" ht="15" hidden="false" customHeight="false" outlineLevel="0" collapsed="false">
      <c r="G129" s="0" t="str">
        <f aca="false">IF(A129="","",IF(AND(C129&lt;&gt;"",E129&lt;&gt;""),E129-C129,""))</f>
        <v/>
      </c>
      <c r="H129" s="0" t="str">
        <f aca="false">IF(A129="","",IF(G129="","",IF(G129&gt;5,"Delayed",IF(G129&gt;0,"At Risk","On Track"))))</f>
        <v/>
      </c>
    </row>
    <row r="130" customFormat="false" ht="15" hidden="false" customHeight="false" outlineLevel="0" collapsed="false">
      <c r="G130" s="0" t="str">
        <f aca="false">IF(A130="","",IF(AND(C130&lt;&gt;"",E130&lt;&gt;""),E130-C130,""))</f>
        <v/>
      </c>
      <c r="H130" s="0" t="str">
        <f aca="false">IF(A130="","",IF(G130="","",IF(G130&gt;5,"Delayed",IF(G130&gt;0,"At Risk","On Track"))))</f>
        <v/>
      </c>
    </row>
    <row r="131" customFormat="false" ht="15" hidden="false" customHeight="false" outlineLevel="0" collapsed="false">
      <c r="G131" s="0" t="str">
        <f aca="false">IF(A131="","",IF(AND(C131&lt;&gt;"",E131&lt;&gt;""),E131-C131,""))</f>
        <v/>
      </c>
      <c r="H131" s="0" t="str">
        <f aca="false">IF(A131="","",IF(G131="","",IF(G131&gt;5,"Delayed",IF(G131&gt;0,"At Risk","On Track"))))</f>
        <v/>
      </c>
    </row>
    <row r="132" customFormat="false" ht="15" hidden="false" customHeight="false" outlineLevel="0" collapsed="false">
      <c r="G132" s="0" t="str">
        <f aca="false">IF(A132="","",IF(AND(C132&lt;&gt;"",E132&lt;&gt;""),E132-C132,""))</f>
        <v/>
      </c>
      <c r="H132" s="0" t="str">
        <f aca="false">IF(A132="","",IF(G132="","",IF(G132&gt;5,"Delayed",IF(G132&gt;0,"At Risk","On Track"))))</f>
        <v/>
      </c>
    </row>
    <row r="133" customFormat="false" ht="15" hidden="false" customHeight="false" outlineLevel="0" collapsed="false">
      <c r="G133" s="0" t="str">
        <f aca="false">IF(A133="","",IF(AND(C133&lt;&gt;"",E133&lt;&gt;""),E133-C133,""))</f>
        <v/>
      </c>
      <c r="H133" s="0" t="str">
        <f aca="false">IF(A133="","",IF(G133="","",IF(G133&gt;5,"Delayed",IF(G133&gt;0,"At Risk","On Track"))))</f>
        <v/>
      </c>
    </row>
    <row r="134" customFormat="false" ht="15" hidden="false" customHeight="false" outlineLevel="0" collapsed="false">
      <c r="G134" s="0" t="str">
        <f aca="false">IF(A134="","",IF(AND(C134&lt;&gt;"",E134&lt;&gt;""),E134-C134,""))</f>
        <v/>
      </c>
      <c r="H134" s="0" t="str">
        <f aca="false">IF(A134="","",IF(G134="","",IF(G134&gt;5,"Delayed",IF(G134&gt;0,"At Risk","On Track"))))</f>
        <v/>
      </c>
    </row>
    <row r="135" customFormat="false" ht="15" hidden="false" customHeight="false" outlineLevel="0" collapsed="false">
      <c r="G135" s="0" t="str">
        <f aca="false">IF(A135="","",IF(AND(C135&lt;&gt;"",E135&lt;&gt;""),E135-C135,""))</f>
        <v/>
      </c>
      <c r="H135" s="0" t="str">
        <f aca="false">IF(A135="","",IF(G135="","",IF(G135&gt;5,"Delayed",IF(G135&gt;0,"At Risk","On Track"))))</f>
        <v/>
      </c>
    </row>
    <row r="136" customFormat="false" ht="15" hidden="false" customHeight="false" outlineLevel="0" collapsed="false">
      <c r="G136" s="0" t="str">
        <f aca="false">IF(A136="","",IF(AND(C136&lt;&gt;"",E136&lt;&gt;""),E136-C136,""))</f>
        <v/>
      </c>
      <c r="H136" s="0" t="str">
        <f aca="false">IF(A136="","",IF(G136="","",IF(G136&gt;5,"Delayed",IF(G136&gt;0,"At Risk","On Track"))))</f>
        <v/>
      </c>
    </row>
    <row r="137" customFormat="false" ht="15" hidden="false" customHeight="false" outlineLevel="0" collapsed="false">
      <c r="G137" s="0" t="str">
        <f aca="false">IF(A137="","",IF(AND(C137&lt;&gt;"",E137&lt;&gt;""),E137-C137,""))</f>
        <v/>
      </c>
      <c r="H137" s="0" t="str">
        <f aca="false">IF(A137="","",IF(G137="","",IF(G137&gt;5,"Delayed",IF(G137&gt;0,"At Risk","On Track"))))</f>
        <v/>
      </c>
    </row>
    <row r="138" customFormat="false" ht="15" hidden="false" customHeight="false" outlineLevel="0" collapsed="false">
      <c r="G138" s="0" t="str">
        <f aca="false">IF(A138="","",IF(AND(C138&lt;&gt;"",E138&lt;&gt;""),E138-C138,""))</f>
        <v/>
      </c>
      <c r="H138" s="0" t="str">
        <f aca="false">IF(A138="","",IF(G138="","",IF(G138&gt;5,"Delayed",IF(G138&gt;0,"At Risk","On Track"))))</f>
        <v/>
      </c>
    </row>
    <row r="139" customFormat="false" ht="15" hidden="false" customHeight="false" outlineLevel="0" collapsed="false">
      <c r="G139" s="0" t="str">
        <f aca="false">IF(A139="","",IF(AND(C139&lt;&gt;"",E139&lt;&gt;""),E139-C139,""))</f>
        <v/>
      </c>
      <c r="H139" s="0" t="str">
        <f aca="false">IF(A139="","",IF(G139="","",IF(G139&gt;5,"Delayed",IF(G139&gt;0,"At Risk","On Track"))))</f>
        <v/>
      </c>
    </row>
    <row r="140" customFormat="false" ht="15" hidden="false" customHeight="false" outlineLevel="0" collapsed="false">
      <c r="G140" s="0" t="str">
        <f aca="false">IF(A140="","",IF(AND(C140&lt;&gt;"",E140&lt;&gt;""),E140-C140,""))</f>
        <v/>
      </c>
      <c r="H140" s="0" t="str">
        <f aca="false">IF(A140="","",IF(G140="","",IF(G140&gt;5,"Delayed",IF(G140&gt;0,"At Risk","On Track"))))</f>
        <v/>
      </c>
    </row>
    <row r="141" customFormat="false" ht="15" hidden="false" customHeight="false" outlineLevel="0" collapsed="false">
      <c r="G141" s="0" t="str">
        <f aca="false">IF(A141="","",IF(AND(C141&lt;&gt;"",E141&lt;&gt;""),E141-C141,""))</f>
        <v/>
      </c>
      <c r="H141" s="0" t="str">
        <f aca="false">IF(A141="","",IF(G141="","",IF(G141&gt;5,"Delayed",IF(G141&gt;0,"At Risk","On Track"))))</f>
        <v/>
      </c>
    </row>
    <row r="142" customFormat="false" ht="15" hidden="false" customHeight="false" outlineLevel="0" collapsed="false">
      <c r="G142" s="0" t="str">
        <f aca="false">IF(A142="","",IF(AND(C142&lt;&gt;"",E142&lt;&gt;""),E142-C142,""))</f>
        <v/>
      </c>
      <c r="H142" s="0" t="str">
        <f aca="false">IF(A142="","",IF(G142="","",IF(G142&gt;5,"Delayed",IF(G142&gt;0,"At Risk","On Track"))))</f>
        <v/>
      </c>
    </row>
    <row r="143" customFormat="false" ht="15" hidden="false" customHeight="false" outlineLevel="0" collapsed="false">
      <c r="G143" s="0" t="str">
        <f aca="false">IF(A143="","",IF(AND(C143&lt;&gt;"",E143&lt;&gt;""),E143-C143,""))</f>
        <v/>
      </c>
      <c r="H143" s="0" t="str">
        <f aca="false">IF(A143="","",IF(G143="","",IF(G143&gt;5,"Delayed",IF(G143&gt;0,"At Risk","On Track"))))</f>
        <v/>
      </c>
    </row>
    <row r="144" customFormat="false" ht="15" hidden="false" customHeight="false" outlineLevel="0" collapsed="false">
      <c r="G144" s="0" t="str">
        <f aca="false">IF(A144="","",IF(AND(C144&lt;&gt;"",E144&lt;&gt;""),E144-C144,""))</f>
        <v/>
      </c>
      <c r="H144" s="0" t="str">
        <f aca="false">IF(A144="","",IF(G144="","",IF(G144&gt;5,"Delayed",IF(G144&gt;0,"At Risk","On Track"))))</f>
        <v/>
      </c>
    </row>
    <row r="145" customFormat="false" ht="15" hidden="false" customHeight="false" outlineLevel="0" collapsed="false">
      <c r="G145" s="0" t="str">
        <f aca="false">IF(A145="","",IF(AND(C145&lt;&gt;"",E145&lt;&gt;""),E145-C145,""))</f>
        <v/>
      </c>
      <c r="H145" s="0" t="str">
        <f aca="false">IF(A145="","",IF(G145="","",IF(G145&gt;5,"Delayed",IF(G145&gt;0,"At Risk","On Track"))))</f>
        <v/>
      </c>
    </row>
    <row r="146" customFormat="false" ht="15" hidden="false" customHeight="false" outlineLevel="0" collapsed="false">
      <c r="G146" s="0" t="str">
        <f aca="false">IF(A146="","",IF(AND(C146&lt;&gt;"",E146&lt;&gt;""),E146-C146,""))</f>
        <v/>
      </c>
      <c r="H146" s="0" t="str">
        <f aca="false">IF(A146="","",IF(G146="","",IF(G146&gt;5,"Delayed",IF(G146&gt;0,"At Risk","On Track"))))</f>
        <v/>
      </c>
    </row>
    <row r="147" customFormat="false" ht="15" hidden="false" customHeight="false" outlineLevel="0" collapsed="false">
      <c r="G147" s="0" t="str">
        <f aca="false">IF(A147="","",IF(AND(C147&lt;&gt;"",E147&lt;&gt;""),E147-C147,""))</f>
        <v/>
      </c>
      <c r="H147" s="0" t="str">
        <f aca="false">IF(A147="","",IF(G147="","",IF(G147&gt;5,"Delayed",IF(G147&gt;0,"At Risk","On Track"))))</f>
        <v/>
      </c>
    </row>
    <row r="148" customFormat="false" ht="15" hidden="false" customHeight="false" outlineLevel="0" collapsed="false">
      <c r="G148" s="0" t="str">
        <f aca="false">IF(A148="","",IF(AND(C148&lt;&gt;"",E148&lt;&gt;""),E148-C148,""))</f>
        <v/>
      </c>
      <c r="H148" s="0" t="str">
        <f aca="false">IF(A148="","",IF(G148="","",IF(G148&gt;5,"Delayed",IF(G148&gt;0,"At Risk","On Track"))))</f>
        <v/>
      </c>
    </row>
    <row r="149" customFormat="false" ht="15" hidden="false" customHeight="false" outlineLevel="0" collapsed="false">
      <c r="G149" s="0" t="str">
        <f aca="false">IF(A149="","",IF(AND(C149&lt;&gt;"",E149&lt;&gt;""),E149-C149,""))</f>
        <v/>
      </c>
      <c r="H149" s="0" t="str">
        <f aca="false">IF(A149="","",IF(G149="","",IF(G149&gt;5,"Delayed",IF(G149&gt;0,"At Risk","On Track"))))</f>
        <v/>
      </c>
    </row>
    <row r="150" customFormat="false" ht="15" hidden="false" customHeight="false" outlineLevel="0" collapsed="false">
      <c r="G150" s="0" t="str">
        <f aca="false">IF(A150="","",IF(AND(C150&lt;&gt;"",E150&lt;&gt;""),E150-C150,""))</f>
        <v/>
      </c>
      <c r="H150" s="0" t="str">
        <f aca="false">IF(A150="","",IF(G150="","",IF(G150&gt;5,"Delayed",IF(G150&gt;0,"At Risk","On Track"))))</f>
        <v/>
      </c>
    </row>
    <row r="151" customFormat="false" ht="15" hidden="false" customHeight="false" outlineLevel="0" collapsed="false">
      <c r="G151" s="0" t="str">
        <f aca="false">IF(A151="","",IF(AND(C151&lt;&gt;"",E151&lt;&gt;""),E151-C151,""))</f>
        <v/>
      </c>
      <c r="H151" s="0" t="str">
        <f aca="false">IF(A151="","",IF(G151="","",IF(G151&gt;5,"Delayed",IF(G151&gt;0,"At Risk","On Track"))))</f>
        <v/>
      </c>
    </row>
    <row r="152" customFormat="false" ht="15" hidden="false" customHeight="false" outlineLevel="0" collapsed="false">
      <c r="G152" s="0" t="str">
        <f aca="false">IF(A152="","",IF(AND(C152&lt;&gt;"",E152&lt;&gt;""),E152-C152,""))</f>
        <v/>
      </c>
      <c r="H152" s="0" t="str">
        <f aca="false">IF(A152="","",IF(G152="","",IF(G152&gt;5,"Delayed",IF(G152&gt;0,"At Risk","On Track"))))</f>
        <v/>
      </c>
    </row>
    <row r="153" customFormat="false" ht="15" hidden="false" customHeight="false" outlineLevel="0" collapsed="false">
      <c r="G153" s="0" t="str">
        <f aca="false">IF(A153="","",IF(AND(C153&lt;&gt;"",E153&lt;&gt;""),E153-C153,""))</f>
        <v/>
      </c>
      <c r="H153" s="0" t="str">
        <f aca="false">IF(A153="","",IF(G153="","",IF(G153&gt;5,"Delayed",IF(G153&gt;0,"At Risk","On Track"))))</f>
        <v/>
      </c>
    </row>
    <row r="154" customFormat="false" ht="15" hidden="false" customHeight="false" outlineLevel="0" collapsed="false">
      <c r="G154" s="0" t="str">
        <f aca="false">IF(A154="","",IF(AND(C154&lt;&gt;"",E154&lt;&gt;""),E154-C154,""))</f>
        <v/>
      </c>
      <c r="H154" s="0" t="str">
        <f aca="false">IF(A154="","",IF(G154="","",IF(G154&gt;5,"Delayed",IF(G154&gt;0,"At Risk","On Track"))))</f>
        <v/>
      </c>
    </row>
    <row r="155" customFormat="false" ht="15" hidden="false" customHeight="false" outlineLevel="0" collapsed="false">
      <c r="G155" s="0" t="str">
        <f aca="false">IF(A155="","",IF(AND(C155&lt;&gt;"",E155&lt;&gt;""),E155-C155,""))</f>
        <v/>
      </c>
      <c r="H155" s="0" t="str">
        <f aca="false">IF(A155="","",IF(G155="","",IF(G155&gt;5,"Delayed",IF(G155&gt;0,"At Risk","On Track"))))</f>
        <v/>
      </c>
    </row>
    <row r="156" customFormat="false" ht="15" hidden="false" customHeight="false" outlineLevel="0" collapsed="false">
      <c r="G156" s="0" t="str">
        <f aca="false">IF(A156="","",IF(AND(C156&lt;&gt;"",E156&lt;&gt;""),E156-C156,""))</f>
        <v/>
      </c>
      <c r="H156" s="0" t="str">
        <f aca="false">IF(A156="","",IF(G156="","",IF(G156&gt;5,"Delayed",IF(G156&gt;0,"At Risk","On Track"))))</f>
        <v/>
      </c>
    </row>
    <row r="157" customFormat="false" ht="15" hidden="false" customHeight="false" outlineLevel="0" collapsed="false">
      <c r="G157" s="0" t="str">
        <f aca="false">IF(A157="","",IF(AND(C157&lt;&gt;"",E157&lt;&gt;""),E157-C157,""))</f>
        <v/>
      </c>
      <c r="H157" s="0" t="str">
        <f aca="false">IF(A157="","",IF(G157="","",IF(G157&gt;5,"Delayed",IF(G157&gt;0,"At Risk","On Track"))))</f>
        <v/>
      </c>
    </row>
    <row r="158" customFormat="false" ht="15" hidden="false" customHeight="false" outlineLevel="0" collapsed="false">
      <c r="G158" s="0" t="str">
        <f aca="false">IF(A158="","",IF(AND(C158&lt;&gt;"",E158&lt;&gt;""),E158-C158,""))</f>
        <v/>
      </c>
      <c r="H158" s="0" t="str">
        <f aca="false">IF(A158="","",IF(G158="","",IF(G158&gt;5,"Delayed",IF(G158&gt;0,"At Risk","On Track"))))</f>
        <v/>
      </c>
    </row>
    <row r="159" customFormat="false" ht="15" hidden="false" customHeight="false" outlineLevel="0" collapsed="false">
      <c r="G159" s="0" t="str">
        <f aca="false">IF(A159="","",IF(AND(C159&lt;&gt;"",E159&lt;&gt;""),E159-C159,""))</f>
        <v/>
      </c>
      <c r="H159" s="0" t="str">
        <f aca="false">IF(A159="","",IF(G159="","",IF(G159&gt;5,"Delayed",IF(G159&gt;0,"At Risk","On Track"))))</f>
        <v/>
      </c>
    </row>
    <row r="160" customFormat="false" ht="15" hidden="false" customHeight="false" outlineLevel="0" collapsed="false">
      <c r="G160" s="0" t="str">
        <f aca="false">IF(A160="","",IF(AND(C160&lt;&gt;"",E160&lt;&gt;""),E160-C160,""))</f>
        <v/>
      </c>
      <c r="H160" s="0" t="str">
        <f aca="false">IF(A160="","",IF(G160="","",IF(G160&gt;5,"Delayed",IF(G160&gt;0,"At Risk","On Track"))))</f>
        <v/>
      </c>
    </row>
    <row r="161" customFormat="false" ht="15" hidden="false" customHeight="false" outlineLevel="0" collapsed="false">
      <c r="G161" s="0" t="str">
        <f aca="false">IF(A161="","",IF(AND(C161&lt;&gt;"",E161&lt;&gt;""),E161-C161,""))</f>
        <v/>
      </c>
      <c r="H161" s="0" t="str">
        <f aca="false">IF(A161="","",IF(G161="","",IF(G161&gt;5,"Delayed",IF(G161&gt;0,"At Risk","On Track"))))</f>
        <v/>
      </c>
    </row>
    <row r="162" customFormat="false" ht="15" hidden="false" customHeight="false" outlineLevel="0" collapsed="false">
      <c r="G162" s="0" t="str">
        <f aca="false">IF(A162="","",IF(AND(C162&lt;&gt;"",E162&lt;&gt;""),E162-C162,""))</f>
        <v/>
      </c>
      <c r="H162" s="0" t="str">
        <f aca="false">IF(A162="","",IF(G162="","",IF(G162&gt;5,"Delayed",IF(G162&gt;0,"At Risk","On Track"))))</f>
        <v/>
      </c>
    </row>
    <row r="163" customFormat="false" ht="15" hidden="false" customHeight="false" outlineLevel="0" collapsed="false">
      <c r="G163" s="0" t="str">
        <f aca="false">IF(A163="","",IF(AND(C163&lt;&gt;"",E163&lt;&gt;""),E163-C163,""))</f>
        <v/>
      </c>
      <c r="H163" s="0" t="str">
        <f aca="false">IF(A163="","",IF(G163="","",IF(G163&gt;5,"Delayed",IF(G163&gt;0,"At Risk","On Track"))))</f>
        <v/>
      </c>
    </row>
    <row r="164" customFormat="false" ht="15" hidden="false" customHeight="false" outlineLevel="0" collapsed="false">
      <c r="G164" s="0" t="str">
        <f aca="false">IF(A164="","",IF(AND(C164&lt;&gt;"",E164&lt;&gt;""),E164-C164,""))</f>
        <v/>
      </c>
      <c r="H164" s="0" t="str">
        <f aca="false">IF(A164="","",IF(G164="","",IF(G164&gt;5,"Delayed",IF(G164&gt;0,"At Risk","On Track"))))</f>
        <v/>
      </c>
    </row>
    <row r="165" customFormat="false" ht="15" hidden="false" customHeight="false" outlineLevel="0" collapsed="false">
      <c r="G165" s="0" t="str">
        <f aca="false">IF(A165="","",IF(AND(C165&lt;&gt;"",E165&lt;&gt;""),E165-C165,""))</f>
        <v/>
      </c>
      <c r="H165" s="0" t="str">
        <f aca="false">IF(A165="","",IF(G165="","",IF(G165&gt;5,"Delayed",IF(G165&gt;0,"At Risk","On Track"))))</f>
        <v/>
      </c>
    </row>
    <row r="166" customFormat="false" ht="15" hidden="false" customHeight="false" outlineLevel="0" collapsed="false">
      <c r="G166" s="0" t="str">
        <f aca="false">IF(A166="","",IF(AND(C166&lt;&gt;"",E166&lt;&gt;""),E166-C166,""))</f>
        <v/>
      </c>
      <c r="H166" s="0" t="str">
        <f aca="false">IF(A166="","",IF(G166="","",IF(G166&gt;5,"Delayed",IF(G166&gt;0,"At Risk","On Track"))))</f>
        <v/>
      </c>
    </row>
    <row r="167" customFormat="false" ht="15" hidden="false" customHeight="false" outlineLevel="0" collapsed="false">
      <c r="G167" s="0" t="str">
        <f aca="false">IF(A167="","",IF(AND(C167&lt;&gt;"",E167&lt;&gt;""),E167-C167,""))</f>
        <v/>
      </c>
      <c r="H167" s="0" t="str">
        <f aca="false">IF(A167="","",IF(G167="","",IF(G167&gt;5,"Delayed",IF(G167&gt;0,"At Risk","On Track"))))</f>
        <v/>
      </c>
    </row>
    <row r="168" customFormat="false" ht="15" hidden="false" customHeight="false" outlineLevel="0" collapsed="false">
      <c r="G168" s="0" t="str">
        <f aca="false">IF(A168="","",IF(AND(C168&lt;&gt;"",E168&lt;&gt;""),E168-C168,""))</f>
        <v/>
      </c>
      <c r="H168" s="0" t="str">
        <f aca="false">IF(A168="","",IF(G168="","",IF(G168&gt;5,"Delayed",IF(G168&gt;0,"At Risk","On Track"))))</f>
        <v/>
      </c>
    </row>
    <row r="169" customFormat="false" ht="15" hidden="false" customHeight="false" outlineLevel="0" collapsed="false">
      <c r="G169" s="0" t="str">
        <f aca="false">IF(A169="","",IF(AND(C169&lt;&gt;"",E169&lt;&gt;""),E169-C169,""))</f>
        <v/>
      </c>
      <c r="H169" s="0" t="str">
        <f aca="false">IF(A169="","",IF(G169="","",IF(G169&gt;5,"Delayed",IF(G169&gt;0,"At Risk","On Track"))))</f>
        <v/>
      </c>
    </row>
    <row r="170" customFormat="false" ht="15" hidden="false" customHeight="false" outlineLevel="0" collapsed="false">
      <c r="G170" s="0" t="str">
        <f aca="false">IF(A170="","",IF(AND(C170&lt;&gt;"",E170&lt;&gt;""),E170-C170,""))</f>
        <v/>
      </c>
      <c r="H170" s="0" t="str">
        <f aca="false">IF(A170="","",IF(G170="","",IF(G170&gt;5,"Delayed",IF(G170&gt;0,"At Risk","On Track"))))</f>
        <v/>
      </c>
    </row>
    <row r="171" customFormat="false" ht="15" hidden="false" customHeight="false" outlineLevel="0" collapsed="false">
      <c r="G171" s="0" t="str">
        <f aca="false">IF(A171="","",IF(AND(C171&lt;&gt;"",E171&lt;&gt;""),E171-C171,""))</f>
        <v/>
      </c>
      <c r="H171" s="0" t="str">
        <f aca="false">IF(A171="","",IF(G171="","",IF(G171&gt;5,"Delayed",IF(G171&gt;0,"At Risk","On Track"))))</f>
        <v/>
      </c>
    </row>
    <row r="172" customFormat="false" ht="15" hidden="false" customHeight="false" outlineLevel="0" collapsed="false">
      <c r="G172" s="0" t="str">
        <f aca="false">IF(A172="","",IF(AND(C172&lt;&gt;"",E172&lt;&gt;""),E172-C172,""))</f>
        <v/>
      </c>
      <c r="H172" s="0" t="str">
        <f aca="false">IF(A172="","",IF(G172="","",IF(G172&gt;5,"Delayed",IF(G172&gt;0,"At Risk","On Track"))))</f>
        <v/>
      </c>
    </row>
    <row r="173" customFormat="false" ht="15" hidden="false" customHeight="false" outlineLevel="0" collapsed="false">
      <c r="G173" s="0" t="str">
        <f aca="false">IF(A173="","",IF(AND(C173&lt;&gt;"",E173&lt;&gt;""),E173-C173,""))</f>
        <v/>
      </c>
      <c r="H173" s="0" t="str">
        <f aca="false">IF(A173="","",IF(G173="","",IF(G173&gt;5,"Delayed",IF(G173&gt;0,"At Risk","On Track"))))</f>
        <v/>
      </c>
    </row>
    <row r="174" customFormat="false" ht="15" hidden="false" customHeight="false" outlineLevel="0" collapsed="false">
      <c r="G174" s="0" t="str">
        <f aca="false">IF(A174="","",IF(AND(C174&lt;&gt;"",E174&lt;&gt;""),E174-C174,""))</f>
        <v/>
      </c>
      <c r="H174" s="0" t="str">
        <f aca="false">IF(A174="","",IF(G174="","",IF(G174&gt;5,"Delayed",IF(G174&gt;0,"At Risk","On Track"))))</f>
        <v/>
      </c>
    </row>
    <row r="175" customFormat="false" ht="15" hidden="false" customHeight="false" outlineLevel="0" collapsed="false">
      <c r="G175" s="0" t="str">
        <f aca="false">IF(A175="","",IF(AND(C175&lt;&gt;"",E175&lt;&gt;""),E175-C175,""))</f>
        <v/>
      </c>
      <c r="H175" s="0" t="str">
        <f aca="false">IF(A175="","",IF(G175="","",IF(G175&gt;5,"Delayed",IF(G175&gt;0,"At Risk","On Track"))))</f>
        <v/>
      </c>
    </row>
    <row r="176" customFormat="false" ht="15" hidden="false" customHeight="false" outlineLevel="0" collapsed="false">
      <c r="G176" s="0" t="str">
        <f aca="false">IF(A176="","",IF(AND(C176&lt;&gt;"",E176&lt;&gt;""),E176-C176,""))</f>
        <v/>
      </c>
      <c r="H176" s="0" t="str">
        <f aca="false">IF(A176="","",IF(G176="","",IF(G176&gt;5,"Delayed",IF(G176&gt;0,"At Risk","On Track"))))</f>
        <v/>
      </c>
    </row>
    <row r="177" customFormat="false" ht="15" hidden="false" customHeight="false" outlineLevel="0" collapsed="false">
      <c r="G177" s="0" t="str">
        <f aca="false">IF(A177="","",IF(AND(C177&lt;&gt;"",E177&lt;&gt;""),E177-C177,""))</f>
        <v/>
      </c>
      <c r="H177" s="0" t="str">
        <f aca="false">IF(A177="","",IF(G177="","",IF(G177&gt;5,"Delayed",IF(G177&gt;0,"At Risk","On Track"))))</f>
        <v/>
      </c>
    </row>
    <row r="178" customFormat="false" ht="15" hidden="false" customHeight="false" outlineLevel="0" collapsed="false">
      <c r="G178" s="0" t="str">
        <f aca="false">IF(A178="","",IF(AND(C178&lt;&gt;"",E178&lt;&gt;""),E178-C178,""))</f>
        <v/>
      </c>
      <c r="H178" s="0" t="str">
        <f aca="false">IF(A178="","",IF(G178="","",IF(G178&gt;5,"Delayed",IF(G178&gt;0,"At Risk","On Track"))))</f>
        <v/>
      </c>
    </row>
    <row r="179" customFormat="false" ht="15" hidden="false" customHeight="false" outlineLevel="0" collapsed="false">
      <c r="G179" s="0" t="str">
        <f aca="false">IF(A179="","",IF(AND(C179&lt;&gt;"",E179&lt;&gt;""),E179-C179,""))</f>
        <v/>
      </c>
      <c r="H179" s="0" t="str">
        <f aca="false">IF(A179="","",IF(G179="","",IF(G179&gt;5,"Delayed",IF(G179&gt;0,"At Risk","On Track"))))</f>
        <v/>
      </c>
    </row>
    <row r="180" customFormat="false" ht="15" hidden="false" customHeight="false" outlineLevel="0" collapsed="false">
      <c r="G180" s="0" t="str">
        <f aca="false">IF(A180="","",IF(AND(C180&lt;&gt;"",E180&lt;&gt;""),E180-C180,""))</f>
        <v/>
      </c>
      <c r="H180" s="0" t="str">
        <f aca="false">IF(A180="","",IF(G180="","",IF(G180&gt;5,"Delayed",IF(G180&gt;0,"At Risk","On Track"))))</f>
        <v/>
      </c>
    </row>
    <row r="181" customFormat="false" ht="15" hidden="false" customHeight="false" outlineLevel="0" collapsed="false">
      <c r="G181" s="0" t="str">
        <f aca="false">IF(A181="","",IF(AND(C181&lt;&gt;"",E181&lt;&gt;""),E181-C181,""))</f>
        <v/>
      </c>
      <c r="H181" s="0" t="str">
        <f aca="false">IF(A181="","",IF(G181="","",IF(G181&gt;5,"Delayed",IF(G181&gt;0,"At Risk","On Track"))))</f>
        <v/>
      </c>
    </row>
    <row r="182" customFormat="false" ht="15" hidden="false" customHeight="false" outlineLevel="0" collapsed="false">
      <c r="G182" s="0" t="str">
        <f aca="false">IF(A182="","",IF(AND(C182&lt;&gt;"",E182&lt;&gt;""),E182-C182,""))</f>
        <v/>
      </c>
      <c r="H182" s="0" t="str">
        <f aca="false">IF(A182="","",IF(G182="","",IF(G182&gt;5,"Delayed",IF(G182&gt;0,"At Risk","On Track"))))</f>
        <v/>
      </c>
    </row>
    <row r="183" customFormat="false" ht="15" hidden="false" customHeight="false" outlineLevel="0" collapsed="false">
      <c r="G183" s="0" t="str">
        <f aca="false">IF(A183="","",IF(AND(C183&lt;&gt;"",E183&lt;&gt;""),E183-C183,""))</f>
        <v/>
      </c>
      <c r="H183" s="0" t="str">
        <f aca="false">IF(A183="","",IF(G183="","",IF(G183&gt;5,"Delayed",IF(G183&gt;0,"At Risk","On Track"))))</f>
        <v/>
      </c>
    </row>
    <row r="184" customFormat="false" ht="15" hidden="false" customHeight="false" outlineLevel="0" collapsed="false">
      <c r="G184" s="0" t="str">
        <f aca="false">IF(A184="","",IF(AND(C184&lt;&gt;"",E184&lt;&gt;""),E184-C184,""))</f>
        <v/>
      </c>
      <c r="H184" s="0" t="str">
        <f aca="false">IF(A184="","",IF(G184="","",IF(G184&gt;5,"Delayed",IF(G184&gt;0,"At Risk","On Track"))))</f>
        <v/>
      </c>
    </row>
    <row r="185" customFormat="false" ht="15" hidden="false" customHeight="false" outlineLevel="0" collapsed="false">
      <c r="G185" s="0" t="str">
        <f aca="false">IF(A185="","",IF(AND(C185&lt;&gt;"",E185&lt;&gt;""),E185-C185,""))</f>
        <v/>
      </c>
      <c r="H185" s="0" t="str">
        <f aca="false">IF(A185="","",IF(G185="","",IF(G185&gt;5,"Delayed",IF(G185&gt;0,"At Risk","On Track"))))</f>
        <v/>
      </c>
    </row>
    <row r="186" customFormat="false" ht="15" hidden="false" customHeight="false" outlineLevel="0" collapsed="false">
      <c r="G186" s="0" t="str">
        <f aca="false">IF(A186="","",IF(AND(C186&lt;&gt;"",E186&lt;&gt;""),E186-C186,""))</f>
        <v/>
      </c>
      <c r="H186" s="0" t="str">
        <f aca="false">IF(A186="","",IF(G186="","",IF(G186&gt;5,"Delayed",IF(G186&gt;0,"At Risk","On Track"))))</f>
        <v/>
      </c>
    </row>
    <row r="187" customFormat="false" ht="15" hidden="false" customHeight="false" outlineLevel="0" collapsed="false">
      <c r="G187" s="0" t="str">
        <f aca="false">IF(A187="","",IF(AND(C187&lt;&gt;"",E187&lt;&gt;""),E187-C187,""))</f>
        <v/>
      </c>
      <c r="H187" s="0" t="str">
        <f aca="false">IF(A187="","",IF(G187="","",IF(G187&gt;5,"Delayed",IF(G187&gt;0,"At Risk","On Track"))))</f>
        <v/>
      </c>
    </row>
    <row r="188" customFormat="false" ht="15" hidden="false" customHeight="false" outlineLevel="0" collapsed="false">
      <c r="G188" s="0" t="str">
        <f aca="false">IF(A188="","",IF(AND(C188&lt;&gt;"",E188&lt;&gt;""),E188-C188,""))</f>
        <v/>
      </c>
      <c r="H188" s="0" t="str">
        <f aca="false">IF(A188="","",IF(G188="","",IF(G188&gt;5,"Delayed",IF(G188&gt;0,"At Risk","On Track"))))</f>
        <v/>
      </c>
    </row>
    <row r="189" customFormat="false" ht="15" hidden="false" customHeight="false" outlineLevel="0" collapsed="false">
      <c r="G189" s="0" t="str">
        <f aca="false">IF(A189="","",IF(AND(C189&lt;&gt;"",E189&lt;&gt;""),E189-C189,""))</f>
        <v/>
      </c>
      <c r="H189" s="0" t="str">
        <f aca="false">IF(A189="","",IF(G189="","",IF(G189&gt;5,"Delayed",IF(G189&gt;0,"At Risk","On Track"))))</f>
        <v/>
      </c>
    </row>
    <row r="190" customFormat="false" ht="15" hidden="false" customHeight="false" outlineLevel="0" collapsed="false">
      <c r="G190" s="0" t="str">
        <f aca="false">IF(A190="","",IF(AND(C190&lt;&gt;"",E190&lt;&gt;""),E190-C190,""))</f>
        <v/>
      </c>
      <c r="H190" s="0" t="str">
        <f aca="false">IF(A190="","",IF(G190="","",IF(G190&gt;5,"Delayed",IF(G190&gt;0,"At Risk","On Track"))))</f>
        <v/>
      </c>
    </row>
    <row r="191" customFormat="false" ht="15" hidden="false" customHeight="false" outlineLevel="0" collapsed="false">
      <c r="G191" s="0" t="str">
        <f aca="false">IF(A191="","",IF(AND(C191&lt;&gt;"",E191&lt;&gt;""),E191-C191,""))</f>
        <v/>
      </c>
      <c r="H191" s="0" t="str">
        <f aca="false">IF(A191="","",IF(G191="","",IF(G191&gt;5,"Delayed",IF(G191&gt;0,"At Risk","On Track"))))</f>
        <v/>
      </c>
    </row>
    <row r="192" customFormat="false" ht="15" hidden="false" customHeight="false" outlineLevel="0" collapsed="false">
      <c r="G192" s="0" t="str">
        <f aca="false">IF(A192="","",IF(AND(C192&lt;&gt;"",E192&lt;&gt;""),E192-C192,""))</f>
        <v/>
      </c>
      <c r="H192" s="0" t="str">
        <f aca="false">IF(A192="","",IF(G192="","",IF(G192&gt;5,"Delayed",IF(G192&gt;0,"At Risk","On Track"))))</f>
        <v/>
      </c>
    </row>
    <row r="193" customFormat="false" ht="15" hidden="false" customHeight="false" outlineLevel="0" collapsed="false">
      <c r="G193" s="0" t="str">
        <f aca="false">IF(A193="","",IF(AND(C193&lt;&gt;"",E193&lt;&gt;""),E193-C193,""))</f>
        <v/>
      </c>
      <c r="H193" s="0" t="str">
        <f aca="false">IF(A193="","",IF(G193="","",IF(G193&gt;5,"Delayed",IF(G193&gt;0,"At Risk","On Track"))))</f>
        <v/>
      </c>
    </row>
    <row r="194" customFormat="false" ht="15" hidden="false" customHeight="false" outlineLevel="0" collapsed="false">
      <c r="G194" s="0" t="str">
        <f aca="false">IF(A194="","",IF(AND(C194&lt;&gt;"",E194&lt;&gt;""),E194-C194,""))</f>
        <v/>
      </c>
      <c r="H194" s="0" t="str">
        <f aca="false">IF(A194="","",IF(G194="","",IF(G194&gt;5,"Delayed",IF(G194&gt;0,"At Risk","On Track"))))</f>
        <v/>
      </c>
    </row>
    <row r="195" customFormat="false" ht="15" hidden="false" customHeight="false" outlineLevel="0" collapsed="false">
      <c r="G195" s="0" t="str">
        <f aca="false">IF(A195="","",IF(AND(C195&lt;&gt;"",E195&lt;&gt;""),E195-C195,""))</f>
        <v/>
      </c>
      <c r="H195" s="0" t="str">
        <f aca="false">IF(A195="","",IF(G195="","",IF(G195&gt;5,"Delayed",IF(G195&gt;0,"At Risk","On Track"))))</f>
        <v/>
      </c>
    </row>
    <row r="196" customFormat="false" ht="15" hidden="false" customHeight="false" outlineLevel="0" collapsed="false">
      <c r="G196" s="0" t="str">
        <f aca="false">IF(A196="","",IF(AND(C196&lt;&gt;"",E196&lt;&gt;""),E196-C196,""))</f>
        <v/>
      </c>
      <c r="H196" s="0" t="str">
        <f aca="false">IF(A196="","",IF(G196="","",IF(G196&gt;5,"Delayed",IF(G196&gt;0,"At Risk","On Track"))))</f>
        <v/>
      </c>
    </row>
    <row r="197" customFormat="false" ht="15" hidden="false" customHeight="false" outlineLevel="0" collapsed="false">
      <c r="G197" s="0" t="str">
        <f aca="false">IF(A197="","",IF(AND(C197&lt;&gt;"",E197&lt;&gt;""),E197-C197,""))</f>
        <v/>
      </c>
      <c r="H197" s="0" t="str">
        <f aca="false">IF(A197="","",IF(G197="","",IF(G197&gt;5,"Delayed",IF(G197&gt;0,"At Risk","On Track"))))</f>
        <v/>
      </c>
    </row>
    <row r="198" customFormat="false" ht="15" hidden="false" customHeight="false" outlineLevel="0" collapsed="false">
      <c r="G198" s="0" t="str">
        <f aca="false">IF(A198="","",IF(AND(C198&lt;&gt;"",E198&lt;&gt;""),E198-C198,""))</f>
        <v/>
      </c>
      <c r="H198" s="0" t="str">
        <f aca="false">IF(A198="","",IF(G198="","",IF(G198&gt;5,"Delayed",IF(G198&gt;0,"At Risk","On Track"))))</f>
        <v/>
      </c>
    </row>
    <row r="199" customFormat="false" ht="15" hidden="false" customHeight="false" outlineLevel="0" collapsed="false">
      <c r="G199" s="0" t="str">
        <f aca="false">IF(A199="","",IF(AND(C199&lt;&gt;"",E199&lt;&gt;""),E199-C199,""))</f>
        <v/>
      </c>
      <c r="H199" s="0" t="str">
        <f aca="false">IF(A199="","",IF(G199="","",IF(G199&gt;5,"Delayed",IF(G199&gt;0,"At Risk","On Track"))))</f>
        <v/>
      </c>
    </row>
    <row r="200" customFormat="false" ht="15" hidden="false" customHeight="false" outlineLevel="0" collapsed="false">
      <c r="G200" s="0" t="str">
        <f aca="false">IF(A200="","",IF(AND(C200&lt;&gt;"",E200&lt;&gt;""),E200-C200,""))</f>
        <v/>
      </c>
      <c r="H200" s="0" t="str">
        <f aca="false">IF(A200="","",IF(G200="","",IF(G200&gt;5,"Delayed",IF(G200&gt;0,"At Risk","On Track"))))</f>
        <v/>
      </c>
    </row>
    <row r="201" customFormat="false" ht="15" hidden="false" customHeight="false" outlineLevel="0" collapsed="false">
      <c r="G201" s="0" t="str">
        <f aca="false">IF(A201="","",IF(AND(C201&lt;&gt;"",E201&lt;&gt;""),E201-C201,""))</f>
        <v/>
      </c>
      <c r="H201" s="0" t="str">
        <f aca="false">IF(A201="","",IF(G201="","",IF(G201&gt;5,"Delayed",IF(G201&gt;0,"At Risk","On Track"))))</f>
        <v/>
      </c>
    </row>
    <row r="202" customFormat="false" ht="15" hidden="false" customHeight="false" outlineLevel="0" collapsed="false">
      <c r="G202" s="0" t="str">
        <f aca="false">IF(A202="","",IF(AND(C202&lt;&gt;"",E202&lt;&gt;""),E202-C202,""))</f>
        <v/>
      </c>
      <c r="H202" s="0" t="str">
        <f aca="false">IF(A202="","",IF(G202="","",IF(G202&gt;5,"Delayed",IF(G202&gt;0,"At Risk","On Track"))))</f>
        <v/>
      </c>
    </row>
    <row r="203" customFormat="false" ht="15" hidden="false" customHeight="false" outlineLevel="0" collapsed="false">
      <c r="G203" s="0" t="str">
        <f aca="false">IF(A203="","",IF(AND(C203&lt;&gt;"",E203&lt;&gt;""),E203-C203,""))</f>
        <v/>
      </c>
      <c r="H203" s="0" t="str">
        <f aca="false">IF(A203="","",IF(G203="","",IF(G203&gt;5,"Delayed",IF(G203&gt;0,"At Risk","On Track"))))</f>
        <v/>
      </c>
    </row>
    <row r="204" customFormat="false" ht="15" hidden="false" customHeight="false" outlineLevel="0" collapsed="false">
      <c r="G204" s="0" t="str">
        <f aca="false">IF(A204="","",IF(AND(C204&lt;&gt;"",E204&lt;&gt;""),E204-C204,""))</f>
        <v/>
      </c>
      <c r="H204" s="0" t="str">
        <f aca="false">IF(A204="","",IF(G204="","",IF(G204&gt;5,"Delayed",IF(G204&gt;0,"At Risk","On Track"))))</f>
        <v/>
      </c>
    </row>
    <row r="205" customFormat="false" ht="15" hidden="false" customHeight="false" outlineLevel="0" collapsed="false">
      <c r="G205" s="0" t="str">
        <f aca="false">IF(A205="","",IF(AND(C205&lt;&gt;"",E205&lt;&gt;""),E205-C205,""))</f>
        <v/>
      </c>
      <c r="H205" s="0" t="str">
        <f aca="false">IF(A205="","",IF(G205="","",IF(G205&gt;5,"Delayed",IF(G205&gt;0,"At Risk","On Track"))))</f>
        <v/>
      </c>
    </row>
    <row r="206" customFormat="false" ht="15" hidden="false" customHeight="false" outlineLevel="0" collapsed="false">
      <c r="G206" s="0" t="str">
        <f aca="false">IF(A206="","",IF(AND(C206&lt;&gt;"",E206&lt;&gt;""),E206-C206,""))</f>
        <v/>
      </c>
      <c r="H206" s="0" t="str">
        <f aca="false">IF(A206="","",IF(G206="","",IF(G206&gt;5,"Delayed",IF(G206&gt;0,"At Risk","On Track"))))</f>
        <v/>
      </c>
    </row>
    <row r="207" customFormat="false" ht="15" hidden="false" customHeight="false" outlineLevel="0" collapsed="false">
      <c r="G207" s="0" t="str">
        <f aca="false">IF(A207="","",IF(AND(C207&lt;&gt;"",E207&lt;&gt;""),E207-C207,""))</f>
        <v/>
      </c>
      <c r="H207" s="0" t="str">
        <f aca="false">IF(A207="","",IF(G207="","",IF(G207&gt;5,"Delayed",IF(G207&gt;0,"At Risk","On Track"))))</f>
        <v/>
      </c>
    </row>
    <row r="208" customFormat="false" ht="15" hidden="false" customHeight="false" outlineLevel="0" collapsed="false">
      <c r="G208" s="0" t="str">
        <f aca="false">IF(A208="","",IF(AND(C208&lt;&gt;"",E208&lt;&gt;""),E208-C208,""))</f>
        <v/>
      </c>
      <c r="H208" s="0" t="str">
        <f aca="false">IF(A208="","",IF(G208="","",IF(G208&gt;5,"Delayed",IF(G208&gt;0,"At Risk","On Track"))))</f>
        <v/>
      </c>
    </row>
    <row r="209" customFormat="false" ht="15" hidden="false" customHeight="false" outlineLevel="0" collapsed="false">
      <c r="G209" s="0" t="str">
        <f aca="false">IF(A209="","",IF(AND(C209&lt;&gt;"",E209&lt;&gt;""),E209-C209,""))</f>
        <v/>
      </c>
      <c r="H209" s="0" t="str">
        <f aca="false">IF(A209="","",IF(G209="","",IF(G209&gt;5,"Delayed",IF(G209&gt;0,"At Risk","On Track"))))</f>
        <v/>
      </c>
    </row>
    <row r="210" customFormat="false" ht="15" hidden="false" customHeight="false" outlineLevel="0" collapsed="false">
      <c r="G210" s="0" t="str">
        <f aca="false">IF(A210="","",IF(AND(C210&lt;&gt;"",E210&lt;&gt;""),E210-C210,""))</f>
        <v/>
      </c>
      <c r="H210" s="0" t="str">
        <f aca="false">IF(A210="","",IF(G210="","",IF(G210&gt;5,"Delayed",IF(G210&gt;0,"At Risk","On Track"))))</f>
        <v/>
      </c>
    </row>
    <row r="211" customFormat="false" ht="15" hidden="false" customHeight="false" outlineLevel="0" collapsed="false">
      <c r="G211" s="0" t="str">
        <f aca="false">IF(A211="","",IF(AND(C211&lt;&gt;"",E211&lt;&gt;""),E211-C211,""))</f>
        <v/>
      </c>
      <c r="H211" s="0" t="str">
        <f aca="false">IF(A211="","",IF(G211="","",IF(G211&gt;5,"Delayed",IF(G211&gt;0,"At Risk","On Track"))))</f>
        <v/>
      </c>
    </row>
    <row r="212" customFormat="false" ht="15" hidden="false" customHeight="false" outlineLevel="0" collapsed="false">
      <c r="G212" s="0" t="str">
        <f aca="false">IF(A212="","",IF(AND(C212&lt;&gt;"",E212&lt;&gt;""),E212-C212,""))</f>
        <v/>
      </c>
      <c r="H212" s="0" t="str">
        <f aca="false">IF(A212="","",IF(G212="","",IF(G212&gt;5,"Delayed",IF(G212&gt;0,"At Risk","On Track"))))</f>
        <v/>
      </c>
    </row>
    <row r="213" customFormat="false" ht="15" hidden="false" customHeight="false" outlineLevel="0" collapsed="false">
      <c r="G213" s="0" t="str">
        <f aca="false">IF(A213="","",IF(AND(C213&lt;&gt;"",E213&lt;&gt;""),E213-C213,""))</f>
        <v/>
      </c>
      <c r="H213" s="0" t="str">
        <f aca="false">IF(A213="","",IF(G213="","",IF(G213&gt;5,"Delayed",IF(G213&gt;0,"At Risk","On Track"))))</f>
        <v/>
      </c>
    </row>
    <row r="214" customFormat="false" ht="15" hidden="false" customHeight="false" outlineLevel="0" collapsed="false">
      <c r="G214" s="0" t="str">
        <f aca="false">IF(A214="","",IF(AND(C214&lt;&gt;"",E214&lt;&gt;""),E214-C214,""))</f>
        <v/>
      </c>
      <c r="H214" s="0" t="str">
        <f aca="false">IF(A214="","",IF(G214="","",IF(G214&gt;5,"Delayed",IF(G214&gt;0,"At Risk","On Track"))))</f>
        <v/>
      </c>
    </row>
    <row r="215" customFormat="false" ht="15" hidden="false" customHeight="false" outlineLevel="0" collapsed="false">
      <c r="G215" s="0" t="str">
        <f aca="false">IF(A215="","",IF(AND(C215&lt;&gt;"",E215&lt;&gt;""),E215-C215,""))</f>
        <v/>
      </c>
      <c r="H215" s="0" t="str">
        <f aca="false">IF(A215="","",IF(G215="","",IF(G215&gt;5,"Delayed",IF(G215&gt;0,"At Risk","On Track"))))</f>
        <v/>
      </c>
    </row>
    <row r="216" customFormat="false" ht="15" hidden="false" customHeight="false" outlineLevel="0" collapsed="false">
      <c r="G216" s="0" t="str">
        <f aca="false">IF(A216="","",IF(AND(C216&lt;&gt;"",E216&lt;&gt;""),E216-C216,""))</f>
        <v/>
      </c>
      <c r="H216" s="0" t="str">
        <f aca="false">IF(A216="","",IF(G216="","",IF(G216&gt;5,"Delayed",IF(G216&gt;0,"At Risk","On Track"))))</f>
        <v/>
      </c>
    </row>
    <row r="217" customFormat="false" ht="15" hidden="false" customHeight="false" outlineLevel="0" collapsed="false">
      <c r="G217" s="0" t="str">
        <f aca="false">IF(A217="","",IF(AND(C217&lt;&gt;"",E217&lt;&gt;""),E217-C217,""))</f>
        <v/>
      </c>
      <c r="H217" s="0" t="str">
        <f aca="false">IF(A217="","",IF(G217="","",IF(G217&gt;5,"Delayed",IF(G217&gt;0,"At Risk","On Track"))))</f>
        <v/>
      </c>
    </row>
    <row r="218" customFormat="false" ht="15" hidden="false" customHeight="false" outlineLevel="0" collapsed="false">
      <c r="G218" s="0" t="str">
        <f aca="false">IF(A218="","",IF(AND(C218&lt;&gt;"",E218&lt;&gt;""),E218-C218,""))</f>
        <v/>
      </c>
      <c r="H218" s="0" t="str">
        <f aca="false">IF(A218="","",IF(G218="","",IF(G218&gt;5,"Delayed",IF(G218&gt;0,"At Risk","On Track"))))</f>
        <v/>
      </c>
    </row>
    <row r="219" customFormat="false" ht="15" hidden="false" customHeight="false" outlineLevel="0" collapsed="false">
      <c r="G219" s="0" t="str">
        <f aca="false">IF(A219="","",IF(AND(C219&lt;&gt;"",E219&lt;&gt;""),E219-C219,""))</f>
        <v/>
      </c>
      <c r="H219" s="0" t="str">
        <f aca="false">IF(A219="","",IF(G219="","",IF(G219&gt;5,"Delayed",IF(G219&gt;0,"At Risk","On Track"))))</f>
        <v/>
      </c>
    </row>
    <row r="220" customFormat="false" ht="15" hidden="false" customHeight="false" outlineLevel="0" collapsed="false">
      <c r="G220" s="0" t="str">
        <f aca="false">IF(A220="","",IF(AND(C220&lt;&gt;"",E220&lt;&gt;""),E220-C220,""))</f>
        <v/>
      </c>
      <c r="H220" s="0" t="str">
        <f aca="false">IF(A220="","",IF(G220="","",IF(G220&gt;5,"Delayed",IF(G220&gt;0,"At Risk","On Track"))))</f>
        <v/>
      </c>
    </row>
    <row r="221" customFormat="false" ht="15" hidden="false" customHeight="false" outlineLevel="0" collapsed="false">
      <c r="G221" s="0" t="str">
        <f aca="false">IF(A221="","",IF(AND(C221&lt;&gt;"",E221&lt;&gt;""),E221-C221,""))</f>
        <v/>
      </c>
      <c r="H221" s="0" t="str">
        <f aca="false">IF(A221="","",IF(G221="","",IF(G221&gt;5,"Delayed",IF(G221&gt;0,"At Risk","On Track"))))</f>
        <v/>
      </c>
    </row>
    <row r="222" customFormat="false" ht="15" hidden="false" customHeight="false" outlineLevel="0" collapsed="false">
      <c r="G222" s="0" t="str">
        <f aca="false">IF(A222="","",IF(AND(C222&lt;&gt;"",E222&lt;&gt;""),E222-C222,""))</f>
        <v/>
      </c>
      <c r="H222" s="0" t="str">
        <f aca="false">IF(A222="","",IF(G222="","",IF(G222&gt;5,"Delayed",IF(G222&gt;0,"At Risk","On Track"))))</f>
        <v/>
      </c>
    </row>
    <row r="223" customFormat="false" ht="15" hidden="false" customHeight="false" outlineLevel="0" collapsed="false">
      <c r="G223" s="0" t="str">
        <f aca="false">IF(A223="","",IF(AND(C223&lt;&gt;"",E223&lt;&gt;""),E223-C223,""))</f>
        <v/>
      </c>
      <c r="H223" s="0" t="str">
        <f aca="false">IF(A223="","",IF(G223="","",IF(G223&gt;5,"Delayed",IF(G223&gt;0,"At Risk","On Track"))))</f>
        <v/>
      </c>
    </row>
    <row r="224" customFormat="false" ht="15" hidden="false" customHeight="false" outlineLevel="0" collapsed="false">
      <c r="G224" s="0" t="str">
        <f aca="false">IF(A224="","",IF(AND(C224&lt;&gt;"",E224&lt;&gt;""),E224-C224,""))</f>
        <v/>
      </c>
      <c r="H224" s="0" t="str">
        <f aca="false">IF(A224="","",IF(G224="","",IF(G224&gt;5,"Delayed",IF(G224&gt;0,"At Risk","On Track"))))</f>
        <v/>
      </c>
    </row>
    <row r="225" customFormat="false" ht="15" hidden="false" customHeight="false" outlineLevel="0" collapsed="false">
      <c r="G225" s="0" t="str">
        <f aca="false">IF(A225="","",IF(AND(C225&lt;&gt;"",E225&lt;&gt;""),E225-C225,""))</f>
        <v/>
      </c>
      <c r="H225" s="0" t="str">
        <f aca="false">IF(A225="","",IF(G225="","",IF(G225&gt;5,"Delayed",IF(G225&gt;0,"At Risk","On Track"))))</f>
        <v/>
      </c>
    </row>
    <row r="226" customFormat="false" ht="15" hidden="false" customHeight="false" outlineLevel="0" collapsed="false">
      <c r="G226" s="0" t="str">
        <f aca="false">IF(A226="","",IF(AND(C226&lt;&gt;"",E226&lt;&gt;""),E226-C226,""))</f>
        <v/>
      </c>
      <c r="H226" s="0" t="str">
        <f aca="false">IF(A226="","",IF(G226="","",IF(G226&gt;5,"Delayed",IF(G226&gt;0,"At Risk","On Track"))))</f>
        <v/>
      </c>
    </row>
    <row r="227" customFormat="false" ht="15" hidden="false" customHeight="false" outlineLevel="0" collapsed="false">
      <c r="G227" s="0" t="str">
        <f aca="false">IF(A227="","",IF(AND(C227&lt;&gt;"",E227&lt;&gt;""),E227-C227,""))</f>
        <v/>
      </c>
      <c r="H227" s="0" t="str">
        <f aca="false">IF(A227="","",IF(G227="","",IF(G227&gt;5,"Delayed",IF(G227&gt;0,"At Risk","On Track"))))</f>
        <v/>
      </c>
    </row>
    <row r="228" customFormat="false" ht="15" hidden="false" customHeight="false" outlineLevel="0" collapsed="false">
      <c r="G228" s="0" t="str">
        <f aca="false">IF(A228="","",IF(AND(C228&lt;&gt;"",E228&lt;&gt;""),E228-C228,""))</f>
        <v/>
      </c>
      <c r="H228" s="0" t="str">
        <f aca="false">IF(A228="","",IF(G228="","",IF(G228&gt;5,"Delayed",IF(G228&gt;0,"At Risk","On Track"))))</f>
        <v/>
      </c>
    </row>
    <row r="229" customFormat="false" ht="15" hidden="false" customHeight="false" outlineLevel="0" collapsed="false">
      <c r="G229" s="0" t="str">
        <f aca="false">IF(A229="","",IF(AND(C229&lt;&gt;"",E229&lt;&gt;""),E229-C229,""))</f>
        <v/>
      </c>
      <c r="H229" s="0" t="str">
        <f aca="false">IF(A229="","",IF(G229="","",IF(G229&gt;5,"Delayed",IF(G229&gt;0,"At Risk","On Track"))))</f>
        <v/>
      </c>
    </row>
    <row r="230" customFormat="false" ht="15" hidden="false" customHeight="false" outlineLevel="0" collapsed="false">
      <c r="G230" s="0" t="str">
        <f aca="false">IF(A230="","",IF(AND(C230&lt;&gt;"",E230&lt;&gt;""),E230-C230,""))</f>
        <v/>
      </c>
      <c r="H230" s="0" t="str">
        <f aca="false">IF(A230="","",IF(G230="","",IF(G230&gt;5,"Delayed",IF(G230&gt;0,"At Risk","On Track"))))</f>
        <v/>
      </c>
    </row>
    <row r="231" customFormat="false" ht="15" hidden="false" customHeight="false" outlineLevel="0" collapsed="false">
      <c r="G231" s="0" t="str">
        <f aca="false">IF(A231="","",IF(AND(C231&lt;&gt;"",E231&lt;&gt;""),E231-C231,""))</f>
        <v/>
      </c>
      <c r="H231" s="0" t="str">
        <f aca="false">IF(A231="","",IF(G231="","",IF(G231&gt;5,"Delayed",IF(G231&gt;0,"At Risk","On Track"))))</f>
        <v/>
      </c>
    </row>
    <row r="232" customFormat="false" ht="15" hidden="false" customHeight="false" outlineLevel="0" collapsed="false">
      <c r="G232" s="0" t="str">
        <f aca="false">IF(A232="","",IF(AND(C232&lt;&gt;"",E232&lt;&gt;""),E232-C232,""))</f>
        <v/>
      </c>
      <c r="H232" s="0" t="str">
        <f aca="false">IF(A232="","",IF(G232="","",IF(G232&gt;5,"Delayed",IF(G232&gt;0,"At Risk","On Track"))))</f>
        <v/>
      </c>
    </row>
    <row r="233" customFormat="false" ht="15" hidden="false" customHeight="false" outlineLevel="0" collapsed="false">
      <c r="G233" s="0" t="str">
        <f aca="false">IF(A233="","",IF(AND(C233&lt;&gt;"",E233&lt;&gt;""),E233-C233,""))</f>
        <v/>
      </c>
      <c r="H233" s="0" t="str">
        <f aca="false">IF(A233="","",IF(G233="","",IF(G233&gt;5,"Delayed",IF(G233&gt;0,"At Risk","On Track"))))</f>
        <v/>
      </c>
    </row>
    <row r="234" customFormat="false" ht="15" hidden="false" customHeight="false" outlineLevel="0" collapsed="false">
      <c r="G234" s="0" t="str">
        <f aca="false">IF(A234="","",IF(AND(C234&lt;&gt;"",E234&lt;&gt;""),E234-C234,""))</f>
        <v/>
      </c>
      <c r="H234" s="0" t="str">
        <f aca="false">IF(A234="","",IF(G234="","",IF(G234&gt;5,"Delayed",IF(G234&gt;0,"At Risk","On Track"))))</f>
        <v/>
      </c>
    </row>
    <row r="235" customFormat="false" ht="15" hidden="false" customHeight="false" outlineLevel="0" collapsed="false">
      <c r="G235" s="0" t="str">
        <f aca="false">IF(A235="","",IF(AND(C235&lt;&gt;"",E235&lt;&gt;""),E235-C235,""))</f>
        <v/>
      </c>
      <c r="H235" s="0" t="str">
        <f aca="false">IF(A235="","",IF(G235="","",IF(G235&gt;5,"Delayed",IF(G235&gt;0,"At Risk","On Track"))))</f>
        <v/>
      </c>
    </row>
    <row r="236" customFormat="false" ht="15" hidden="false" customHeight="false" outlineLevel="0" collapsed="false">
      <c r="G236" s="0" t="str">
        <f aca="false">IF(A236="","",IF(AND(C236&lt;&gt;"",E236&lt;&gt;""),E236-C236,""))</f>
        <v/>
      </c>
      <c r="H236" s="0" t="str">
        <f aca="false">IF(A236="","",IF(G236="","",IF(G236&gt;5,"Delayed",IF(G236&gt;0,"At Risk","On Track"))))</f>
        <v/>
      </c>
    </row>
    <row r="237" customFormat="false" ht="15" hidden="false" customHeight="false" outlineLevel="0" collapsed="false">
      <c r="G237" s="0" t="str">
        <f aca="false">IF(A237="","",IF(AND(C237&lt;&gt;"",E237&lt;&gt;""),E237-C237,""))</f>
        <v/>
      </c>
      <c r="H237" s="0" t="str">
        <f aca="false">IF(A237="","",IF(G237="","",IF(G237&gt;5,"Delayed",IF(G237&gt;0,"At Risk","On Track"))))</f>
        <v/>
      </c>
    </row>
    <row r="238" customFormat="false" ht="15" hidden="false" customHeight="false" outlineLevel="0" collapsed="false">
      <c r="G238" s="0" t="str">
        <f aca="false">IF(A238="","",IF(AND(C238&lt;&gt;"",E238&lt;&gt;""),E238-C238,""))</f>
        <v/>
      </c>
      <c r="H238" s="0" t="str">
        <f aca="false">IF(A238="","",IF(G238="","",IF(G238&gt;5,"Delayed",IF(G238&gt;0,"At Risk","On Track"))))</f>
        <v/>
      </c>
    </row>
    <row r="239" customFormat="false" ht="15" hidden="false" customHeight="false" outlineLevel="0" collapsed="false">
      <c r="G239" s="0" t="str">
        <f aca="false">IF(A239="","",IF(AND(C239&lt;&gt;"",E239&lt;&gt;""),E239-C239,""))</f>
        <v/>
      </c>
      <c r="H239" s="0" t="str">
        <f aca="false">IF(A239="","",IF(G239="","",IF(G239&gt;5,"Delayed",IF(G239&gt;0,"At Risk","On Track"))))</f>
        <v/>
      </c>
    </row>
    <row r="240" customFormat="false" ht="15" hidden="false" customHeight="false" outlineLevel="0" collapsed="false">
      <c r="G240" s="0" t="str">
        <f aca="false">IF(A240="","",IF(AND(C240&lt;&gt;"",E240&lt;&gt;""),E240-C240,""))</f>
        <v/>
      </c>
      <c r="H240" s="0" t="str">
        <f aca="false">IF(A240="","",IF(G240="","",IF(G240&gt;5,"Delayed",IF(G240&gt;0,"At Risk","On Track"))))</f>
        <v/>
      </c>
    </row>
    <row r="241" customFormat="false" ht="15" hidden="false" customHeight="false" outlineLevel="0" collapsed="false">
      <c r="G241" s="0" t="str">
        <f aca="false">IF(A241="","",IF(AND(C241&lt;&gt;"",E241&lt;&gt;""),E241-C241,""))</f>
        <v/>
      </c>
      <c r="H241" s="0" t="str">
        <f aca="false">IF(A241="","",IF(G241="","",IF(G241&gt;5,"Delayed",IF(G241&gt;0,"At Risk","On Track"))))</f>
        <v/>
      </c>
    </row>
    <row r="242" customFormat="false" ht="15" hidden="false" customHeight="false" outlineLevel="0" collapsed="false">
      <c r="G242" s="0" t="str">
        <f aca="false">IF(A242="","",IF(AND(C242&lt;&gt;"",E242&lt;&gt;""),E242-C242,""))</f>
        <v/>
      </c>
      <c r="H242" s="0" t="str">
        <f aca="false">IF(A242="","",IF(G242="","",IF(G242&gt;5,"Delayed",IF(G242&gt;0,"At Risk","On Track"))))</f>
        <v/>
      </c>
    </row>
    <row r="243" customFormat="false" ht="15" hidden="false" customHeight="false" outlineLevel="0" collapsed="false">
      <c r="G243" s="0" t="str">
        <f aca="false">IF(A243="","",IF(AND(C243&lt;&gt;"",E243&lt;&gt;""),E243-C243,""))</f>
        <v/>
      </c>
      <c r="H243" s="0" t="str">
        <f aca="false">IF(A243="","",IF(G243="","",IF(G243&gt;5,"Delayed",IF(G243&gt;0,"At Risk","On Track"))))</f>
        <v/>
      </c>
    </row>
    <row r="244" customFormat="false" ht="15" hidden="false" customHeight="false" outlineLevel="0" collapsed="false">
      <c r="G244" s="0" t="str">
        <f aca="false">IF(A244="","",IF(AND(C244&lt;&gt;"",E244&lt;&gt;""),E244-C244,""))</f>
        <v/>
      </c>
      <c r="H244" s="0" t="str">
        <f aca="false">IF(A244="","",IF(G244="","",IF(G244&gt;5,"Delayed",IF(G244&gt;0,"At Risk","On Track"))))</f>
        <v/>
      </c>
    </row>
    <row r="245" customFormat="false" ht="15" hidden="false" customHeight="false" outlineLevel="0" collapsed="false">
      <c r="G245" s="0" t="str">
        <f aca="false">IF(A245="","",IF(AND(C245&lt;&gt;"",E245&lt;&gt;""),E245-C245,""))</f>
        <v/>
      </c>
      <c r="H245" s="0" t="str">
        <f aca="false">IF(A245="","",IF(G245="","",IF(G245&gt;5,"Delayed",IF(G245&gt;0,"At Risk","On Track"))))</f>
        <v/>
      </c>
    </row>
    <row r="246" customFormat="false" ht="15" hidden="false" customHeight="false" outlineLevel="0" collapsed="false">
      <c r="G246" s="0" t="str">
        <f aca="false">IF(A246="","",IF(AND(C246&lt;&gt;"",E246&lt;&gt;""),E246-C246,""))</f>
        <v/>
      </c>
      <c r="H246" s="0" t="str">
        <f aca="false">IF(A246="","",IF(G246="","",IF(G246&gt;5,"Delayed",IF(G246&gt;0,"At Risk","On Track"))))</f>
        <v/>
      </c>
    </row>
    <row r="247" customFormat="false" ht="15" hidden="false" customHeight="false" outlineLevel="0" collapsed="false">
      <c r="G247" s="0" t="str">
        <f aca="false">IF(A247="","",IF(AND(C247&lt;&gt;"",E247&lt;&gt;""),E247-C247,""))</f>
        <v/>
      </c>
      <c r="H247" s="0" t="str">
        <f aca="false">IF(A247="","",IF(G247="","",IF(G247&gt;5,"Delayed",IF(G247&gt;0,"At Risk","On Track"))))</f>
        <v/>
      </c>
    </row>
    <row r="248" customFormat="false" ht="15" hidden="false" customHeight="false" outlineLevel="0" collapsed="false">
      <c r="G248" s="0" t="str">
        <f aca="false">IF(A248="","",IF(AND(C248&lt;&gt;"",E248&lt;&gt;""),E248-C248,""))</f>
        <v/>
      </c>
      <c r="H248" s="0" t="str">
        <f aca="false">IF(A248="","",IF(G248="","",IF(G248&gt;5,"Delayed",IF(G248&gt;0,"At Risk","On Track"))))</f>
        <v/>
      </c>
    </row>
    <row r="249" customFormat="false" ht="15" hidden="false" customHeight="false" outlineLevel="0" collapsed="false">
      <c r="G249" s="0" t="str">
        <f aca="false">IF(A249="","",IF(AND(C249&lt;&gt;"",E249&lt;&gt;""),E249-C249,""))</f>
        <v/>
      </c>
      <c r="H249" s="0" t="str">
        <f aca="false">IF(A249="","",IF(G249="","",IF(G249&gt;5,"Delayed",IF(G249&gt;0,"At Risk","On Track"))))</f>
        <v/>
      </c>
    </row>
    <row r="250" customFormat="false" ht="15" hidden="false" customHeight="false" outlineLevel="0" collapsed="false">
      <c r="G250" s="0" t="str">
        <f aca="false">IF(A250="","",IF(AND(C250&lt;&gt;"",E250&lt;&gt;""),E250-C250,""))</f>
        <v/>
      </c>
      <c r="H250" s="0" t="str">
        <f aca="false">IF(A250="","",IF(G250="","",IF(G250&gt;5,"Delayed",IF(G250&gt;0,"At Risk","On Track"))))</f>
        <v/>
      </c>
    </row>
    <row r="251" customFormat="false" ht="15" hidden="false" customHeight="false" outlineLevel="0" collapsed="false">
      <c r="G251" s="0" t="str">
        <f aca="false">IF(A251="","",IF(AND(C251&lt;&gt;"",E251&lt;&gt;""),E251-C251,""))</f>
        <v/>
      </c>
      <c r="H251" s="0" t="str">
        <f aca="false">IF(A251="","",IF(G251="","",IF(G251&gt;5,"Delayed",IF(G251&gt;0,"At Risk","On Track"))))</f>
        <v/>
      </c>
    </row>
    <row r="252" customFormat="false" ht="15" hidden="false" customHeight="false" outlineLevel="0" collapsed="false">
      <c r="G252" s="0" t="str">
        <f aca="false">IF(A252="","",IF(AND(C252&lt;&gt;"",E252&lt;&gt;""),E252-C252,""))</f>
        <v/>
      </c>
      <c r="H252" s="0" t="str">
        <f aca="false">IF(A252="","",IF(G252="","",IF(G252&gt;5,"Delayed",IF(G252&gt;0,"At Risk","On Track"))))</f>
        <v/>
      </c>
    </row>
    <row r="253" customFormat="false" ht="15" hidden="false" customHeight="false" outlineLevel="0" collapsed="false">
      <c r="G253" s="0" t="str">
        <f aca="false">IF(A253="","",IF(AND(C253&lt;&gt;"",E253&lt;&gt;""),E253-C253,""))</f>
        <v/>
      </c>
      <c r="H253" s="0" t="str">
        <f aca="false">IF(A253="","",IF(G253="","",IF(G253&gt;5,"Delayed",IF(G253&gt;0,"At Risk","On Track"))))</f>
        <v/>
      </c>
    </row>
    <row r="254" customFormat="false" ht="15" hidden="false" customHeight="false" outlineLevel="0" collapsed="false">
      <c r="G254" s="0" t="str">
        <f aca="false">IF(A254="","",IF(AND(C254&lt;&gt;"",E254&lt;&gt;""),E254-C254,""))</f>
        <v/>
      </c>
      <c r="H254" s="0" t="str">
        <f aca="false">IF(A254="","",IF(G254="","",IF(G254&gt;5,"Delayed",IF(G254&gt;0,"At Risk","On Track"))))</f>
        <v/>
      </c>
    </row>
    <row r="255" customFormat="false" ht="15" hidden="false" customHeight="false" outlineLevel="0" collapsed="false">
      <c r="G255" s="0" t="str">
        <f aca="false">IF(A255="","",IF(AND(C255&lt;&gt;"",E255&lt;&gt;""),E255-C255,""))</f>
        <v/>
      </c>
      <c r="H255" s="0" t="str">
        <f aca="false">IF(A255="","",IF(G255="","",IF(G255&gt;5,"Delayed",IF(G255&gt;0,"At Risk","On Track"))))</f>
        <v/>
      </c>
    </row>
    <row r="256" customFormat="false" ht="15" hidden="false" customHeight="false" outlineLevel="0" collapsed="false">
      <c r="G256" s="0" t="str">
        <f aca="false">IF(A256="","",IF(AND(C256&lt;&gt;"",E256&lt;&gt;""),E256-C256,""))</f>
        <v/>
      </c>
      <c r="H256" s="0" t="str">
        <f aca="false">IF(A256="","",IF(G256="","",IF(G256&gt;5,"Delayed",IF(G256&gt;0,"At Risk","On Track"))))</f>
        <v/>
      </c>
    </row>
    <row r="257" customFormat="false" ht="15" hidden="false" customHeight="false" outlineLevel="0" collapsed="false">
      <c r="G257" s="0" t="str">
        <f aca="false">IF(A257="","",IF(AND(C257&lt;&gt;"",E257&lt;&gt;""),E257-C257,""))</f>
        <v/>
      </c>
      <c r="H257" s="0" t="str">
        <f aca="false">IF(A257="","",IF(G257="","",IF(G257&gt;5,"Delayed",IF(G257&gt;0,"At Risk","On Track"))))</f>
        <v/>
      </c>
    </row>
    <row r="258" customFormat="false" ht="15" hidden="false" customHeight="false" outlineLevel="0" collapsed="false">
      <c r="G258" s="0" t="str">
        <f aca="false">IF(A258="","",IF(AND(C258&lt;&gt;"",E258&lt;&gt;""),E258-C258,""))</f>
        <v/>
      </c>
      <c r="H258" s="0" t="str">
        <f aca="false">IF(A258="","",IF(G258="","",IF(G258&gt;5,"Delayed",IF(G258&gt;0,"At Risk","On Track"))))</f>
        <v/>
      </c>
    </row>
    <row r="259" customFormat="false" ht="15" hidden="false" customHeight="false" outlineLevel="0" collapsed="false">
      <c r="G259" s="0" t="str">
        <f aca="false">IF(A259="","",IF(AND(C259&lt;&gt;"",E259&lt;&gt;""),E259-C259,""))</f>
        <v/>
      </c>
      <c r="H259" s="0" t="str">
        <f aca="false">IF(A259="","",IF(G259="","",IF(G259&gt;5,"Delayed",IF(G259&gt;0,"At Risk","On Track"))))</f>
        <v/>
      </c>
    </row>
    <row r="260" customFormat="false" ht="15" hidden="false" customHeight="false" outlineLevel="0" collapsed="false">
      <c r="G260" s="0" t="str">
        <f aca="false">IF(A260="","",IF(AND(C260&lt;&gt;"",E260&lt;&gt;""),E260-C260,""))</f>
        <v/>
      </c>
      <c r="H260" s="0" t="str">
        <f aca="false">IF(A260="","",IF(G260="","",IF(G260&gt;5,"Delayed",IF(G260&gt;0,"At Risk","On Track"))))</f>
        <v/>
      </c>
    </row>
    <row r="261" customFormat="false" ht="15" hidden="false" customHeight="false" outlineLevel="0" collapsed="false">
      <c r="G261" s="0" t="str">
        <f aca="false">IF(A261="","",IF(AND(C261&lt;&gt;"",E261&lt;&gt;""),E261-C261,""))</f>
        <v/>
      </c>
      <c r="H261" s="0" t="str">
        <f aca="false">IF(A261="","",IF(G261="","",IF(G261&gt;5,"Delayed",IF(G261&gt;0,"At Risk","On Track"))))</f>
        <v/>
      </c>
    </row>
    <row r="262" customFormat="false" ht="15" hidden="false" customHeight="false" outlineLevel="0" collapsed="false">
      <c r="G262" s="0" t="str">
        <f aca="false">IF(A262="","",IF(AND(C262&lt;&gt;"",E262&lt;&gt;""),E262-C262,""))</f>
        <v/>
      </c>
      <c r="H262" s="0" t="str">
        <f aca="false">IF(A262="","",IF(G262="","",IF(G262&gt;5,"Delayed",IF(G262&gt;0,"At Risk","On Track"))))</f>
        <v/>
      </c>
    </row>
    <row r="263" customFormat="false" ht="15" hidden="false" customHeight="false" outlineLevel="0" collapsed="false">
      <c r="G263" s="0" t="str">
        <f aca="false">IF(A263="","",IF(AND(C263&lt;&gt;"",E263&lt;&gt;""),E263-C263,""))</f>
        <v/>
      </c>
      <c r="H263" s="0" t="str">
        <f aca="false">IF(A263="","",IF(G263="","",IF(G263&gt;5,"Delayed",IF(G263&gt;0,"At Risk","On Track"))))</f>
        <v/>
      </c>
    </row>
    <row r="264" customFormat="false" ht="15" hidden="false" customHeight="false" outlineLevel="0" collapsed="false">
      <c r="G264" s="0" t="str">
        <f aca="false">IF(A264="","",IF(AND(C264&lt;&gt;"",E264&lt;&gt;""),E264-C264,""))</f>
        <v/>
      </c>
      <c r="H264" s="0" t="str">
        <f aca="false">IF(A264="","",IF(G264="","",IF(G264&gt;5,"Delayed",IF(G264&gt;0,"At Risk","On Track"))))</f>
        <v/>
      </c>
    </row>
    <row r="265" customFormat="false" ht="15" hidden="false" customHeight="false" outlineLevel="0" collapsed="false">
      <c r="G265" s="0" t="str">
        <f aca="false">IF(A265="","",IF(AND(C265&lt;&gt;"",E265&lt;&gt;""),E265-C265,""))</f>
        <v/>
      </c>
      <c r="H265" s="0" t="str">
        <f aca="false">IF(A265="","",IF(G265="","",IF(G265&gt;5,"Delayed",IF(G265&gt;0,"At Risk","On Track"))))</f>
        <v/>
      </c>
    </row>
    <row r="266" customFormat="false" ht="15" hidden="false" customHeight="false" outlineLevel="0" collapsed="false">
      <c r="G266" s="0" t="str">
        <f aca="false">IF(A266="","",IF(AND(C266&lt;&gt;"",E266&lt;&gt;""),E266-C266,""))</f>
        <v/>
      </c>
      <c r="H266" s="0" t="str">
        <f aca="false">IF(A266="","",IF(G266="","",IF(G266&gt;5,"Delayed",IF(G266&gt;0,"At Risk","On Track"))))</f>
        <v/>
      </c>
    </row>
    <row r="267" customFormat="false" ht="15" hidden="false" customHeight="false" outlineLevel="0" collapsed="false">
      <c r="G267" s="0" t="str">
        <f aca="false">IF(A267="","",IF(AND(C267&lt;&gt;"",E267&lt;&gt;""),E267-C267,""))</f>
        <v/>
      </c>
      <c r="H267" s="0" t="str">
        <f aca="false">IF(A267="","",IF(G267="","",IF(G267&gt;5,"Delayed",IF(G267&gt;0,"At Risk","On Track"))))</f>
        <v/>
      </c>
    </row>
    <row r="268" customFormat="false" ht="15" hidden="false" customHeight="false" outlineLevel="0" collapsed="false">
      <c r="G268" s="0" t="str">
        <f aca="false">IF(A268="","",IF(AND(C268&lt;&gt;"",E268&lt;&gt;""),E268-C268,""))</f>
        <v/>
      </c>
      <c r="H268" s="0" t="str">
        <f aca="false">IF(A268="","",IF(G268="","",IF(G268&gt;5,"Delayed",IF(G268&gt;0,"At Risk","On Track"))))</f>
        <v/>
      </c>
    </row>
    <row r="269" customFormat="false" ht="15" hidden="false" customHeight="false" outlineLevel="0" collapsed="false">
      <c r="G269" s="0" t="str">
        <f aca="false">IF(A269="","",IF(AND(C269&lt;&gt;"",E269&lt;&gt;""),E269-C269,""))</f>
        <v/>
      </c>
      <c r="H269" s="0" t="str">
        <f aca="false">IF(A269="","",IF(G269="","",IF(G269&gt;5,"Delayed",IF(G269&gt;0,"At Risk","On Track"))))</f>
        <v/>
      </c>
    </row>
    <row r="270" customFormat="false" ht="15" hidden="false" customHeight="false" outlineLevel="0" collapsed="false">
      <c r="G270" s="0" t="str">
        <f aca="false">IF(A270="","",IF(AND(C270&lt;&gt;"",E270&lt;&gt;""),E270-C270,""))</f>
        <v/>
      </c>
      <c r="H270" s="0" t="str">
        <f aca="false">IF(A270="","",IF(G270="","",IF(G270&gt;5,"Delayed",IF(G270&gt;0,"At Risk","On Track"))))</f>
        <v/>
      </c>
    </row>
    <row r="271" customFormat="false" ht="15" hidden="false" customHeight="false" outlineLevel="0" collapsed="false">
      <c r="G271" s="0" t="str">
        <f aca="false">IF(A271="","",IF(AND(C271&lt;&gt;"",E271&lt;&gt;""),E271-C271,""))</f>
        <v/>
      </c>
      <c r="H271" s="0" t="str">
        <f aca="false">IF(A271="","",IF(G271="","",IF(G271&gt;5,"Delayed",IF(G271&gt;0,"At Risk","On Track"))))</f>
        <v/>
      </c>
    </row>
    <row r="272" customFormat="false" ht="15" hidden="false" customHeight="false" outlineLevel="0" collapsed="false">
      <c r="G272" s="0" t="str">
        <f aca="false">IF(A272="","",IF(AND(C272&lt;&gt;"",E272&lt;&gt;""),E272-C272,""))</f>
        <v/>
      </c>
      <c r="H272" s="0" t="str">
        <f aca="false">IF(A272="","",IF(G272="","",IF(G272&gt;5,"Delayed",IF(G272&gt;0,"At Risk","On Track"))))</f>
        <v/>
      </c>
    </row>
    <row r="273" customFormat="false" ht="15" hidden="false" customHeight="false" outlineLevel="0" collapsed="false">
      <c r="G273" s="0" t="str">
        <f aca="false">IF(A273="","",IF(AND(C273&lt;&gt;"",E273&lt;&gt;""),E273-C273,""))</f>
        <v/>
      </c>
      <c r="H273" s="0" t="str">
        <f aca="false">IF(A273="","",IF(G273="","",IF(G273&gt;5,"Delayed",IF(G273&gt;0,"At Risk","On Track"))))</f>
        <v/>
      </c>
    </row>
    <row r="274" customFormat="false" ht="15" hidden="false" customHeight="false" outlineLevel="0" collapsed="false">
      <c r="G274" s="0" t="str">
        <f aca="false">IF(A274="","",IF(AND(C274&lt;&gt;"",E274&lt;&gt;""),E274-C274,""))</f>
        <v/>
      </c>
      <c r="H274" s="0" t="str">
        <f aca="false">IF(A274="","",IF(G274="","",IF(G274&gt;5,"Delayed",IF(G274&gt;0,"At Risk","On Track"))))</f>
        <v/>
      </c>
    </row>
    <row r="275" customFormat="false" ht="15" hidden="false" customHeight="false" outlineLevel="0" collapsed="false">
      <c r="G275" s="0" t="str">
        <f aca="false">IF(A275="","",IF(AND(C275&lt;&gt;"",E275&lt;&gt;""),E275-C275,""))</f>
        <v/>
      </c>
      <c r="H275" s="0" t="str">
        <f aca="false">IF(A275="","",IF(G275="","",IF(G275&gt;5,"Delayed",IF(G275&gt;0,"At Risk","On Track"))))</f>
        <v/>
      </c>
    </row>
    <row r="276" customFormat="false" ht="15" hidden="false" customHeight="false" outlineLevel="0" collapsed="false">
      <c r="G276" s="0" t="str">
        <f aca="false">IF(A276="","",IF(AND(C276&lt;&gt;"",E276&lt;&gt;""),E276-C276,""))</f>
        <v/>
      </c>
      <c r="H276" s="0" t="str">
        <f aca="false">IF(A276="","",IF(G276="","",IF(G276&gt;5,"Delayed",IF(G276&gt;0,"At Risk","On Track"))))</f>
        <v/>
      </c>
    </row>
    <row r="277" customFormat="false" ht="15" hidden="false" customHeight="false" outlineLevel="0" collapsed="false">
      <c r="G277" s="0" t="str">
        <f aca="false">IF(A277="","",IF(AND(C277&lt;&gt;"",E277&lt;&gt;""),E277-C277,""))</f>
        <v/>
      </c>
      <c r="H277" s="0" t="str">
        <f aca="false">IF(A277="","",IF(G277="","",IF(G277&gt;5,"Delayed",IF(G277&gt;0,"At Risk","On Track"))))</f>
        <v/>
      </c>
    </row>
    <row r="278" customFormat="false" ht="15" hidden="false" customHeight="false" outlineLevel="0" collapsed="false">
      <c r="G278" s="0" t="str">
        <f aca="false">IF(A278="","",IF(AND(C278&lt;&gt;"",E278&lt;&gt;""),E278-C278,""))</f>
        <v/>
      </c>
      <c r="H278" s="0" t="str">
        <f aca="false">IF(A278="","",IF(G278="","",IF(G278&gt;5,"Delayed",IF(G278&gt;0,"At Risk","On Track"))))</f>
        <v/>
      </c>
    </row>
    <row r="279" customFormat="false" ht="15" hidden="false" customHeight="false" outlineLevel="0" collapsed="false">
      <c r="G279" s="0" t="str">
        <f aca="false">IF(A279="","",IF(AND(C279&lt;&gt;"",E279&lt;&gt;""),E279-C279,""))</f>
        <v/>
      </c>
      <c r="H279" s="0" t="str">
        <f aca="false">IF(A279="","",IF(G279="","",IF(G279&gt;5,"Delayed",IF(G279&gt;0,"At Risk","On Track"))))</f>
        <v/>
      </c>
    </row>
    <row r="280" customFormat="false" ht="15" hidden="false" customHeight="false" outlineLevel="0" collapsed="false">
      <c r="G280" s="0" t="str">
        <f aca="false">IF(A280="","",IF(AND(C280&lt;&gt;"",E280&lt;&gt;""),E280-C280,""))</f>
        <v/>
      </c>
      <c r="H280" s="0" t="str">
        <f aca="false">IF(A280="","",IF(G280="","",IF(G280&gt;5,"Delayed",IF(G280&gt;0,"At Risk","On Track"))))</f>
        <v/>
      </c>
    </row>
    <row r="281" customFormat="false" ht="15" hidden="false" customHeight="false" outlineLevel="0" collapsed="false">
      <c r="G281" s="0" t="str">
        <f aca="false">IF(A281="","",IF(AND(C281&lt;&gt;"",E281&lt;&gt;""),E281-C281,""))</f>
        <v/>
      </c>
      <c r="H281" s="0" t="str">
        <f aca="false">IF(A281="","",IF(G281="","",IF(G281&gt;5,"Delayed",IF(G281&gt;0,"At Risk","On Track"))))</f>
        <v/>
      </c>
    </row>
    <row r="282" customFormat="false" ht="15" hidden="false" customHeight="false" outlineLevel="0" collapsed="false">
      <c r="G282" s="0" t="str">
        <f aca="false">IF(A282="","",IF(AND(C282&lt;&gt;"",E282&lt;&gt;""),E282-C282,""))</f>
        <v/>
      </c>
      <c r="H282" s="0" t="str">
        <f aca="false">IF(A282="","",IF(G282="","",IF(G282&gt;5,"Delayed",IF(G282&gt;0,"At Risk","On Track"))))</f>
        <v/>
      </c>
    </row>
    <row r="283" customFormat="false" ht="15" hidden="false" customHeight="false" outlineLevel="0" collapsed="false">
      <c r="G283" s="0" t="str">
        <f aca="false">IF(A283="","",IF(AND(C283&lt;&gt;"",E283&lt;&gt;""),E283-C283,""))</f>
        <v/>
      </c>
      <c r="H283" s="0" t="str">
        <f aca="false">IF(A283="","",IF(G283="","",IF(G283&gt;5,"Delayed",IF(G283&gt;0,"At Risk","On Track"))))</f>
        <v/>
      </c>
    </row>
    <row r="284" customFormat="false" ht="15" hidden="false" customHeight="false" outlineLevel="0" collapsed="false">
      <c r="G284" s="0" t="str">
        <f aca="false">IF(A284="","",IF(AND(C284&lt;&gt;"",E284&lt;&gt;""),E284-C284,""))</f>
        <v/>
      </c>
      <c r="H284" s="0" t="str">
        <f aca="false">IF(A284="","",IF(G284="","",IF(G284&gt;5,"Delayed",IF(G284&gt;0,"At Risk","On Track"))))</f>
        <v/>
      </c>
    </row>
    <row r="285" customFormat="false" ht="15" hidden="false" customHeight="false" outlineLevel="0" collapsed="false">
      <c r="G285" s="0" t="str">
        <f aca="false">IF(A285="","",IF(AND(C285&lt;&gt;"",E285&lt;&gt;""),E285-C285,""))</f>
        <v/>
      </c>
      <c r="H285" s="0" t="str">
        <f aca="false">IF(A285="","",IF(G285="","",IF(G285&gt;5,"Delayed",IF(G285&gt;0,"At Risk","On Track"))))</f>
        <v/>
      </c>
    </row>
    <row r="286" customFormat="false" ht="15" hidden="false" customHeight="false" outlineLevel="0" collapsed="false">
      <c r="G286" s="0" t="str">
        <f aca="false">IF(A286="","",IF(AND(C286&lt;&gt;"",E286&lt;&gt;""),E286-C286,""))</f>
        <v/>
      </c>
      <c r="H286" s="0" t="str">
        <f aca="false">IF(A286="","",IF(G286="","",IF(G286&gt;5,"Delayed",IF(G286&gt;0,"At Risk","On Track"))))</f>
        <v/>
      </c>
    </row>
    <row r="287" customFormat="false" ht="15" hidden="false" customHeight="false" outlineLevel="0" collapsed="false">
      <c r="G287" s="0" t="str">
        <f aca="false">IF(A287="","",IF(AND(C287&lt;&gt;"",E287&lt;&gt;""),E287-C287,""))</f>
        <v/>
      </c>
      <c r="H287" s="0" t="str">
        <f aca="false">IF(A287="","",IF(G287="","",IF(G287&gt;5,"Delayed",IF(G287&gt;0,"At Risk","On Track"))))</f>
        <v/>
      </c>
    </row>
    <row r="288" customFormat="false" ht="15" hidden="false" customHeight="false" outlineLevel="0" collapsed="false">
      <c r="G288" s="0" t="str">
        <f aca="false">IF(A288="","",IF(AND(C288&lt;&gt;"",E288&lt;&gt;""),E288-C288,""))</f>
        <v/>
      </c>
      <c r="H288" s="0" t="str">
        <f aca="false">IF(A288="","",IF(G288="","",IF(G288&gt;5,"Delayed",IF(G288&gt;0,"At Risk","On Track"))))</f>
        <v/>
      </c>
    </row>
    <row r="289" customFormat="false" ht="15" hidden="false" customHeight="false" outlineLevel="0" collapsed="false">
      <c r="G289" s="0" t="str">
        <f aca="false">IF(A289="","",IF(AND(C289&lt;&gt;"",E289&lt;&gt;""),E289-C289,""))</f>
        <v/>
      </c>
      <c r="H289" s="0" t="str">
        <f aca="false">IF(A289="","",IF(G289="","",IF(G289&gt;5,"Delayed",IF(G289&gt;0,"At Risk","On Track"))))</f>
        <v/>
      </c>
    </row>
    <row r="290" customFormat="false" ht="15" hidden="false" customHeight="false" outlineLevel="0" collapsed="false">
      <c r="G290" s="0" t="str">
        <f aca="false">IF(A290="","",IF(AND(C290&lt;&gt;"",E290&lt;&gt;""),E290-C290,""))</f>
        <v/>
      </c>
      <c r="H290" s="0" t="str">
        <f aca="false">IF(A290="","",IF(G290="","",IF(G290&gt;5,"Delayed",IF(G290&gt;0,"At Risk","On Track"))))</f>
        <v/>
      </c>
    </row>
    <row r="291" customFormat="false" ht="15" hidden="false" customHeight="false" outlineLevel="0" collapsed="false">
      <c r="G291" s="0" t="str">
        <f aca="false">IF(A291="","",IF(AND(C291&lt;&gt;"",E291&lt;&gt;""),E291-C291,""))</f>
        <v/>
      </c>
      <c r="H291" s="0" t="str">
        <f aca="false">IF(A291="","",IF(G291="","",IF(G291&gt;5,"Delayed",IF(G291&gt;0,"At Risk","On Track"))))</f>
        <v/>
      </c>
    </row>
    <row r="292" customFormat="false" ht="15" hidden="false" customHeight="false" outlineLevel="0" collapsed="false">
      <c r="G292" s="0" t="str">
        <f aca="false">IF(A292="","",IF(AND(C292&lt;&gt;"",E292&lt;&gt;""),E292-C292,""))</f>
        <v/>
      </c>
      <c r="H292" s="0" t="str">
        <f aca="false">IF(A292="","",IF(G292="","",IF(G292&gt;5,"Delayed",IF(G292&gt;0,"At Risk","On Track"))))</f>
        <v/>
      </c>
    </row>
    <row r="293" customFormat="false" ht="15" hidden="false" customHeight="false" outlineLevel="0" collapsed="false">
      <c r="G293" s="0" t="str">
        <f aca="false">IF(A293="","",IF(AND(C293&lt;&gt;"",E293&lt;&gt;""),E293-C293,""))</f>
        <v/>
      </c>
      <c r="H293" s="0" t="str">
        <f aca="false">IF(A293="","",IF(G293="","",IF(G293&gt;5,"Delayed",IF(G293&gt;0,"At Risk","On Track"))))</f>
        <v/>
      </c>
    </row>
    <row r="294" customFormat="false" ht="15" hidden="false" customHeight="false" outlineLevel="0" collapsed="false">
      <c r="G294" s="0" t="str">
        <f aca="false">IF(A294="","",IF(AND(C294&lt;&gt;"",E294&lt;&gt;""),E294-C294,""))</f>
        <v/>
      </c>
      <c r="H294" s="0" t="str">
        <f aca="false">IF(A294="","",IF(G294="","",IF(G294&gt;5,"Delayed",IF(G294&gt;0,"At Risk","On Track"))))</f>
        <v/>
      </c>
    </row>
    <row r="295" customFormat="false" ht="15" hidden="false" customHeight="false" outlineLevel="0" collapsed="false">
      <c r="G295" s="0" t="str">
        <f aca="false">IF(A295="","",IF(AND(C295&lt;&gt;"",E295&lt;&gt;""),E295-C295,""))</f>
        <v/>
      </c>
      <c r="H295" s="0" t="str">
        <f aca="false">IF(A295="","",IF(G295="","",IF(G295&gt;5,"Delayed",IF(G295&gt;0,"At Risk","On Track"))))</f>
        <v/>
      </c>
    </row>
    <row r="296" customFormat="false" ht="15" hidden="false" customHeight="false" outlineLevel="0" collapsed="false">
      <c r="G296" s="0" t="str">
        <f aca="false">IF(A296="","",IF(AND(C296&lt;&gt;"",E296&lt;&gt;""),E296-C296,""))</f>
        <v/>
      </c>
      <c r="H296" s="0" t="str">
        <f aca="false">IF(A296="","",IF(G296="","",IF(G296&gt;5,"Delayed",IF(G296&gt;0,"At Risk","On Track"))))</f>
        <v/>
      </c>
    </row>
    <row r="297" customFormat="false" ht="15" hidden="false" customHeight="false" outlineLevel="0" collapsed="false">
      <c r="G297" s="0" t="str">
        <f aca="false">IF(A297="","",IF(AND(C297&lt;&gt;"",E297&lt;&gt;""),E297-C297,""))</f>
        <v/>
      </c>
      <c r="H297" s="0" t="str">
        <f aca="false">IF(A297="","",IF(G297="","",IF(G297&gt;5,"Delayed",IF(G297&gt;0,"At Risk","On Track"))))</f>
        <v/>
      </c>
    </row>
    <row r="298" customFormat="false" ht="15" hidden="false" customHeight="false" outlineLevel="0" collapsed="false">
      <c r="G298" s="0" t="str">
        <f aca="false">IF(A298="","",IF(AND(C298&lt;&gt;"",E298&lt;&gt;""),E298-C298,""))</f>
        <v/>
      </c>
      <c r="H298" s="0" t="str">
        <f aca="false">IF(A298="","",IF(G298="","",IF(G298&gt;5,"Delayed",IF(G298&gt;0,"At Risk","On Track"))))</f>
        <v/>
      </c>
    </row>
    <row r="299" customFormat="false" ht="15" hidden="false" customHeight="false" outlineLevel="0" collapsed="false">
      <c r="G299" s="0" t="str">
        <f aca="false">IF(A299="","",IF(AND(C299&lt;&gt;"",E299&lt;&gt;""),E299-C299,""))</f>
        <v/>
      </c>
      <c r="H299" s="0" t="str">
        <f aca="false">IF(A299="","",IF(G299="","",IF(G299&gt;5,"Delayed",IF(G299&gt;0,"At Risk","On Track"))))</f>
        <v/>
      </c>
    </row>
    <row r="302" customFormat="false" ht="15" hidden="false" customHeight="false" outlineLevel="0" collapsed="false">
      <c r="A302" s="3" t="s">
        <v>403</v>
      </c>
    </row>
  </sheetData>
  <conditionalFormatting sqref="H2:H300">
    <cfRule type="cellIs" priority="2" operator="equal" aboveAverage="0" equalAverage="0" bottom="0" percent="0" rank="0" text="" dxfId="1">
      <formula>"Delayed"</formula>
    </cfRule>
    <cfRule type="cellIs" priority="3" operator="equal" aboveAverage="0" equalAverage="0" bottom="0" percent="0" rank="0" text="" dxfId="0">
      <formula>"At Risk"</formula>
    </cfRule>
  </conditionalFormatting>
  <dataValidations count="1">
    <dataValidation allowBlank="true" errorStyle="stop" operator="between" showDropDown="false" showErrorMessage="false" showInputMessage="false" sqref="I2:I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F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19" t="s">
        <v>404</v>
      </c>
      <c r="B1" s="19" t="s">
        <v>405</v>
      </c>
      <c r="C1" s="19" t="s">
        <v>406</v>
      </c>
      <c r="D1" s="19" t="s">
        <v>208</v>
      </c>
      <c r="E1" s="19" t="s">
        <v>396</v>
      </c>
      <c r="F1" s="19" t="s">
        <v>397</v>
      </c>
    </row>
    <row r="2" customFormat="false" ht="15" hidden="false" customHeight="false" outlineLevel="0" collapsed="false">
      <c r="A2" s="20" t="s">
        <v>407</v>
      </c>
      <c r="B2" s="20" t="s">
        <v>408</v>
      </c>
      <c r="C2" s="20" t="s">
        <v>408</v>
      </c>
      <c r="D2" s="22" t="str">
        <f aca="true">IF(A2="","",IF(C2&lt;&gt;"",IF(C2&lt;=B2,"Met - On Time","Met - Late"),IF(TODAY()&gt;B2,"Missed",IF(B2-TODAY()&lt;=14,"Due Soon","On Track"))))</f>
        <v>Met - On Time</v>
      </c>
      <c r="E2" s="20" t="s">
        <v>409</v>
      </c>
      <c r="F2" s="20"/>
    </row>
    <row r="3" customFormat="false" ht="15" hidden="false" customHeight="false" outlineLevel="0" collapsed="false">
      <c r="A3" s="20" t="s">
        <v>410</v>
      </c>
      <c r="B3" s="20" t="s">
        <v>411</v>
      </c>
      <c r="C3" s="20" t="s">
        <v>412</v>
      </c>
      <c r="D3" s="22" t="str">
        <f aca="true">IF(A3="","",IF(C3&lt;&gt;"",IF(C3&lt;=B3,"Met - On Time","Met - Late"),IF(TODAY()&gt;B3,"Missed",IF(B3-TODAY()&lt;=14,"Due Soon","On Track"))))</f>
        <v>Met - On Time</v>
      </c>
      <c r="E3" s="20" t="s">
        <v>409</v>
      </c>
      <c r="F3" s="20"/>
    </row>
    <row r="4" customFormat="false" ht="15" hidden="false" customHeight="false" outlineLevel="0" collapsed="false">
      <c r="A4" s="20" t="s">
        <v>413</v>
      </c>
      <c r="B4" s="20" t="s">
        <v>414</v>
      </c>
      <c r="C4" s="20"/>
      <c r="D4" s="22" t="str">
        <f aca="true">IF(A4="","",IF(C4&lt;&gt;"",IF(C4&lt;=B4,"Met - On Time","Met - Late"),IF(TODAY()&gt;B4,"Missed",IF(B4-TODAY()&lt;=14,"Due Soon","On Track"))))</f>
        <v>On Track</v>
      </c>
      <c r="E4" s="20" t="s">
        <v>409</v>
      </c>
      <c r="F4" s="20" t="s">
        <v>415</v>
      </c>
    </row>
    <row r="5" customFormat="false" ht="15" hidden="false" customHeight="false" outlineLevel="0" collapsed="false">
      <c r="A5" s="20" t="s">
        <v>416</v>
      </c>
      <c r="B5" s="20" t="s">
        <v>417</v>
      </c>
      <c r="C5" s="20"/>
      <c r="D5" s="22" t="str">
        <f aca="true">IF(A5="","",IF(C5&lt;&gt;"",IF(C5&lt;=B5,"Met - On Time","Met - Late"),IF(TODAY()&gt;B5,"Missed",IF(B5-TODAY()&lt;=14,"Due Soon","On Track"))))</f>
        <v>On Track</v>
      </c>
      <c r="E5" s="20" t="s">
        <v>409</v>
      </c>
      <c r="F5" s="20"/>
    </row>
    <row r="6" customFormat="false" ht="15" hidden="false" customHeight="false" outlineLevel="0" collapsed="false">
      <c r="D6" s="0" t="str">
        <f aca="true">IF(A6="","",IF(C6&lt;&gt;"",IF(C6&lt;=B6,"Met - On Time","Met - Late"),IF(TODAY()&gt;B6,"Missed",IF(B6-TODAY()&lt;=14,"Due Soon","On Track"))))</f>
        <v/>
      </c>
    </row>
    <row r="7" customFormat="false" ht="15" hidden="false" customHeight="false" outlineLevel="0" collapsed="false">
      <c r="D7" s="0" t="str">
        <f aca="true">IF(A7="","",IF(C7&lt;&gt;"",IF(C7&lt;=B7,"Met - On Time","Met - Late"),IF(TODAY()&gt;B7,"Missed",IF(B7-TODAY()&lt;=14,"Due Soon","On Track"))))</f>
        <v/>
      </c>
    </row>
    <row r="8" customFormat="false" ht="15" hidden="false" customHeight="false" outlineLevel="0" collapsed="false">
      <c r="D8" s="0" t="str">
        <f aca="true">IF(A8="","",IF(C8&lt;&gt;"",IF(C8&lt;=B8,"Met - On Time","Met - Late"),IF(TODAY()&gt;B8,"Missed",IF(B8-TODAY()&lt;=14,"Due Soon","On Track"))))</f>
        <v/>
      </c>
    </row>
    <row r="9" customFormat="false" ht="15" hidden="false" customHeight="false" outlineLevel="0" collapsed="false">
      <c r="D9" s="0" t="str">
        <f aca="true">IF(A9="","",IF(C9&lt;&gt;"",IF(C9&lt;=B9,"Met - On Time","Met - Late"),IF(TODAY()&gt;B9,"Missed",IF(B9-TODAY()&lt;=14,"Due Soon","On Track"))))</f>
        <v/>
      </c>
    </row>
    <row r="10" customFormat="false" ht="15" hidden="false" customHeight="false" outlineLevel="0" collapsed="false">
      <c r="D10" s="0" t="str">
        <f aca="true">IF(A10="","",IF(C10&lt;&gt;"",IF(C10&lt;=B10,"Met - On Time","Met - Late"),IF(TODAY()&gt;B10,"Missed",IF(B10-TODAY()&lt;=14,"Due Soon","On Track"))))</f>
        <v/>
      </c>
    </row>
    <row r="11" customFormat="false" ht="15" hidden="false" customHeight="false" outlineLevel="0" collapsed="false">
      <c r="D11" s="0" t="str">
        <f aca="true">IF(A11="","",IF(C11&lt;&gt;"",IF(C11&lt;=B11,"Met - On Time","Met - Late"),IF(TODAY()&gt;B11,"Missed",IF(B11-TODAY()&lt;=14,"Due Soon","On Track"))))</f>
        <v/>
      </c>
    </row>
    <row r="12" customFormat="false" ht="15" hidden="false" customHeight="false" outlineLevel="0" collapsed="false">
      <c r="D12" s="0" t="str">
        <f aca="true">IF(A12="","",IF(C12&lt;&gt;"",IF(C12&lt;=B12,"Met - On Time","Met - Late"),IF(TODAY()&gt;B12,"Missed",IF(B12-TODAY()&lt;=14,"Due Soon","On Track"))))</f>
        <v/>
      </c>
    </row>
    <row r="13" customFormat="false" ht="15" hidden="false" customHeight="false" outlineLevel="0" collapsed="false">
      <c r="D13" s="0" t="str">
        <f aca="true">IF(A13="","",IF(C13&lt;&gt;"",IF(C13&lt;=B13,"Met - On Time","Met - Late"),IF(TODAY()&gt;B13,"Missed",IF(B13-TODAY()&lt;=14,"Due Soon","On Track"))))</f>
        <v/>
      </c>
    </row>
    <row r="14" customFormat="false" ht="15" hidden="false" customHeight="false" outlineLevel="0" collapsed="false">
      <c r="D14" s="0" t="str">
        <f aca="true">IF(A14="","",IF(C14&lt;&gt;"",IF(C14&lt;=B14,"Met - On Time","Met - Late"),IF(TODAY()&gt;B14,"Missed",IF(B14-TODAY()&lt;=14,"Due Soon","On Track"))))</f>
        <v/>
      </c>
    </row>
    <row r="15" customFormat="false" ht="15" hidden="false" customHeight="false" outlineLevel="0" collapsed="false">
      <c r="D15" s="0" t="str">
        <f aca="true">IF(A15="","",IF(C15&lt;&gt;"",IF(C15&lt;=B15,"Met - On Time","Met - Late"),IF(TODAY()&gt;B15,"Missed",IF(B15-TODAY()&lt;=14,"Due Soon","On Track"))))</f>
        <v/>
      </c>
    </row>
    <row r="16" customFormat="false" ht="15" hidden="false" customHeight="false" outlineLevel="0" collapsed="false">
      <c r="D16" s="0" t="str">
        <f aca="true">IF(A16="","",IF(C16&lt;&gt;"",IF(C16&lt;=B16,"Met - On Time","Met - Late"),IF(TODAY()&gt;B16,"Missed",IF(B16-TODAY()&lt;=14,"Due Soon","On Track"))))</f>
        <v/>
      </c>
    </row>
    <row r="17" customFormat="false" ht="15" hidden="false" customHeight="false" outlineLevel="0" collapsed="false">
      <c r="D17" s="0" t="str">
        <f aca="true">IF(A17="","",IF(C17&lt;&gt;"",IF(C17&lt;=B17,"Met - On Time","Met - Late"),IF(TODAY()&gt;B17,"Missed",IF(B17-TODAY()&lt;=14,"Due Soon","On Track"))))</f>
        <v/>
      </c>
    </row>
    <row r="18" customFormat="false" ht="15" hidden="false" customHeight="false" outlineLevel="0" collapsed="false">
      <c r="D18" s="0" t="str">
        <f aca="true">IF(A18="","",IF(C18&lt;&gt;"",IF(C18&lt;=B18,"Met - On Time","Met - Late"),IF(TODAY()&gt;B18,"Missed",IF(B18-TODAY()&lt;=14,"Due Soon","On Track"))))</f>
        <v/>
      </c>
    </row>
    <row r="19" customFormat="false" ht="15" hidden="false" customHeight="false" outlineLevel="0" collapsed="false">
      <c r="D19" s="0" t="str">
        <f aca="true">IF(A19="","",IF(C19&lt;&gt;"",IF(C19&lt;=B19,"Met - On Time","Met - Late"),IF(TODAY()&gt;B19,"Missed",IF(B19-TODAY()&lt;=14,"Due Soon","On Track"))))</f>
        <v/>
      </c>
    </row>
    <row r="20" customFormat="false" ht="15" hidden="false" customHeight="false" outlineLevel="0" collapsed="false">
      <c r="D20" s="0" t="str">
        <f aca="true">IF(A20="","",IF(C20&lt;&gt;"",IF(C20&lt;=B20,"Met - On Time","Met - Late"),IF(TODAY()&gt;B20,"Missed",IF(B20-TODAY()&lt;=14,"Due Soon","On Track"))))</f>
        <v/>
      </c>
    </row>
    <row r="21" customFormat="false" ht="15" hidden="false" customHeight="false" outlineLevel="0" collapsed="false">
      <c r="D21" s="0" t="str">
        <f aca="true">IF(A21="","",IF(C21&lt;&gt;"",IF(C21&lt;=B21,"Met - On Time","Met - Late"),IF(TODAY()&gt;B21,"Missed",IF(B21-TODAY()&lt;=14,"Due Soon","On Track"))))</f>
        <v/>
      </c>
    </row>
    <row r="22" customFormat="false" ht="15" hidden="false" customHeight="false" outlineLevel="0" collapsed="false">
      <c r="D22" s="0" t="str">
        <f aca="true">IF(A22="","",IF(C22&lt;&gt;"",IF(C22&lt;=B22,"Met - On Time","Met - Late"),IF(TODAY()&gt;B22,"Missed",IF(B22-TODAY()&lt;=14,"Due Soon","On Track"))))</f>
        <v/>
      </c>
    </row>
    <row r="23" customFormat="false" ht="15" hidden="false" customHeight="false" outlineLevel="0" collapsed="false">
      <c r="D23" s="0" t="str">
        <f aca="true">IF(A23="","",IF(C23&lt;&gt;"",IF(C23&lt;=B23,"Met - On Time","Met - Late"),IF(TODAY()&gt;B23,"Missed",IF(B23-TODAY()&lt;=14,"Due Soon","On Track"))))</f>
        <v/>
      </c>
    </row>
    <row r="24" customFormat="false" ht="15" hidden="false" customHeight="false" outlineLevel="0" collapsed="false">
      <c r="D24" s="0" t="str">
        <f aca="true">IF(A24="","",IF(C24&lt;&gt;"",IF(C24&lt;=B24,"Met - On Time","Met - Late"),IF(TODAY()&gt;B24,"Missed",IF(B24-TODAY()&lt;=14,"Due Soon","On Track"))))</f>
        <v/>
      </c>
    </row>
    <row r="25" customFormat="false" ht="15" hidden="false" customHeight="false" outlineLevel="0" collapsed="false">
      <c r="D25" s="0" t="str">
        <f aca="true">IF(A25="","",IF(C25&lt;&gt;"",IF(C25&lt;=B25,"Met - On Time","Met - Late"),IF(TODAY()&gt;B25,"Missed",IF(B25-TODAY()&lt;=14,"Due Soon","On Track"))))</f>
        <v/>
      </c>
    </row>
    <row r="26" customFormat="false" ht="15" hidden="false" customHeight="false" outlineLevel="0" collapsed="false">
      <c r="D26" s="0" t="str">
        <f aca="true">IF(A26="","",IF(C26&lt;&gt;"",IF(C26&lt;=B26,"Met - On Time","Met - Late"),IF(TODAY()&gt;B26,"Missed",IF(B26-TODAY()&lt;=14,"Due Soon","On Track"))))</f>
        <v/>
      </c>
    </row>
    <row r="27" customFormat="false" ht="15" hidden="false" customHeight="false" outlineLevel="0" collapsed="false">
      <c r="D27" s="0" t="str">
        <f aca="true">IF(A27="","",IF(C27&lt;&gt;"",IF(C27&lt;=B27,"Met - On Time","Met - Late"),IF(TODAY()&gt;B27,"Missed",IF(B27-TODAY()&lt;=14,"Due Soon","On Track"))))</f>
        <v/>
      </c>
    </row>
    <row r="28" customFormat="false" ht="15" hidden="false" customHeight="false" outlineLevel="0" collapsed="false">
      <c r="D28" s="0" t="str">
        <f aca="true">IF(A28="","",IF(C28&lt;&gt;"",IF(C28&lt;=B28,"Met - On Time","Met - Late"),IF(TODAY()&gt;B28,"Missed",IF(B28-TODAY()&lt;=14,"Due Soon","On Track"))))</f>
        <v/>
      </c>
    </row>
    <row r="29" customFormat="false" ht="15" hidden="false" customHeight="false" outlineLevel="0" collapsed="false">
      <c r="D29" s="0" t="str">
        <f aca="true">IF(A29="","",IF(C29&lt;&gt;"",IF(C29&lt;=B29,"Met - On Time","Met - Late"),IF(TODAY()&gt;B29,"Missed",IF(B29-TODAY()&lt;=14,"Due Soon","On Track"))))</f>
        <v/>
      </c>
    </row>
    <row r="30" customFormat="false" ht="15" hidden="false" customHeight="false" outlineLevel="0" collapsed="false">
      <c r="D30" s="0" t="str">
        <f aca="true">IF(A30="","",IF(C30&lt;&gt;"",IF(C30&lt;=B30,"Met - On Time","Met - Late"),IF(TODAY()&gt;B30,"Missed",IF(B30-TODAY()&lt;=14,"Due Soon","On Track"))))</f>
        <v/>
      </c>
    </row>
    <row r="31" customFormat="false" ht="15" hidden="false" customHeight="false" outlineLevel="0" collapsed="false">
      <c r="D31" s="0" t="str">
        <f aca="true">IF(A31="","",IF(C31&lt;&gt;"",IF(C31&lt;=B31,"Met - On Time","Met - Late"),IF(TODAY()&gt;B31,"Missed",IF(B31-TODAY()&lt;=14,"Due Soon","On Track"))))</f>
        <v/>
      </c>
    </row>
    <row r="32" customFormat="false" ht="15" hidden="false" customHeight="false" outlineLevel="0" collapsed="false">
      <c r="D32" s="0" t="str">
        <f aca="true">IF(A32="","",IF(C32&lt;&gt;"",IF(C32&lt;=B32,"Met - On Time","Met - Late"),IF(TODAY()&gt;B32,"Missed",IF(B32-TODAY()&lt;=14,"Due Soon","On Track"))))</f>
        <v/>
      </c>
    </row>
    <row r="33" customFormat="false" ht="15" hidden="false" customHeight="false" outlineLevel="0" collapsed="false">
      <c r="D33" s="0" t="str">
        <f aca="true">IF(A33="","",IF(C33&lt;&gt;"",IF(C33&lt;=B33,"Met - On Time","Met - Late"),IF(TODAY()&gt;B33,"Missed",IF(B33-TODAY()&lt;=14,"Due Soon","On Track"))))</f>
        <v/>
      </c>
    </row>
    <row r="34" customFormat="false" ht="15" hidden="false" customHeight="false" outlineLevel="0" collapsed="false">
      <c r="D34" s="0" t="str">
        <f aca="true">IF(A34="","",IF(C34&lt;&gt;"",IF(C34&lt;=B34,"Met - On Time","Met - Late"),IF(TODAY()&gt;B34,"Missed",IF(B34-TODAY()&lt;=14,"Due Soon","On Track"))))</f>
        <v/>
      </c>
    </row>
    <row r="35" customFormat="false" ht="15" hidden="false" customHeight="false" outlineLevel="0" collapsed="false">
      <c r="D35" s="0" t="str">
        <f aca="true">IF(A35="","",IF(C35&lt;&gt;"",IF(C35&lt;=B35,"Met - On Time","Met - Late"),IF(TODAY()&gt;B35,"Missed",IF(B35-TODAY()&lt;=14,"Due Soon","On Track"))))</f>
        <v/>
      </c>
    </row>
    <row r="36" customFormat="false" ht="15" hidden="false" customHeight="false" outlineLevel="0" collapsed="false">
      <c r="D36" s="0" t="str">
        <f aca="true">IF(A36="","",IF(C36&lt;&gt;"",IF(C36&lt;=B36,"Met - On Time","Met - Late"),IF(TODAY()&gt;B36,"Missed",IF(B36-TODAY()&lt;=14,"Due Soon","On Track"))))</f>
        <v/>
      </c>
    </row>
    <row r="37" customFormat="false" ht="15" hidden="false" customHeight="false" outlineLevel="0" collapsed="false">
      <c r="D37" s="0" t="str">
        <f aca="true">IF(A37="","",IF(C37&lt;&gt;"",IF(C37&lt;=B37,"Met - On Time","Met - Late"),IF(TODAY()&gt;B37,"Missed",IF(B37-TODAY()&lt;=14,"Due Soon","On Track"))))</f>
        <v/>
      </c>
    </row>
    <row r="38" customFormat="false" ht="15" hidden="false" customHeight="false" outlineLevel="0" collapsed="false">
      <c r="D38" s="0" t="str">
        <f aca="true">IF(A38="","",IF(C38&lt;&gt;"",IF(C38&lt;=B38,"Met - On Time","Met - Late"),IF(TODAY()&gt;B38,"Missed",IF(B38-TODAY()&lt;=14,"Due Soon","On Track"))))</f>
        <v/>
      </c>
    </row>
    <row r="39" customFormat="false" ht="15" hidden="false" customHeight="false" outlineLevel="0" collapsed="false">
      <c r="D39" s="0" t="str">
        <f aca="true">IF(A39="","",IF(C39&lt;&gt;"",IF(C39&lt;=B39,"Met - On Time","Met - Late"),IF(TODAY()&gt;B39,"Missed",IF(B39-TODAY()&lt;=14,"Due Soon","On Track"))))</f>
        <v/>
      </c>
    </row>
    <row r="40" customFormat="false" ht="15" hidden="false" customHeight="false" outlineLevel="0" collapsed="false">
      <c r="D40" s="0" t="str">
        <f aca="true">IF(A40="","",IF(C40&lt;&gt;"",IF(C40&lt;=B40,"Met - On Time","Met - Late"),IF(TODAY()&gt;B40,"Missed",IF(B40-TODAY()&lt;=14,"Due Soon","On Track"))))</f>
        <v/>
      </c>
    </row>
    <row r="41" customFormat="false" ht="15" hidden="false" customHeight="false" outlineLevel="0" collapsed="false">
      <c r="D41" s="0" t="str">
        <f aca="true">IF(A41="","",IF(C41&lt;&gt;"",IF(C41&lt;=B41,"Met - On Time","Met - Late"),IF(TODAY()&gt;B41,"Missed",IF(B41-TODAY()&lt;=14,"Due Soon","On Track"))))</f>
        <v/>
      </c>
    </row>
    <row r="42" customFormat="false" ht="15" hidden="false" customHeight="false" outlineLevel="0" collapsed="false">
      <c r="D42" s="0" t="str">
        <f aca="true">IF(A42="","",IF(C42&lt;&gt;"",IF(C42&lt;=B42,"Met - On Time","Met - Late"),IF(TODAY()&gt;B42,"Missed",IF(B42-TODAY()&lt;=14,"Due Soon","On Track"))))</f>
        <v/>
      </c>
    </row>
    <row r="43" customFormat="false" ht="15" hidden="false" customHeight="false" outlineLevel="0" collapsed="false">
      <c r="D43" s="0" t="str">
        <f aca="true">IF(A43="","",IF(C43&lt;&gt;"",IF(C43&lt;=B43,"Met - On Time","Met - Late"),IF(TODAY()&gt;B43,"Missed",IF(B43-TODAY()&lt;=14,"Due Soon","On Track"))))</f>
        <v/>
      </c>
    </row>
    <row r="44" customFormat="false" ht="15" hidden="false" customHeight="false" outlineLevel="0" collapsed="false">
      <c r="D44" s="0" t="str">
        <f aca="true">IF(A44="","",IF(C44&lt;&gt;"",IF(C44&lt;=B44,"Met - On Time","Met - Late"),IF(TODAY()&gt;B44,"Missed",IF(B44-TODAY()&lt;=14,"Due Soon","On Track"))))</f>
        <v/>
      </c>
    </row>
    <row r="45" customFormat="false" ht="15" hidden="false" customHeight="false" outlineLevel="0" collapsed="false">
      <c r="D45" s="0" t="str">
        <f aca="true">IF(A45="","",IF(C45&lt;&gt;"",IF(C45&lt;=B45,"Met - On Time","Met - Late"),IF(TODAY()&gt;B45,"Missed",IF(B45-TODAY()&lt;=14,"Due Soon","On Track"))))</f>
        <v/>
      </c>
    </row>
    <row r="46" customFormat="false" ht="15" hidden="false" customHeight="false" outlineLevel="0" collapsed="false">
      <c r="D46" s="0" t="str">
        <f aca="true">IF(A46="","",IF(C46&lt;&gt;"",IF(C46&lt;=B46,"Met - On Time","Met - Late"),IF(TODAY()&gt;B46,"Missed",IF(B46-TODAY()&lt;=14,"Due Soon","On Track"))))</f>
        <v/>
      </c>
    </row>
    <row r="47" customFormat="false" ht="15" hidden="false" customHeight="false" outlineLevel="0" collapsed="false">
      <c r="D47" s="0" t="str">
        <f aca="true">IF(A47="","",IF(C47&lt;&gt;"",IF(C47&lt;=B47,"Met - On Time","Met - Late"),IF(TODAY()&gt;B47,"Missed",IF(B47-TODAY()&lt;=14,"Due Soon","On Track"))))</f>
        <v/>
      </c>
    </row>
    <row r="48" customFormat="false" ht="15" hidden="false" customHeight="false" outlineLevel="0" collapsed="false">
      <c r="D48" s="0" t="str">
        <f aca="true">IF(A48="","",IF(C48&lt;&gt;"",IF(C48&lt;=B48,"Met - On Time","Met - Late"),IF(TODAY()&gt;B48,"Missed",IF(B48-TODAY()&lt;=14,"Due Soon","On Track"))))</f>
        <v/>
      </c>
    </row>
    <row r="49" customFormat="false" ht="15" hidden="false" customHeight="false" outlineLevel="0" collapsed="false">
      <c r="D49" s="0" t="str">
        <f aca="true">IF(A49="","",IF(C49&lt;&gt;"",IF(C49&lt;=B49,"Met - On Time","Met - Late"),IF(TODAY()&gt;B49,"Missed",IF(B49-TODAY()&lt;=14,"Due Soon","On Track"))))</f>
        <v/>
      </c>
    </row>
    <row r="50" customFormat="false" ht="15" hidden="false" customHeight="false" outlineLevel="0" collapsed="false">
      <c r="D50" s="0" t="str">
        <f aca="true">IF(A50="","",IF(C50&lt;&gt;"",IF(C50&lt;=B50,"Met - On Time","Met - Late"),IF(TODAY()&gt;B50,"Missed",IF(B50-TODAY()&lt;=14,"Due Soon","On Track"))))</f>
        <v/>
      </c>
    </row>
    <row r="51" customFormat="false" ht="15" hidden="false" customHeight="false" outlineLevel="0" collapsed="false">
      <c r="D51" s="0" t="str">
        <f aca="true">IF(A51="","",IF(C51&lt;&gt;"",IF(C51&lt;=B51,"Met - On Time","Met - Late"),IF(TODAY()&gt;B51,"Missed",IF(B51-TODAY()&lt;=14,"Due Soon","On Track"))))</f>
        <v/>
      </c>
    </row>
    <row r="52" customFormat="false" ht="15" hidden="false" customHeight="false" outlineLevel="0" collapsed="false">
      <c r="D52" s="0" t="str">
        <f aca="true">IF(A52="","",IF(C52&lt;&gt;"",IF(C52&lt;=B52,"Met - On Time","Met - Late"),IF(TODAY()&gt;B52,"Missed",IF(B52-TODAY()&lt;=14,"Due Soon","On Track"))))</f>
        <v/>
      </c>
    </row>
    <row r="53" customFormat="false" ht="15" hidden="false" customHeight="false" outlineLevel="0" collapsed="false">
      <c r="D53" s="0" t="str">
        <f aca="true">IF(A53="","",IF(C53&lt;&gt;"",IF(C53&lt;=B53,"Met - On Time","Met - Late"),IF(TODAY()&gt;B53,"Missed",IF(B53-TODAY()&lt;=14,"Due Soon","On Track"))))</f>
        <v/>
      </c>
    </row>
    <row r="54" customFormat="false" ht="15" hidden="false" customHeight="false" outlineLevel="0" collapsed="false">
      <c r="D54" s="0" t="str">
        <f aca="true">IF(A54="","",IF(C54&lt;&gt;"",IF(C54&lt;=B54,"Met - On Time","Met - Late"),IF(TODAY()&gt;B54,"Missed",IF(B54-TODAY()&lt;=14,"Due Soon","On Track"))))</f>
        <v/>
      </c>
    </row>
    <row r="55" customFormat="false" ht="15" hidden="false" customHeight="false" outlineLevel="0" collapsed="false">
      <c r="D55" s="0" t="str">
        <f aca="true">IF(A55="","",IF(C55&lt;&gt;"",IF(C55&lt;=B55,"Met - On Time","Met - Late"),IF(TODAY()&gt;B55,"Missed",IF(B55-TODAY()&lt;=14,"Due Soon","On Track"))))</f>
        <v/>
      </c>
    </row>
    <row r="56" customFormat="false" ht="15" hidden="false" customHeight="false" outlineLevel="0" collapsed="false">
      <c r="D56" s="0" t="str">
        <f aca="true">IF(A56="","",IF(C56&lt;&gt;"",IF(C56&lt;=B56,"Met - On Time","Met - Late"),IF(TODAY()&gt;B56,"Missed",IF(B56-TODAY()&lt;=14,"Due Soon","On Track"))))</f>
        <v/>
      </c>
    </row>
    <row r="57" customFormat="false" ht="15" hidden="false" customHeight="false" outlineLevel="0" collapsed="false">
      <c r="D57" s="0" t="str">
        <f aca="true">IF(A57="","",IF(C57&lt;&gt;"",IF(C57&lt;=B57,"Met - On Time","Met - Late"),IF(TODAY()&gt;B57,"Missed",IF(B57-TODAY()&lt;=14,"Due Soon","On Track"))))</f>
        <v/>
      </c>
    </row>
    <row r="58" customFormat="false" ht="15" hidden="false" customHeight="false" outlineLevel="0" collapsed="false">
      <c r="D58" s="0" t="str">
        <f aca="true">IF(A58="","",IF(C58&lt;&gt;"",IF(C58&lt;=B58,"Met - On Time","Met - Late"),IF(TODAY()&gt;B58,"Missed",IF(B58-TODAY()&lt;=14,"Due Soon","On Track"))))</f>
        <v/>
      </c>
    </row>
    <row r="59" customFormat="false" ht="15" hidden="false" customHeight="false" outlineLevel="0" collapsed="false">
      <c r="D59" s="0" t="str">
        <f aca="true">IF(A59="","",IF(C59&lt;&gt;"",IF(C59&lt;=B59,"Met - On Time","Met - Late"),IF(TODAY()&gt;B59,"Missed",IF(B59-TODAY()&lt;=14,"Due Soon","On Track"))))</f>
        <v/>
      </c>
    </row>
    <row r="60" customFormat="false" ht="15" hidden="false" customHeight="false" outlineLevel="0" collapsed="false">
      <c r="D60" s="0" t="str">
        <f aca="true">IF(A60="","",IF(C60&lt;&gt;"",IF(C60&lt;=B60,"Met - On Time","Met - Late"),IF(TODAY()&gt;B60,"Missed",IF(B60-TODAY()&lt;=14,"Due Soon","On Track"))))</f>
        <v/>
      </c>
    </row>
    <row r="61" customFormat="false" ht="15" hidden="false" customHeight="false" outlineLevel="0" collapsed="false">
      <c r="D61" s="0" t="str">
        <f aca="true">IF(A61="","",IF(C61&lt;&gt;"",IF(C61&lt;=B61,"Met - On Time","Met - Late"),IF(TODAY()&gt;B61,"Missed",IF(B61-TODAY()&lt;=14,"Due Soon","On Track"))))</f>
        <v/>
      </c>
    </row>
    <row r="62" customFormat="false" ht="15" hidden="false" customHeight="false" outlineLevel="0" collapsed="false">
      <c r="D62" s="0" t="str">
        <f aca="true">IF(A62="","",IF(C62&lt;&gt;"",IF(C62&lt;=B62,"Met - On Time","Met - Late"),IF(TODAY()&gt;B62,"Missed",IF(B62-TODAY()&lt;=14,"Due Soon","On Track"))))</f>
        <v/>
      </c>
    </row>
    <row r="63" customFormat="false" ht="15" hidden="false" customHeight="false" outlineLevel="0" collapsed="false">
      <c r="D63" s="0" t="str">
        <f aca="true">IF(A63="","",IF(C63&lt;&gt;"",IF(C63&lt;=B63,"Met - On Time","Met - Late"),IF(TODAY()&gt;B63,"Missed",IF(B63-TODAY()&lt;=14,"Due Soon","On Track"))))</f>
        <v/>
      </c>
    </row>
    <row r="64" customFormat="false" ht="15" hidden="false" customHeight="false" outlineLevel="0" collapsed="false">
      <c r="D64" s="0" t="str">
        <f aca="true">IF(A64="","",IF(C64&lt;&gt;"",IF(C64&lt;=B64,"Met - On Time","Met - Late"),IF(TODAY()&gt;B64,"Missed",IF(B64-TODAY()&lt;=14,"Due Soon","On Track"))))</f>
        <v/>
      </c>
    </row>
    <row r="65" customFormat="false" ht="15" hidden="false" customHeight="false" outlineLevel="0" collapsed="false">
      <c r="D65" s="0" t="str">
        <f aca="true">IF(A65="","",IF(C65&lt;&gt;"",IF(C65&lt;=B65,"Met - On Time","Met - Late"),IF(TODAY()&gt;B65,"Missed",IF(B65-TODAY()&lt;=14,"Due Soon","On Track"))))</f>
        <v/>
      </c>
    </row>
    <row r="66" customFormat="false" ht="15" hidden="false" customHeight="false" outlineLevel="0" collapsed="false">
      <c r="D66" s="0" t="str">
        <f aca="true">IF(A66="","",IF(C66&lt;&gt;"",IF(C66&lt;=B66,"Met - On Time","Met - Late"),IF(TODAY()&gt;B66,"Missed",IF(B66-TODAY()&lt;=14,"Due Soon","On Track"))))</f>
        <v/>
      </c>
    </row>
    <row r="67" customFormat="false" ht="15" hidden="false" customHeight="false" outlineLevel="0" collapsed="false">
      <c r="D67" s="0" t="str">
        <f aca="true">IF(A67="","",IF(C67&lt;&gt;"",IF(C67&lt;=B67,"Met - On Time","Met - Late"),IF(TODAY()&gt;B67,"Missed",IF(B67-TODAY()&lt;=14,"Due Soon","On Track"))))</f>
        <v/>
      </c>
    </row>
    <row r="68" customFormat="false" ht="15" hidden="false" customHeight="false" outlineLevel="0" collapsed="false">
      <c r="D68" s="0" t="str">
        <f aca="true">IF(A68="","",IF(C68&lt;&gt;"",IF(C68&lt;=B68,"Met - On Time","Met - Late"),IF(TODAY()&gt;B68,"Missed",IF(B68-TODAY()&lt;=14,"Due Soon","On Track"))))</f>
        <v/>
      </c>
    </row>
    <row r="69" customFormat="false" ht="15" hidden="false" customHeight="false" outlineLevel="0" collapsed="false">
      <c r="D69" s="0" t="str">
        <f aca="true">IF(A69="","",IF(C69&lt;&gt;"",IF(C69&lt;=B69,"Met - On Time","Met - Late"),IF(TODAY()&gt;B69,"Missed",IF(B69-TODAY()&lt;=14,"Due Soon","On Track"))))</f>
        <v/>
      </c>
    </row>
    <row r="70" customFormat="false" ht="15" hidden="false" customHeight="false" outlineLevel="0" collapsed="false">
      <c r="D70" s="0" t="str">
        <f aca="true">IF(A70="","",IF(C70&lt;&gt;"",IF(C70&lt;=B70,"Met - On Time","Met - Late"),IF(TODAY()&gt;B70,"Missed",IF(B70-TODAY()&lt;=14,"Due Soon","On Track"))))</f>
        <v/>
      </c>
    </row>
    <row r="71" customFormat="false" ht="15" hidden="false" customHeight="false" outlineLevel="0" collapsed="false">
      <c r="D71" s="0" t="str">
        <f aca="true">IF(A71="","",IF(C71&lt;&gt;"",IF(C71&lt;=B71,"Met - On Time","Met - Late"),IF(TODAY()&gt;B71,"Missed",IF(B71-TODAY()&lt;=14,"Due Soon","On Track"))))</f>
        <v/>
      </c>
    </row>
    <row r="72" customFormat="false" ht="15" hidden="false" customHeight="false" outlineLevel="0" collapsed="false">
      <c r="D72" s="0" t="str">
        <f aca="true">IF(A72="","",IF(C72&lt;&gt;"",IF(C72&lt;=B72,"Met - On Time","Met - Late"),IF(TODAY()&gt;B72,"Missed",IF(B72-TODAY()&lt;=14,"Due Soon","On Track"))))</f>
        <v/>
      </c>
    </row>
    <row r="73" customFormat="false" ht="15" hidden="false" customHeight="false" outlineLevel="0" collapsed="false">
      <c r="D73" s="0" t="str">
        <f aca="true">IF(A73="","",IF(C73&lt;&gt;"",IF(C73&lt;=B73,"Met - On Time","Met - Late"),IF(TODAY()&gt;B73,"Missed",IF(B73-TODAY()&lt;=14,"Due Soon","On Track"))))</f>
        <v/>
      </c>
    </row>
    <row r="74" customFormat="false" ht="15" hidden="false" customHeight="false" outlineLevel="0" collapsed="false">
      <c r="D74" s="0" t="str">
        <f aca="true">IF(A74="","",IF(C74&lt;&gt;"",IF(C74&lt;=B74,"Met - On Time","Met - Late"),IF(TODAY()&gt;B74,"Missed",IF(B74-TODAY()&lt;=14,"Due Soon","On Track"))))</f>
        <v/>
      </c>
    </row>
    <row r="75" customFormat="false" ht="15" hidden="false" customHeight="false" outlineLevel="0" collapsed="false">
      <c r="D75" s="0" t="str">
        <f aca="true">IF(A75="","",IF(C75&lt;&gt;"",IF(C75&lt;=B75,"Met - On Time","Met - Late"),IF(TODAY()&gt;B75,"Missed",IF(B75-TODAY()&lt;=14,"Due Soon","On Track"))))</f>
        <v/>
      </c>
    </row>
    <row r="76" customFormat="false" ht="15" hidden="false" customHeight="false" outlineLevel="0" collapsed="false">
      <c r="D76" s="0" t="str">
        <f aca="true">IF(A76="","",IF(C76&lt;&gt;"",IF(C76&lt;=B76,"Met - On Time","Met - Late"),IF(TODAY()&gt;B76,"Missed",IF(B76-TODAY()&lt;=14,"Due Soon","On Track"))))</f>
        <v/>
      </c>
    </row>
    <row r="77" customFormat="false" ht="15" hidden="false" customHeight="false" outlineLevel="0" collapsed="false">
      <c r="D77" s="0" t="str">
        <f aca="true">IF(A77="","",IF(C77&lt;&gt;"",IF(C77&lt;=B77,"Met - On Time","Met - Late"),IF(TODAY()&gt;B77,"Missed",IF(B77-TODAY()&lt;=14,"Due Soon","On Track"))))</f>
        <v/>
      </c>
    </row>
    <row r="78" customFormat="false" ht="15" hidden="false" customHeight="false" outlineLevel="0" collapsed="false">
      <c r="D78" s="0" t="str">
        <f aca="true">IF(A78="","",IF(C78&lt;&gt;"",IF(C78&lt;=B78,"Met - On Time","Met - Late"),IF(TODAY()&gt;B78,"Missed",IF(B78-TODAY()&lt;=14,"Due Soon","On Track"))))</f>
        <v/>
      </c>
    </row>
    <row r="79" customFormat="false" ht="15" hidden="false" customHeight="false" outlineLevel="0" collapsed="false">
      <c r="D79" s="0" t="str">
        <f aca="true">IF(A79="","",IF(C79&lt;&gt;"",IF(C79&lt;=B79,"Met - On Time","Met - Late"),IF(TODAY()&gt;B79,"Missed",IF(B79-TODAY()&lt;=14,"Due Soon","On Track"))))</f>
        <v/>
      </c>
    </row>
    <row r="80" customFormat="false" ht="15" hidden="false" customHeight="false" outlineLevel="0" collapsed="false">
      <c r="D80" s="0" t="str">
        <f aca="true">IF(A80="","",IF(C80&lt;&gt;"",IF(C80&lt;=B80,"Met - On Time","Met - Late"),IF(TODAY()&gt;B80,"Missed",IF(B80-TODAY()&lt;=14,"Due Soon","On Track"))))</f>
        <v/>
      </c>
    </row>
    <row r="81" customFormat="false" ht="15" hidden="false" customHeight="false" outlineLevel="0" collapsed="false">
      <c r="D81" s="0" t="str">
        <f aca="true">IF(A81="","",IF(C81&lt;&gt;"",IF(C81&lt;=B81,"Met - On Time","Met - Late"),IF(TODAY()&gt;B81,"Missed",IF(B81-TODAY()&lt;=14,"Due Soon","On Track"))))</f>
        <v/>
      </c>
    </row>
    <row r="82" customFormat="false" ht="15" hidden="false" customHeight="false" outlineLevel="0" collapsed="false">
      <c r="D82" s="0" t="str">
        <f aca="true">IF(A82="","",IF(C82&lt;&gt;"",IF(C82&lt;=B82,"Met - On Time","Met - Late"),IF(TODAY()&gt;B82,"Missed",IF(B82-TODAY()&lt;=14,"Due Soon","On Track"))))</f>
        <v/>
      </c>
    </row>
    <row r="83" customFormat="false" ht="15" hidden="false" customHeight="false" outlineLevel="0" collapsed="false">
      <c r="D83" s="0" t="str">
        <f aca="true">IF(A83="","",IF(C83&lt;&gt;"",IF(C83&lt;=B83,"Met - On Time","Met - Late"),IF(TODAY()&gt;B83,"Missed",IF(B83-TODAY()&lt;=14,"Due Soon","On Track"))))</f>
        <v/>
      </c>
    </row>
    <row r="84" customFormat="false" ht="15" hidden="false" customHeight="false" outlineLevel="0" collapsed="false">
      <c r="D84" s="0" t="str">
        <f aca="true">IF(A84="","",IF(C84&lt;&gt;"",IF(C84&lt;=B84,"Met - On Time","Met - Late"),IF(TODAY()&gt;B84,"Missed",IF(B84-TODAY()&lt;=14,"Due Soon","On Track"))))</f>
        <v/>
      </c>
    </row>
    <row r="85" customFormat="false" ht="15" hidden="false" customHeight="false" outlineLevel="0" collapsed="false">
      <c r="D85" s="0" t="str">
        <f aca="true">IF(A85="","",IF(C85&lt;&gt;"",IF(C85&lt;=B85,"Met - On Time","Met - Late"),IF(TODAY()&gt;B85,"Missed",IF(B85-TODAY()&lt;=14,"Due Soon","On Track"))))</f>
        <v/>
      </c>
    </row>
    <row r="86" customFormat="false" ht="15" hidden="false" customHeight="false" outlineLevel="0" collapsed="false">
      <c r="D86" s="0" t="str">
        <f aca="true">IF(A86="","",IF(C86&lt;&gt;"",IF(C86&lt;=B86,"Met - On Time","Met - Late"),IF(TODAY()&gt;B86,"Missed",IF(B86-TODAY()&lt;=14,"Due Soon","On Track"))))</f>
        <v/>
      </c>
    </row>
    <row r="87" customFormat="false" ht="15" hidden="false" customHeight="false" outlineLevel="0" collapsed="false">
      <c r="D87" s="0" t="str">
        <f aca="true">IF(A87="","",IF(C87&lt;&gt;"",IF(C87&lt;=B87,"Met - On Time","Met - Late"),IF(TODAY()&gt;B87,"Missed",IF(B87-TODAY()&lt;=14,"Due Soon","On Track"))))</f>
        <v/>
      </c>
    </row>
    <row r="88" customFormat="false" ht="15" hidden="false" customHeight="false" outlineLevel="0" collapsed="false">
      <c r="D88" s="0" t="str">
        <f aca="true">IF(A88="","",IF(C88&lt;&gt;"",IF(C88&lt;=B88,"Met - On Time","Met - Late"),IF(TODAY()&gt;B88,"Missed",IF(B88-TODAY()&lt;=14,"Due Soon","On Track"))))</f>
        <v/>
      </c>
    </row>
    <row r="89" customFormat="false" ht="15" hidden="false" customHeight="false" outlineLevel="0" collapsed="false">
      <c r="D89" s="0" t="str">
        <f aca="true">IF(A89="","",IF(C89&lt;&gt;"",IF(C89&lt;=B89,"Met - On Time","Met - Late"),IF(TODAY()&gt;B89,"Missed",IF(B89-TODAY()&lt;=14,"Due Soon","On Track"))))</f>
        <v/>
      </c>
    </row>
    <row r="90" customFormat="false" ht="15" hidden="false" customHeight="false" outlineLevel="0" collapsed="false">
      <c r="D90" s="0" t="str">
        <f aca="true">IF(A90="","",IF(C90&lt;&gt;"",IF(C90&lt;=B90,"Met - On Time","Met - Late"),IF(TODAY()&gt;B90,"Missed",IF(B90-TODAY()&lt;=14,"Due Soon","On Track"))))</f>
        <v/>
      </c>
    </row>
    <row r="91" customFormat="false" ht="15" hidden="false" customHeight="false" outlineLevel="0" collapsed="false">
      <c r="D91" s="0" t="str">
        <f aca="true">IF(A91="","",IF(C91&lt;&gt;"",IF(C91&lt;=B91,"Met - On Time","Met - Late"),IF(TODAY()&gt;B91,"Missed",IF(B91-TODAY()&lt;=14,"Due Soon","On Track"))))</f>
        <v/>
      </c>
    </row>
    <row r="92" customFormat="false" ht="15" hidden="false" customHeight="false" outlineLevel="0" collapsed="false">
      <c r="D92" s="0" t="str">
        <f aca="true">IF(A92="","",IF(C92&lt;&gt;"",IF(C92&lt;=B92,"Met - On Time","Met - Late"),IF(TODAY()&gt;B92,"Missed",IF(B92-TODAY()&lt;=14,"Due Soon","On Track"))))</f>
        <v/>
      </c>
    </row>
    <row r="93" customFormat="false" ht="15" hidden="false" customHeight="false" outlineLevel="0" collapsed="false">
      <c r="D93" s="0" t="str">
        <f aca="true">IF(A93="","",IF(C93&lt;&gt;"",IF(C93&lt;=B93,"Met - On Time","Met - Late"),IF(TODAY()&gt;B93,"Missed",IF(B93-TODAY()&lt;=14,"Due Soon","On Track"))))</f>
        <v/>
      </c>
    </row>
    <row r="94" customFormat="false" ht="15" hidden="false" customHeight="false" outlineLevel="0" collapsed="false">
      <c r="D94" s="0" t="str">
        <f aca="true">IF(A94="","",IF(C94&lt;&gt;"",IF(C94&lt;=B94,"Met - On Time","Met - Late"),IF(TODAY()&gt;B94,"Missed",IF(B94-TODAY()&lt;=14,"Due Soon","On Track"))))</f>
        <v/>
      </c>
    </row>
    <row r="95" customFormat="false" ht="15" hidden="false" customHeight="false" outlineLevel="0" collapsed="false">
      <c r="D95" s="0" t="str">
        <f aca="true">IF(A95="","",IF(C95&lt;&gt;"",IF(C95&lt;=B95,"Met - On Time","Met - Late"),IF(TODAY()&gt;B95,"Missed",IF(B95-TODAY()&lt;=14,"Due Soon","On Track"))))</f>
        <v/>
      </c>
    </row>
    <row r="96" customFormat="false" ht="15" hidden="false" customHeight="false" outlineLevel="0" collapsed="false">
      <c r="D96" s="0" t="str">
        <f aca="true">IF(A96="","",IF(C96&lt;&gt;"",IF(C96&lt;=B96,"Met - On Time","Met - Late"),IF(TODAY()&gt;B96,"Missed",IF(B96-TODAY()&lt;=14,"Due Soon","On Track"))))</f>
        <v/>
      </c>
    </row>
    <row r="97" customFormat="false" ht="15" hidden="false" customHeight="false" outlineLevel="0" collapsed="false">
      <c r="D97" s="0" t="str">
        <f aca="true">IF(A97="","",IF(C97&lt;&gt;"",IF(C97&lt;=B97,"Met - On Time","Met - Late"),IF(TODAY()&gt;B97,"Missed",IF(B97-TODAY()&lt;=14,"Due Soon","On Track"))))</f>
        <v/>
      </c>
    </row>
    <row r="98" customFormat="false" ht="15" hidden="false" customHeight="false" outlineLevel="0" collapsed="false">
      <c r="D98" s="0" t="str">
        <f aca="true">IF(A98="","",IF(C98&lt;&gt;"",IF(C98&lt;=B98,"Met - On Time","Met - Late"),IF(TODAY()&gt;B98,"Missed",IF(B98-TODAY()&lt;=14,"Due Soon","On Track"))))</f>
        <v/>
      </c>
    </row>
    <row r="99" customFormat="false" ht="15" hidden="false" customHeight="false" outlineLevel="0" collapsed="false">
      <c r="D99" s="0" t="str">
        <f aca="true">IF(A99="","",IF(C99&lt;&gt;"",IF(C99&lt;=B99,"Met - On Time","Met - Late"),IF(TODAY()&gt;B99,"Missed",IF(B99-TODAY()&lt;=14,"Due Soon","On Track"))))</f>
        <v/>
      </c>
    </row>
    <row r="100" customFormat="false" ht="15" hidden="false" customHeight="false" outlineLevel="0" collapsed="false">
      <c r="D100" s="0" t="str">
        <f aca="true">IF(A100="","",IF(C100&lt;&gt;"",IF(C100&lt;=B100,"Met - On Time","Met - Late"),IF(TODAY()&gt;B100,"Missed",IF(B100-TODAY()&lt;=14,"Due Soon","On Track"))))</f>
        <v/>
      </c>
    </row>
    <row r="101" customFormat="false" ht="15" hidden="false" customHeight="false" outlineLevel="0" collapsed="false">
      <c r="D101" s="0" t="str">
        <f aca="true">IF(A101="","",IF(C101&lt;&gt;"",IF(C101&lt;=B101,"Met - On Time","Met - Late"),IF(TODAY()&gt;B101,"Missed",IF(B101-TODAY()&lt;=14,"Due Soon","On Track"))))</f>
        <v/>
      </c>
    </row>
    <row r="102" customFormat="false" ht="15" hidden="false" customHeight="false" outlineLevel="0" collapsed="false">
      <c r="D102" s="0" t="str">
        <f aca="true">IF(A102="","",IF(C102&lt;&gt;"",IF(C102&lt;=B102,"Met - On Time","Met - Late"),IF(TODAY()&gt;B102,"Missed",IF(B102-TODAY()&lt;=14,"Due Soon","On Track"))))</f>
        <v/>
      </c>
    </row>
    <row r="103" customFormat="false" ht="15" hidden="false" customHeight="false" outlineLevel="0" collapsed="false">
      <c r="D103" s="0" t="str">
        <f aca="true">IF(A103="","",IF(C103&lt;&gt;"",IF(C103&lt;=B103,"Met - On Time","Met - Late"),IF(TODAY()&gt;B103,"Missed",IF(B103-TODAY()&lt;=14,"Due Soon","On Track"))))</f>
        <v/>
      </c>
    </row>
    <row r="104" customFormat="false" ht="15" hidden="false" customHeight="false" outlineLevel="0" collapsed="false">
      <c r="D104" s="0" t="str">
        <f aca="true">IF(A104="","",IF(C104&lt;&gt;"",IF(C104&lt;=B104,"Met - On Time","Met - Late"),IF(TODAY()&gt;B104,"Missed",IF(B104-TODAY()&lt;=14,"Due Soon","On Track"))))</f>
        <v/>
      </c>
    </row>
    <row r="105" customFormat="false" ht="15" hidden="false" customHeight="false" outlineLevel="0" collapsed="false">
      <c r="D105" s="0" t="str">
        <f aca="true">IF(A105="","",IF(C105&lt;&gt;"",IF(C105&lt;=B105,"Met - On Time","Met - Late"),IF(TODAY()&gt;B105,"Missed",IF(B105-TODAY()&lt;=14,"Due Soon","On Track"))))</f>
        <v/>
      </c>
    </row>
    <row r="106" customFormat="false" ht="15" hidden="false" customHeight="false" outlineLevel="0" collapsed="false">
      <c r="D106" s="0" t="str">
        <f aca="true">IF(A106="","",IF(C106&lt;&gt;"",IF(C106&lt;=B106,"Met - On Time","Met - Late"),IF(TODAY()&gt;B106,"Missed",IF(B106-TODAY()&lt;=14,"Due Soon","On Track"))))</f>
        <v/>
      </c>
    </row>
    <row r="107" customFormat="false" ht="15" hidden="false" customHeight="false" outlineLevel="0" collapsed="false">
      <c r="D107" s="0" t="str">
        <f aca="true">IF(A107="","",IF(C107&lt;&gt;"",IF(C107&lt;=B107,"Met - On Time","Met - Late"),IF(TODAY()&gt;B107,"Missed",IF(B107-TODAY()&lt;=14,"Due Soon","On Track"))))</f>
        <v/>
      </c>
    </row>
    <row r="108" customFormat="false" ht="15" hidden="false" customHeight="false" outlineLevel="0" collapsed="false">
      <c r="D108" s="0" t="str">
        <f aca="true">IF(A108="","",IF(C108&lt;&gt;"",IF(C108&lt;=B108,"Met - On Time","Met - Late"),IF(TODAY()&gt;B108,"Missed",IF(B108-TODAY()&lt;=14,"Due Soon","On Track"))))</f>
        <v/>
      </c>
    </row>
    <row r="109" customFormat="false" ht="15" hidden="false" customHeight="false" outlineLevel="0" collapsed="false">
      <c r="D109" s="0" t="str">
        <f aca="true">IF(A109="","",IF(C109&lt;&gt;"",IF(C109&lt;=B109,"Met - On Time","Met - Late"),IF(TODAY()&gt;B109,"Missed",IF(B109-TODAY()&lt;=14,"Due Soon","On Track"))))</f>
        <v/>
      </c>
    </row>
    <row r="110" customFormat="false" ht="15" hidden="false" customHeight="false" outlineLevel="0" collapsed="false">
      <c r="D110" s="0" t="str">
        <f aca="true">IF(A110="","",IF(C110&lt;&gt;"",IF(C110&lt;=B110,"Met - On Time","Met - Late"),IF(TODAY()&gt;B110,"Missed",IF(B110-TODAY()&lt;=14,"Due Soon","On Track"))))</f>
        <v/>
      </c>
    </row>
    <row r="111" customFormat="false" ht="15" hidden="false" customHeight="false" outlineLevel="0" collapsed="false">
      <c r="D111" s="0" t="str">
        <f aca="true">IF(A111="","",IF(C111&lt;&gt;"",IF(C111&lt;=B111,"Met - On Time","Met - Late"),IF(TODAY()&gt;B111,"Missed",IF(B111-TODAY()&lt;=14,"Due Soon","On Track"))))</f>
        <v/>
      </c>
    </row>
    <row r="112" customFormat="false" ht="15" hidden="false" customHeight="false" outlineLevel="0" collapsed="false">
      <c r="D112" s="0" t="str">
        <f aca="true">IF(A112="","",IF(C112&lt;&gt;"",IF(C112&lt;=B112,"Met - On Time","Met - Late"),IF(TODAY()&gt;B112,"Missed",IF(B112-TODAY()&lt;=14,"Due Soon","On Track"))))</f>
        <v/>
      </c>
    </row>
    <row r="113" customFormat="false" ht="15" hidden="false" customHeight="false" outlineLevel="0" collapsed="false">
      <c r="D113" s="0" t="str">
        <f aca="true">IF(A113="","",IF(C113&lt;&gt;"",IF(C113&lt;=B113,"Met - On Time","Met - Late"),IF(TODAY()&gt;B113,"Missed",IF(B113-TODAY()&lt;=14,"Due Soon","On Track"))))</f>
        <v/>
      </c>
    </row>
    <row r="114" customFormat="false" ht="15" hidden="false" customHeight="false" outlineLevel="0" collapsed="false">
      <c r="D114" s="0" t="str">
        <f aca="true">IF(A114="","",IF(C114&lt;&gt;"",IF(C114&lt;=B114,"Met - On Time","Met - Late"),IF(TODAY()&gt;B114,"Missed",IF(B114-TODAY()&lt;=14,"Due Soon","On Track"))))</f>
        <v/>
      </c>
    </row>
    <row r="115" customFormat="false" ht="15" hidden="false" customHeight="false" outlineLevel="0" collapsed="false">
      <c r="D115" s="0" t="str">
        <f aca="true">IF(A115="","",IF(C115&lt;&gt;"",IF(C115&lt;=B115,"Met - On Time","Met - Late"),IF(TODAY()&gt;B115,"Missed",IF(B115-TODAY()&lt;=14,"Due Soon","On Track"))))</f>
        <v/>
      </c>
    </row>
    <row r="116" customFormat="false" ht="15" hidden="false" customHeight="false" outlineLevel="0" collapsed="false">
      <c r="D116" s="0" t="str">
        <f aca="true">IF(A116="","",IF(C116&lt;&gt;"",IF(C116&lt;=B116,"Met - On Time","Met - Late"),IF(TODAY()&gt;B116,"Missed",IF(B116-TODAY()&lt;=14,"Due Soon","On Track"))))</f>
        <v/>
      </c>
    </row>
    <row r="117" customFormat="false" ht="15" hidden="false" customHeight="false" outlineLevel="0" collapsed="false">
      <c r="D117" s="0" t="str">
        <f aca="true">IF(A117="","",IF(C117&lt;&gt;"",IF(C117&lt;=B117,"Met - On Time","Met - Late"),IF(TODAY()&gt;B117,"Missed",IF(B117-TODAY()&lt;=14,"Due Soon","On Track"))))</f>
        <v/>
      </c>
    </row>
    <row r="118" customFormat="false" ht="15" hidden="false" customHeight="false" outlineLevel="0" collapsed="false">
      <c r="D118" s="0" t="str">
        <f aca="true">IF(A118="","",IF(C118&lt;&gt;"",IF(C118&lt;=B118,"Met - On Time","Met - Late"),IF(TODAY()&gt;B118,"Missed",IF(B118-TODAY()&lt;=14,"Due Soon","On Track"))))</f>
        <v/>
      </c>
    </row>
    <row r="119" customFormat="false" ht="15" hidden="false" customHeight="false" outlineLevel="0" collapsed="false">
      <c r="D119" s="0" t="str">
        <f aca="true">IF(A119="","",IF(C119&lt;&gt;"",IF(C119&lt;=B119,"Met - On Time","Met - Late"),IF(TODAY()&gt;B119,"Missed",IF(B119-TODAY()&lt;=14,"Due Soon","On Track"))))</f>
        <v/>
      </c>
    </row>
    <row r="120" customFormat="false" ht="15" hidden="false" customHeight="false" outlineLevel="0" collapsed="false">
      <c r="D120" s="0" t="str">
        <f aca="true">IF(A120="","",IF(C120&lt;&gt;"",IF(C120&lt;=B120,"Met - On Time","Met - Late"),IF(TODAY()&gt;B120,"Missed",IF(B120-TODAY()&lt;=14,"Due Soon","On Track"))))</f>
        <v/>
      </c>
    </row>
    <row r="121" customFormat="false" ht="15" hidden="false" customHeight="false" outlineLevel="0" collapsed="false">
      <c r="D121" s="0" t="str">
        <f aca="true">IF(A121="","",IF(C121&lt;&gt;"",IF(C121&lt;=B121,"Met - On Time","Met - Late"),IF(TODAY()&gt;B121,"Missed",IF(B121-TODAY()&lt;=14,"Due Soon","On Track"))))</f>
        <v/>
      </c>
    </row>
    <row r="122" customFormat="false" ht="15" hidden="false" customHeight="false" outlineLevel="0" collapsed="false">
      <c r="D122" s="0" t="str">
        <f aca="true">IF(A122="","",IF(C122&lt;&gt;"",IF(C122&lt;=B122,"Met - On Time","Met - Late"),IF(TODAY()&gt;B122,"Missed",IF(B122-TODAY()&lt;=14,"Due Soon","On Track"))))</f>
        <v/>
      </c>
    </row>
    <row r="123" customFormat="false" ht="15" hidden="false" customHeight="false" outlineLevel="0" collapsed="false">
      <c r="D123" s="0" t="str">
        <f aca="true">IF(A123="","",IF(C123&lt;&gt;"",IF(C123&lt;=B123,"Met - On Time","Met - Late"),IF(TODAY()&gt;B123,"Missed",IF(B123-TODAY()&lt;=14,"Due Soon","On Track"))))</f>
        <v/>
      </c>
    </row>
    <row r="124" customFormat="false" ht="15" hidden="false" customHeight="false" outlineLevel="0" collapsed="false">
      <c r="D124" s="0" t="str">
        <f aca="true">IF(A124="","",IF(C124&lt;&gt;"",IF(C124&lt;=B124,"Met - On Time","Met - Late"),IF(TODAY()&gt;B124,"Missed",IF(B124-TODAY()&lt;=14,"Due Soon","On Track"))))</f>
        <v/>
      </c>
    </row>
    <row r="125" customFormat="false" ht="15" hidden="false" customHeight="false" outlineLevel="0" collapsed="false">
      <c r="D125" s="0" t="str">
        <f aca="true">IF(A125="","",IF(C125&lt;&gt;"",IF(C125&lt;=B125,"Met - On Time","Met - Late"),IF(TODAY()&gt;B125,"Missed",IF(B125-TODAY()&lt;=14,"Due Soon","On Track"))))</f>
        <v/>
      </c>
    </row>
    <row r="126" customFormat="false" ht="15" hidden="false" customHeight="false" outlineLevel="0" collapsed="false">
      <c r="D126" s="0" t="str">
        <f aca="true">IF(A126="","",IF(C126&lt;&gt;"",IF(C126&lt;=B126,"Met - On Time","Met - Late"),IF(TODAY()&gt;B126,"Missed",IF(B126-TODAY()&lt;=14,"Due Soon","On Track"))))</f>
        <v/>
      </c>
    </row>
    <row r="127" customFormat="false" ht="15" hidden="false" customHeight="false" outlineLevel="0" collapsed="false">
      <c r="D127" s="0" t="str">
        <f aca="true">IF(A127="","",IF(C127&lt;&gt;"",IF(C127&lt;=B127,"Met - On Time","Met - Late"),IF(TODAY()&gt;B127,"Missed",IF(B127-TODAY()&lt;=14,"Due Soon","On Track"))))</f>
        <v/>
      </c>
    </row>
    <row r="128" customFormat="false" ht="15" hidden="false" customHeight="false" outlineLevel="0" collapsed="false">
      <c r="D128" s="0" t="str">
        <f aca="true">IF(A128="","",IF(C128&lt;&gt;"",IF(C128&lt;=B128,"Met - On Time","Met - Late"),IF(TODAY()&gt;B128,"Missed",IF(B128-TODAY()&lt;=14,"Due Soon","On Track"))))</f>
        <v/>
      </c>
    </row>
    <row r="129" customFormat="false" ht="15" hidden="false" customHeight="false" outlineLevel="0" collapsed="false">
      <c r="D129" s="0" t="str">
        <f aca="true">IF(A129="","",IF(C129&lt;&gt;"",IF(C129&lt;=B129,"Met - On Time","Met - Late"),IF(TODAY()&gt;B129,"Missed",IF(B129-TODAY()&lt;=14,"Due Soon","On Track"))))</f>
        <v/>
      </c>
    </row>
    <row r="130" customFormat="false" ht="15" hidden="false" customHeight="false" outlineLevel="0" collapsed="false">
      <c r="D130" s="0" t="str">
        <f aca="true">IF(A130="","",IF(C130&lt;&gt;"",IF(C130&lt;=B130,"Met - On Time","Met - Late"),IF(TODAY()&gt;B130,"Missed",IF(B130-TODAY()&lt;=14,"Due Soon","On Track"))))</f>
        <v/>
      </c>
    </row>
    <row r="131" customFormat="false" ht="15" hidden="false" customHeight="false" outlineLevel="0" collapsed="false">
      <c r="D131" s="0" t="str">
        <f aca="true">IF(A131="","",IF(C131&lt;&gt;"",IF(C131&lt;=B131,"Met - On Time","Met - Late"),IF(TODAY()&gt;B131,"Missed",IF(B131-TODAY()&lt;=14,"Due Soon","On Track"))))</f>
        <v/>
      </c>
    </row>
    <row r="132" customFormat="false" ht="15" hidden="false" customHeight="false" outlineLevel="0" collapsed="false">
      <c r="D132" s="0" t="str">
        <f aca="true">IF(A132="","",IF(C132&lt;&gt;"",IF(C132&lt;=B132,"Met - On Time","Met - Late"),IF(TODAY()&gt;B132,"Missed",IF(B132-TODAY()&lt;=14,"Due Soon","On Track"))))</f>
        <v/>
      </c>
    </row>
    <row r="133" customFormat="false" ht="15" hidden="false" customHeight="false" outlineLevel="0" collapsed="false">
      <c r="D133" s="0" t="str">
        <f aca="true">IF(A133="","",IF(C133&lt;&gt;"",IF(C133&lt;=B133,"Met - On Time","Met - Late"),IF(TODAY()&gt;B133,"Missed",IF(B133-TODAY()&lt;=14,"Due Soon","On Track"))))</f>
        <v/>
      </c>
    </row>
    <row r="134" customFormat="false" ht="15" hidden="false" customHeight="false" outlineLevel="0" collapsed="false">
      <c r="D134" s="0" t="str">
        <f aca="true">IF(A134="","",IF(C134&lt;&gt;"",IF(C134&lt;=B134,"Met - On Time","Met - Late"),IF(TODAY()&gt;B134,"Missed",IF(B134-TODAY()&lt;=14,"Due Soon","On Track"))))</f>
        <v/>
      </c>
    </row>
    <row r="135" customFormat="false" ht="15" hidden="false" customHeight="false" outlineLevel="0" collapsed="false">
      <c r="D135" s="0" t="str">
        <f aca="true">IF(A135="","",IF(C135&lt;&gt;"",IF(C135&lt;=B135,"Met - On Time","Met - Late"),IF(TODAY()&gt;B135,"Missed",IF(B135-TODAY()&lt;=14,"Due Soon","On Track"))))</f>
        <v/>
      </c>
    </row>
    <row r="136" customFormat="false" ht="15" hidden="false" customHeight="false" outlineLevel="0" collapsed="false">
      <c r="D136" s="0" t="str">
        <f aca="true">IF(A136="","",IF(C136&lt;&gt;"",IF(C136&lt;=B136,"Met - On Time","Met - Late"),IF(TODAY()&gt;B136,"Missed",IF(B136-TODAY()&lt;=14,"Due Soon","On Track"))))</f>
        <v/>
      </c>
    </row>
    <row r="137" customFormat="false" ht="15" hidden="false" customHeight="false" outlineLevel="0" collapsed="false">
      <c r="D137" s="0" t="str">
        <f aca="true">IF(A137="","",IF(C137&lt;&gt;"",IF(C137&lt;=B137,"Met - On Time","Met - Late"),IF(TODAY()&gt;B137,"Missed",IF(B137-TODAY()&lt;=14,"Due Soon","On Track"))))</f>
        <v/>
      </c>
    </row>
    <row r="138" customFormat="false" ht="15" hidden="false" customHeight="false" outlineLevel="0" collapsed="false">
      <c r="D138" s="0" t="str">
        <f aca="true">IF(A138="","",IF(C138&lt;&gt;"",IF(C138&lt;=B138,"Met - On Time","Met - Late"),IF(TODAY()&gt;B138,"Missed",IF(B138-TODAY()&lt;=14,"Due Soon","On Track"))))</f>
        <v/>
      </c>
    </row>
    <row r="139" customFormat="false" ht="15" hidden="false" customHeight="false" outlineLevel="0" collapsed="false">
      <c r="D139" s="0" t="str">
        <f aca="true">IF(A139="","",IF(C139&lt;&gt;"",IF(C139&lt;=B139,"Met - On Time","Met - Late"),IF(TODAY()&gt;B139,"Missed",IF(B139-TODAY()&lt;=14,"Due Soon","On Track"))))</f>
        <v/>
      </c>
    </row>
    <row r="140" customFormat="false" ht="15" hidden="false" customHeight="false" outlineLevel="0" collapsed="false">
      <c r="D140" s="0" t="str">
        <f aca="true">IF(A140="","",IF(C140&lt;&gt;"",IF(C140&lt;=B140,"Met - On Time","Met - Late"),IF(TODAY()&gt;B140,"Missed",IF(B140-TODAY()&lt;=14,"Due Soon","On Track"))))</f>
        <v/>
      </c>
    </row>
    <row r="141" customFormat="false" ht="15" hidden="false" customHeight="false" outlineLevel="0" collapsed="false">
      <c r="D141" s="0" t="str">
        <f aca="true">IF(A141="","",IF(C141&lt;&gt;"",IF(C141&lt;=B141,"Met - On Time","Met - Late"),IF(TODAY()&gt;B141,"Missed",IF(B141-TODAY()&lt;=14,"Due Soon","On Track"))))</f>
        <v/>
      </c>
    </row>
    <row r="142" customFormat="false" ht="15" hidden="false" customHeight="false" outlineLevel="0" collapsed="false">
      <c r="D142" s="0" t="str">
        <f aca="true">IF(A142="","",IF(C142&lt;&gt;"",IF(C142&lt;=B142,"Met - On Time","Met - Late"),IF(TODAY()&gt;B142,"Missed",IF(B142-TODAY()&lt;=14,"Due Soon","On Track"))))</f>
        <v/>
      </c>
    </row>
    <row r="143" customFormat="false" ht="15" hidden="false" customHeight="false" outlineLevel="0" collapsed="false">
      <c r="D143" s="0" t="str">
        <f aca="true">IF(A143="","",IF(C143&lt;&gt;"",IF(C143&lt;=B143,"Met - On Time","Met - Late"),IF(TODAY()&gt;B143,"Missed",IF(B143-TODAY()&lt;=14,"Due Soon","On Track"))))</f>
        <v/>
      </c>
    </row>
    <row r="144" customFormat="false" ht="15" hidden="false" customHeight="false" outlineLevel="0" collapsed="false">
      <c r="D144" s="0" t="str">
        <f aca="true">IF(A144="","",IF(C144&lt;&gt;"",IF(C144&lt;=B144,"Met - On Time","Met - Late"),IF(TODAY()&gt;B144,"Missed",IF(B144-TODAY()&lt;=14,"Due Soon","On Track"))))</f>
        <v/>
      </c>
    </row>
    <row r="145" customFormat="false" ht="15" hidden="false" customHeight="false" outlineLevel="0" collapsed="false">
      <c r="D145" s="0" t="str">
        <f aca="true">IF(A145="","",IF(C145&lt;&gt;"",IF(C145&lt;=B145,"Met - On Time","Met - Late"),IF(TODAY()&gt;B145,"Missed",IF(B145-TODAY()&lt;=14,"Due Soon","On Track"))))</f>
        <v/>
      </c>
    </row>
    <row r="146" customFormat="false" ht="15" hidden="false" customHeight="false" outlineLevel="0" collapsed="false">
      <c r="D146" s="0" t="str">
        <f aca="true">IF(A146="","",IF(C146&lt;&gt;"",IF(C146&lt;=B146,"Met - On Time","Met - Late"),IF(TODAY()&gt;B146,"Missed",IF(B146-TODAY()&lt;=14,"Due Soon","On Track"))))</f>
        <v/>
      </c>
    </row>
    <row r="147" customFormat="false" ht="15" hidden="false" customHeight="false" outlineLevel="0" collapsed="false">
      <c r="D147" s="0" t="str">
        <f aca="true">IF(A147="","",IF(C147&lt;&gt;"",IF(C147&lt;=B147,"Met - On Time","Met - Late"),IF(TODAY()&gt;B147,"Missed",IF(B147-TODAY()&lt;=14,"Due Soon","On Track"))))</f>
        <v/>
      </c>
    </row>
    <row r="148" customFormat="false" ht="15" hidden="false" customHeight="false" outlineLevel="0" collapsed="false">
      <c r="D148" s="0" t="str">
        <f aca="true">IF(A148="","",IF(C148&lt;&gt;"",IF(C148&lt;=B148,"Met - On Time","Met - Late"),IF(TODAY()&gt;B148,"Missed",IF(B148-TODAY()&lt;=14,"Due Soon","On Track"))))</f>
        <v/>
      </c>
    </row>
    <row r="149" customFormat="false" ht="15" hidden="false" customHeight="false" outlineLevel="0" collapsed="false">
      <c r="D149" s="0" t="str">
        <f aca="true">IF(A149="","",IF(C149&lt;&gt;"",IF(C149&lt;=B149,"Met - On Time","Met - Late"),IF(TODAY()&gt;B149,"Missed",IF(B149-TODAY()&lt;=14,"Due Soon","On Track"))))</f>
        <v/>
      </c>
    </row>
    <row r="150" customFormat="false" ht="15" hidden="false" customHeight="false" outlineLevel="0" collapsed="false">
      <c r="D150" s="0" t="str">
        <f aca="true">IF(A150="","",IF(C150&lt;&gt;"",IF(C150&lt;=B150,"Met - On Time","Met - Late"),IF(TODAY()&gt;B150,"Missed",IF(B150-TODAY()&lt;=14,"Due Soon","On Track"))))</f>
        <v/>
      </c>
    </row>
    <row r="151" customFormat="false" ht="15" hidden="false" customHeight="false" outlineLevel="0" collapsed="false">
      <c r="D151" s="0" t="str">
        <f aca="true">IF(A151="","",IF(C151&lt;&gt;"",IF(C151&lt;=B151,"Met - On Time","Met - Late"),IF(TODAY()&gt;B151,"Missed",IF(B151-TODAY()&lt;=14,"Due Soon","On Track"))))</f>
        <v/>
      </c>
    </row>
    <row r="152" customFormat="false" ht="15" hidden="false" customHeight="false" outlineLevel="0" collapsed="false">
      <c r="D152" s="0" t="str">
        <f aca="true">IF(A152="","",IF(C152&lt;&gt;"",IF(C152&lt;=B152,"Met - On Time","Met - Late"),IF(TODAY()&gt;B152,"Missed",IF(B152-TODAY()&lt;=14,"Due Soon","On Track"))))</f>
        <v/>
      </c>
    </row>
    <row r="153" customFormat="false" ht="15" hidden="false" customHeight="false" outlineLevel="0" collapsed="false">
      <c r="D153" s="0" t="str">
        <f aca="true">IF(A153="","",IF(C153&lt;&gt;"",IF(C153&lt;=B153,"Met - On Time","Met - Late"),IF(TODAY()&gt;B153,"Missed",IF(B153-TODAY()&lt;=14,"Due Soon","On Track"))))</f>
        <v/>
      </c>
    </row>
    <row r="154" customFormat="false" ht="15" hidden="false" customHeight="false" outlineLevel="0" collapsed="false">
      <c r="D154" s="0" t="str">
        <f aca="true">IF(A154="","",IF(C154&lt;&gt;"",IF(C154&lt;=B154,"Met - On Time","Met - Late"),IF(TODAY()&gt;B154,"Missed",IF(B154-TODAY()&lt;=14,"Due Soon","On Track"))))</f>
        <v/>
      </c>
    </row>
    <row r="155" customFormat="false" ht="15" hidden="false" customHeight="false" outlineLevel="0" collapsed="false">
      <c r="D155" s="0" t="str">
        <f aca="true">IF(A155="","",IF(C155&lt;&gt;"",IF(C155&lt;=B155,"Met - On Time","Met - Late"),IF(TODAY()&gt;B155,"Missed",IF(B155-TODAY()&lt;=14,"Due Soon","On Track"))))</f>
        <v/>
      </c>
    </row>
    <row r="156" customFormat="false" ht="15" hidden="false" customHeight="false" outlineLevel="0" collapsed="false">
      <c r="D156" s="0" t="str">
        <f aca="true">IF(A156="","",IF(C156&lt;&gt;"",IF(C156&lt;=B156,"Met - On Time","Met - Late"),IF(TODAY()&gt;B156,"Missed",IF(B156-TODAY()&lt;=14,"Due Soon","On Track"))))</f>
        <v/>
      </c>
    </row>
    <row r="157" customFormat="false" ht="15" hidden="false" customHeight="false" outlineLevel="0" collapsed="false">
      <c r="D157" s="0" t="str">
        <f aca="true">IF(A157="","",IF(C157&lt;&gt;"",IF(C157&lt;=B157,"Met - On Time","Met - Late"),IF(TODAY()&gt;B157,"Missed",IF(B157-TODAY()&lt;=14,"Due Soon","On Track"))))</f>
        <v/>
      </c>
    </row>
    <row r="158" customFormat="false" ht="15" hidden="false" customHeight="false" outlineLevel="0" collapsed="false">
      <c r="D158" s="0" t="str">
        <f aca="true">IF(A158="","",IF(C158&lt;&gt;"",IF(C158&lt;=B158,"Met - On Time","Met - Late"),IF(TODAY()&gt;B158,"Missed",IF(B158-TODAY()&lt;=14,"Due Soon","On Track"))))</f>
        <v/>
      </c>
    </row>
    <row r="159" customFormat="false" ht="15" hidden="false" customHeight="false" outlineLevel="0" collapsed="false">
      <c r="D159" s="0" t="str">
        <f aca="true">IF(A159="","",IF(C159&lt;&gt;"",IF(C159&lt;=B159,"Met - On Time","Met - Late"),IF(TODAY()&gt;B159,"Missed",IF(B159-TODAY()&lt;=14,"Due Soon","On Track"))))</f>
        <v/>
      </c>
    </row>
    <row r="160" customFormat="false" ht="15" hidden="false" customHeight="false" outlineLevel="0" collapsed="false">
      <c r="D160" s="0" t="str">
        <f aca="true">IF(A160="","",IF(C160&lt;&gt;"",IF(C160&lt;=B160,"Met - On Time","Met - Late"),IF(TODAY()&gt;B160,"Missed",IF(B160-TODAY()&lt;=14,"Due Soon","On Track"))))</f>
        <v/>
      </c>
    </row>
    <row r="161" customFormat="false" ht="15" hidden="false" customHeight="false" outlineLevel="0" collapsed="false">
      <c r="D161" s="0" t="str">
        <f aca="true">IF(A161="","",IF(C161&lt;&gt;"",IF(C161&lt;=B161,"Met - On Time","Met - Late"),IF(TODAY()&gt;B161,"Missed",IF(B161-TODAY()&lt;=14,"Due Soon","On Track"))))</f>
        <v/>
      </c>
    </row>
    <row r="162" customFormat="false" ht="15" hidden="false" customHeight="false" outlineLevel="0" collapsed="false">
      <c r="D162" s="0" t="str">
        <f aca="true">IF(A162="","",IF(C162&lt;&gt;"",IF(C162&lt;=B162,"Met - On Time","Met - Late"),IF(TODAY()&gt;B162,"Missed",IF(B162-TODAY()&lt;=14,"Due Soon","On Track"))))</f>
        <v/>
      </c>
    </row>
    <row r="163" customFormat="false" ht="15" hidden="false" customHeight="false" outlineLevel="0" collapsed="false">
      <c r="D163" s="0" t="str">
        <f aca="true">IF(A163="","",IF(C163&lt;&gt;"",IF(C163&lt;=B163,"Met - On Time","Met - Late"),IF(TODAY()&gt;B163,"Missed",IF(B163-TODAY()&lt;=14,"Due Soon","On Track"))))</f>
        <v/>
      </c>
    </row>
    <row r="164" customFormat="false" ht="15" hidden="false" customHeight="false" outlineLevel="0" collapsed="false">
      <c r="D164" s="0" t="str">
        <f aca="true">IF(A164="","",IF(C164&lt;&gt;"",IF(C164&lt;=B164,"Met - On Time","Met - Late"),IF(TODAY()&gt;B164,"Missed",IF(B164-TODAY()&lt;=14,"Due Soon","On Track"))))</f>
        <v/>
      </c>
    </row>
    <row r="165" customFormat="false" ht="15" hidden="false" customHeight="false" outlineLevel="0" collapsed="false">
      <c r="D165" s="0" t="str">
        <f aca="true">IF(A165="","",IF(C165&lt;&gt;"",IF(C165&lt;=B165,"Met - On Time","Met - Late"),IF(TODAY()&gt;B165,"Missed",IF(B165-TODAY()&lt;=14,"Due Soon","On Track"))))</f>
        <v/>
      </c>
    </row>
    <row r="166" customFormat="false" ht="15" hidden="false" customHeight="false" outlineLevel="0" collapsed="false">
      <c r="D166" s="0" t="str">
        <f aca="true">IF(A166="","",IF(C166&lt;&gt;"",IF(C166&lt;=B166,"Met - On Time","Met - Late"),IF(TODAY()&gt;B166,"Missed",IF(B166-TODAY()&lt;=14,"Due Soon","On Track"))))</f>
        <v/>
      </c>
    </row>
    <row r="167" customFormat="false" ht="15" hidden="false" customHeight="false" outlineLevel="0" collapsed="false">
      <c r="D167" s="0" t="str">
        <f aca="true">IF(A167="","",IF(C167&lt;&gt;"",IF(C167&lt;=B167,"Met - On Time","Met - Late"),IF(TODAY()&gt;B167,"Missed",IF(B167-TODAY()&lt;=14,"Due Soon","On Track"))))</f>
        <v/>
      </c>
    </row>
    <row r="168" customFormat="false" ht="15" hidden="false" customHeight="false" outlineLevel="0" collapsed="false">
      <c r="D168" s="0" t="str">
        <f aca="true">IF(A168="","",IF(C168&lt;&gt;"",IF(C168&lt;=B168,"Met - On Time","Met - Late"),IF(TODAY()&gt;B168,"Missed",IF(B168-TODAY()&lt;=14,"Due Soon","On Track"))))</f>
        <v/>
      </c>
    </row>
    <row r="169" customFormat="false" ht="15" hidden="false" customHeight="false" outlineLevel="0" collapsed="false">
      <c r="D169" s="0" t="str">
        <f aca="true">IF(A169="","",IF(C169&lt;&gt;"",IF(C169&lt;=B169,"Met - On Time","Met - Late"),IF(TODAY()&gt;B169,"Missed",IF(B169-TODAY()&lt;=14,"Due Soon","On Track"))))</f>
        <v/>
      </c>
    </row>
    <row r="170" customFormat="false" ht="15" hidden="false" customHeight="false" outlineLevel="0" collapsed="false">
      <c r="D170" s="0" t="str">
        <f aca="true">IF(A170="","",IF(C170&lt;&gt;"",IF(C170&lt;=B170,"Met - On Time","Met - Late"),IF(TODAY()&gt;B170,"Missed",IF(B170-TODAY()&lt;=14,"Due Soon","On Track"))))</f>
        <v/>
      </c>
    </row>
    <row r="171" customFormat="false" ht="15" hidden="false" customHeight="false" outlineLevel="0" collapsed="false">
      <c r="D171" s="0" t="str">
        <f aca="true">IF(A171="","",IF(C171&lt;&gt;"",IF(C171&lt;=B171,"Met - On Time","Met - Late"),IF(TODAY()&gt;B171,"Missed",IF(B171-TODAY()&lt;=14,"Due Soon","On Track"))))</f>
        <v/>
      </c>
    </row>
    <row r="172" customFormat="false" ht="15" hidden="false" customHeight="false" outlineLevel="0" collapsed="false">
      <c r="D172" s="0" t="str">
        <f aca="true">IF(A172="","",IF(C172&lt;&gt;"",IF(C172&lt;=B172,"Met - On Time","Met - Late"),IF(TODAY()&gt;B172,"Missed",IF(B172-TODAY()&lt;=14,"Due Soon","On Track"))))</f>
        <v/>
      </c>
    </row>
    <row r="173" customFormat="false" ht="15" hidden="false" customHeight="false" outlineLevel="0" collapsed="false">
      <c r="D173" s="0" t="str">
        <f aca="true">IF(A173="","",IF(C173&lt;&gt;"",IF(C173&lt;=B173,"Met - On Time","Met - Late"),IF(TODAY()&gt;B173,"Missed",IF(B173-TODAY()&lt;=14,"Due Soon","On Track"))))</f>
        <v/>
      </c>
    </row>
    <row r="174" customFormat="false" ht="15" hidden="false" customHeight="false" outlineLevel="0" collapsed="false">
      <c r="D174" s="0" t="str">
        <f aca="true">IF(A174="","",IF(C174&lt;&gt;"",IF(C174&lt;=B174,"Met - On Time","Met - Late"),IF(TODAY()&gt;B174,"Missed",IF(B174-TODAY()&lt;=14,"Due Soon","On Track"))))</f>
        <v/>
      </c>
    </row>
    <row r="175" customFormat="false" ht="15" hidden="false" customHeight="false" outlineLevel="0" collapsed="false">
      <c r="D175" s="0" t="str">
        <f aca="true">IF(A175="","",IF(C175&lt;&gt;"",IF(C175&lt;=B175,"Met - On Time","Met - Late"),IF(TODAY()&gt;B175,"Missed",IF(B175-TODAY()&lt;=14,"Due Soon","On Track"))))</f>
        <v/>
      </c>
    </row>
    <row r="176" customFormat="false" ht="15" hidden="false" customHeight="false" outlineLevel="0" collapsed="false">
      <c r="D176" s="0" t="str">
        <f aca="true">IF(A176="","",IF(C176&lt;&gt;"",IF(C176&lt;=B176,"Met - On Time","Met - Late"),IF(TODAY()&gt;B176,"Missed",IF(B176-TODAY()&lt;=14,"Due Soon","On Track"))))</f>
        <v/>
      </c>
    </row>
    <row r="177" customFormat="false" ht="15" hidden="false" customHeight="false" outlineLevel="0" collapsed="false">
      <c r="D177" s="0" t="str">
        <f aca="true">IF(A177="","",IF(C177&lt;&gt;"",IF(C177&lt;=B177,"Met - On Time","Met - Late"),IF(TODAY()&gt;B177,"Missed",IF(B177-TODAY()&lt;=14,"Due Soon","On Track"))))</f>
        <v/>
      </c>
    </row>
    <row r="178" customFormat="false" ht="15" hidden="false" customHeight="false" outlineLevel="0" collapsed="false">
      <c r="D178" s="0" t="str">
        <f aca="true">IF(A178="","",IF(C178&lt;&gt;"",IF(C178&lt;=B178,"Met - On Time","Met - Late"),IF(TODAY()&gt;B178,"Missed",IF(B178-TODAY()&lt;=14,"Due Soon","On Track"))))</f>
        <v/>
      </c>
    </row>
    <row r="179" customFormat="false" ht="15" hidden="false" customHeight="false" outlineLevel="0" collapsed="false">
      <c r="D179" s="0" t="str">
        <f aca="true">IF(A179="","",IF(C179&lt;&gt;"",IF(C179&lt;=B179,"Met - On Time","Met - Late"),IF(TODAY()&gt;B179,"Missed",IF(B179-TODAY()&lt;=14,"Due Soon","On Track"))))</f>
        <v/>
      </c>
    </row>
    <row r="180" customFormat="false" ht="15" hidden="false" customHeight="false" outlineLevel="0" collapsed="false">
      <c r="D180" s="0" t="str">
        <f aca="true">IF(A180="","",IF(C180&lt;&gt;"",IF(C180&lt;=B180,"Met - On Time","Met - Late"),IF(TODAY()&gt;B180,"Missed",IF(B180-TODAY()&lt;=14,"Due Soon","On Track"))))</f>
        <v/>
      </c>
    </row>
    <row r="181" customFormat="false" ht="15" hidden="false" customHeight="false" outlineLevel="0" collapsed="false">
      <c r="D181" s="0" t="str">
        <f aca="true">IF(A181="","",IF(C181&lt;&gt;"",IF(C181&lt;=B181,"Met - On Time","Met - Late"),IF(TODAY()&gt;B181,"Missed",IF(B181-TODAY()&lt;=14,"Due Soon","On Track"))))</f>
        <v/>
      </c>
    </row>
    <row r="182" customFormat="false" ht="15" hidden="false" customHeight="false" outlineLevel="0" collapsed="false">
      <c r="D182" s="0" t="str">
        <f aca="true">IF(A182="","",IF(C182&lt;&gt;"",IF(C182&lt;=B182,"Met - On Time","Met - Late"),IF(TODAY()&gt;B182,"Missed",IF(B182-TODAY()&lt;=14,"Due Soon","On Track"))))</f>
        <v/>
      </c>
    </row>
    <row r="183" customFormat="false" ht="15" hidden="false" customHeight="false" outlineLevel="0" collapsed="false">
      <c r="D183" s="0" t="str">
        <f aca="true">IF(A183="","",IF(C183&lt;&gt;"",IF(C183&lt;=B183,"Met - On Time","Met - Late"),IF(TODAY()&gt;B183,"Missed",IF(B183-TODAY()&lt;=14,"Due Soon","On Track"))))</f>
        <v/>
      </c>
    </row>
    <row r="184" customFormat="false" ht="15" hidden="false" customHeight="false" outlineLevel="0" collapsed="false">
      <c r="D184" s="0" t="str">
        <f aca="true">IF(A184="","",IF(C184&lt;&gt;"",IF(C184&lt;=B184,"Met - On Time","Met - Late"),IF(TODAY()&gt;B184,"Missed",IF(B184-TODAY()&lt;=14,"Due Soon","On Track"))))</f>
        <v/>
      </c>
    </row>
    <row r="185" customFormat="false" ht="15" hidden="false" customHeight="false" outlineLevel="0" collapsed="false">
      <c r="D185" s="0" t="str">
        <f aca="true">IF(A185="","",IF(C185&lt;&gt;"",IF(C185&lt;=B185,"Met - On Time","Met - Late"),IF(TODAY()&gt;B185,"Missed",IF(B185-TODAY()&lt;=14,"Due Soon","On Track"))))</f>
        <v/>
      </c>
    </row>
    <row r="186" customFormat="false" ht="15" hidden="false" customHeight="false" outlineLevel="0" collapsed="false">
      <c r="D186" s="0" t="str">
        <f aca="true">IF(A186="","",IF(C186&lt;&gt;"",IF(C186&lt;=B186,"Met - On Time","Met - Late"),IF(TODAY()&gt;B186,"Missed",IF(B186-TODAY()&lt;=14,"Due Soon","On Track"))))</f>
        <v/>
      </c>
    </row>
    <row r="187" customFormat="false" ht="15" hidden="false" customHeight="false" outlineLevel="0" collapsed="false">
      <c r="D187" s="0" t="str">
        <f aca="true">IF(A187="","",IF(C187&lt;&gt;"",IF(C187&lt;=B187,"Met - On Time","Met - Late"),IF(TODAY()&gt;B187,"Missed",IF(B187-TODAY()&lt;=14,"Due Soon","On Track"))))</f>
        <v/>
      </c>
    </row>
    <row r="188" customFormat="false" ht="15" hidden="false" customHeight="false" outlineLevel="0" collapsed="false">
      <c r="D188" s="0" t="str">
        <f aca="true">IF(A188="","",IF(C188&lt;&gt;"",IF(C188&lt;=B188,"Met - On Time","Met - Late"),IF(TODAY()&gt;B188,"Missed",IF(B188-TODAY()&lt;=14,"Due Soon","On Track"))))</f>
        <v/>
      </c>
    </row>
    <row r="189" customFormat="false" ht="15" hidden="false" customHeight="false" outlineLevel="0" collapsed="false">
      <c r="D189" s="0" t="str">
        <f aca="true">IF(A189="","",IF(C189&lt;&gt;"",IF(C189&lt;=B189,"Met - On Time","Met - Late"),IF(TODAY()&gt;B189,"Missed",IF(B189-TODAY()&lt;=14,"Due Soon","On Track"))))</f>
        <v/>
      </c>
    </row>
    <row r="190" customFormat="false" ht="15" hidden="false" customHeight="false" outlineLevel="0" collapsed="false">
      <c r="D190" s="0" t="str">
        <f aca="true">IF(A190="","",IF(C190&lt;&gt;"",IF(C190&lt;=B190,"Met - On Time","Met - Late"),IF(TODAY()&gt;B190,"Missed",IF(B190-TODAY()&lt;=14,"Due Soon","On Track"))))</f>
        <v/>
      </c>
    </row>
    <row r="191" customFormat="false" ht="15" hidden="false" customHeight="false" outlineLevel="0" collapsed="false">
      <c r="D191" s="0" t="str">
        <f aca="true">IF(A191="","",IF(C191&lt;&gt;"",IF(C191&lt;=B191,"Met - On Time","Met - Late"),IF(TODAY()&gt;B191,"Missed",IF(B191-TODAY()&lt;=14,"Due Soon","On Track"))))</f>
        <v/>
      </c>
    </row>
    <row r="192" customFormat="false" ht="15" hidden="false" customHeight="false" outlineLevel="0" collapsed="false">
      <c r="D192" s="0" t="str">
        <f aca="true">IF(A192="","",IF(C192&lt;&gt;"",IF(C192&lt;=B192,"Met - On Time","Met - Late"),IF(TODAY()&gt;B192,"Missed",IF(B192-TODAY()&lt;=14,"Due Soon","On Track"))))</f>
        <v/>
      </c>
    </row>
    <row r="193" customFormat="false" ht="15" hidden="false" customHeight="false" outlineLevel="0" collapsed="false">
      <c r="D193" s="0" t="str">
        <f aca="true">IF(A193="","",IF(C193&lt;&gt;"",IF(C193&lt;=B193,"Met - On Time","Met - Late"),IF(TODAY()&gt;B193,"Missed",IF(B193-TODAY()&lt;=14,"Due Soon","On Track"))))</f>
        <v/>
      </c>
    </row>
    <row r="194" customFormat="false" ht="15" hidden="false" customHeight="false" outlineLevel="0" collapsed="false">
      <c r="D194" s="0" t="str">
        <f aca="true">IF(A194="","",IF(C194&lt;&gt;"",IF(C194&lt;=B194,"Met - On Time","Met - Late"),IF(TODAY()&gt;B194,"Missed",IF(B194-TODAY()&lt;=14,"Due Soon","On Track"))))</f>
        <v/>
      </c>
    </row>
    <row r="195" customFormat="false" ht="15" hidden="false" customHeight="false" outlineLevel="0" collapsed="false">
      <c r="D195" s="0" t="str">
        <f aca="true">IF(A195="","",IF(C195&lt;&gt;"",IF(C195&lt;=B195,"Met - On Time","Met - Late"),IF(TODAY()&gt;B195,"Missed",IF(B195-TODAY()&lt;=14,"Due Soon","On Track"))))</f>
        <v/>
      </c>
    </row>
    <row r="196" customFormat="false" ht="15" hidden="false" customHeight="false" outlineLevel="0" collapsed="false">
      <c r="D196" s="0" t="str">
        <f aca="true">IF(A196="","",IF(C196&lt;&gt;"",IF(C196&lt;=B196,"Met - On Time","Met - Late"),IF(TODAY()&gt;B196,"Missed",IF(B196-TODAY()&lt;=14,"Due Soon","On Track"))))</f>
        <v/>
      </c>
    </row>
    <row r="197" customFormat="false" ht="15" hidden="false" customHeight="false" outlineLevel="0" collapsed="false">
      <c r="D197" s="0" t="str">
        <f aca="true">IF(A197="","",IF(C197&lt;&gt;"",IF(C197&lt;=B197,"Met - On Time","Met - Late"),IF(TODAY()&gt;B197,"Missed",IF(B197-TODAY()&lt;=14,"Due Soon","On Track"))))</f>
        <v/>
      </c>
    </row>
    <row r="198" customFormat="false" ht="15" hidden="false" customHeight="false" outlineLevel="0" collapsed="false">
      <c r="D198" s="0" t="str">
        <f aca="true">IF(A198="","",IF(C198&lt;&gt;"",IF(C198&lt;=B198,"Met - On Time","Met - Late"),IF(TODAY()&gt;B198,"Missed",IF(B198-TODAY()&lt;=14,"Due Soon","On Track"))))</f>
        <v/>
      </c>
    </row>
    <row r="199" customFormat="false" ht="15" hidden="false" customHeight="false" outlineLevel="0" collapsed="false">
      <c r="D199" s="0" t="str">
        <f aca="true">IF(A199="","",IF(C199&lt;&gt;"",IF(C199&lt;=B199,"Met - On Time","Met - Late"),IF(TODAY()&gt;B199,"Missed",IF(B199-TODAY()&lt;=14,"Due Soon","On Track"))))</f>
        <v/>
      </c>
    </row>
    <row r="200" customFormat="false" ht="15" hidden="false" customHeight="false" outlineLevel="0" collapsed="false">
      <c r="D200" s="0" t="str">
        <f aca="true">IF(A200="","",IF(C200&lt;&gt;"",IF(C200&lt;=B200,"Met - On Time","Met - Late"),IF(TODAY()&gt;B200,"Missed",IF(B200-TODAY()&lt;=14,"Due Soon","On Track"))))</f>
        <v/>
      </c>
    </row>
    <row r="201" customFormat="false" ht="15" hidden="false" customHeight="false" outlineLevel="0" collapsed="false">
      <c r="D201" s="0" t="str">
        <f aca="true">IF(A201="","",IF(C201&lt;&gt;"",IF(C201&lt;=B201,"Met - On Time","Met - Late"),IF(TODAY()&gt;B201,"Missed",IF(B201-TODAY()&lt;=14,"Due Soon","On Track"))))</f>
        <v/>
      </c>
    </row>
    <row r="202" customFormat="false" ht="15" hidden="false" customHeight="false" outlineLevel="0" collapsed="false">
      <c r="D202" s="0" t="str">
        <f aca="true">IF(A202="","",IF(C202&lt;&gt;"",IF(C202&lt;=B202,"Met - On Time","Met - Late"),IF(TODAY()&gt;B202,"Missed",IF(B202-TODAY()&lt;=14,"Due Soon","On Track"))))</f>
        <v/>
      </c>
    </row>
    <row r="203" customFormat="false" ht="15" hidden="false" customHeight="false" outlineLevel="0" collapsed="false">
      <c r="D203" s="0" t="str">
        <f aca="true">IF(A203="","",IF(C203&lt;&gt;"",IF(C203&lt;=B203,"Met - On Time","Met - Late"),IF(TODAY()&gt;B203,"Missed",IF(B203-TODAY()&lt;=14,"Due Soon","On Track"))))</f>
        <v/>
      </c>
    </row>
    <row r="204" customFormat="false" ht="15" hidden="false" customHeight="false" outlineLevel="0" collapsed="false">
      <c r="D204" s="0" t="str">
        <f aca="true">IF(A204="","",IF(C204&lt;&gt;"",IF(C204&lt;=B204,"Met - On Time","Met - Late"),IF(TODAY()&gt;B204,"Missed",IF(B204-TODAY()&lt;=14,"Due Soon","On Track"))))</f>
        <v/>
      </c>
    </row>
    <row r="205" customFormat="false" ht="15" hidden="false" customHeight="false" outlineLevel="0" collapsed="false">
      <c r="D205" s="0" t="str">
        <f aca="true">IF(A205="","",IF(C205&lt;&gt;"",IF(C205&lt;=B205,"Met - On Time","Met - Late"),IF(TODAY()&gt;B205,"Missed",IF(B205-TODAY()&lt;=14,"Due Soon","On Track"))))</f>
        <v/>
      </c>
    </row>
    <row r="206" customFormat="false" ht="15" hidden="false" customHeight="false" outlineLevel="0" collapsed="false">
      <c r="D206" s="0" t="str">
        <f aca="true">IF(A206="","",IF(C206&lt;&gt;"",IF(C206&lt;=B206,"Met - On Time","Met - Late"),IF(TODAY()&gt;B206,"Missed",IF(B206-TODAY()&lt;=14,"Due Soon","On Track"))))</f>
        <v/>
      </c>
    </row>
    <row r="207" customFormat="false" ht="15" hidden="false" customHeight="false" outlineLevel="0" collapsed="false">
      <c r="D207" s="0" t="str">
        <f aca="true">IF(A207="","",IF(C207&lt;&gt;"",IF(C207&lt;=B207,"Met - On Time","Met - Late"),IF(TODAY()&gt;B207,"Missed",IF(B207-TODAY()&lt;=14,"Due Soon","On Track"))))</f>
        <v/>
      </c>
    </row>
    <row r="208" customFormat="false" ht="15" hidden="false" customHeight="false" outlineLevel="0" collapsed="false">
      <c r="D208" s="0" t="str">
        <f aca="true">IF(A208="","",IF(C208&lt;&gt;"",IF(C208&lt;=B208,"Met - On Time","Met - Late"),IF(TODAY()&gt;B208,"Missed",IF(B208-TODAY()&lt;=14,"Due Soon","On Track"))))</f>
        <v/>
      </c>
    </row>
    <row r="209" customFormat="false" ht="15" hidden="false" customHeight="false" outlineLevel="0" collapsed="false">
      <c r="D209" s="0" t="str">
        <f aca="true">IF(A209="","",IF(C209&lt;&gt;"",IF(C209&lt;=B209,"Met - On Time","Met - Late"),IF(TODAY()&gt;B209,"Missed",IF(B209-TODAY()&lt;=14,"Due Soon","On Track"))))</f>
        <v/>
      </c>
    </row>
    <row r="210" customFormat="false" ht="15" hidden="false" customHeight="false" outlineLevel="0" collapsed="false">
      <c r="D210" s="0" t="str">
        <f aca="true">IF(A210="","",IF(C210&lt;&gt;"",IF(C210&lt;=B210,"Met - On Time","Met - Late"),IF(TODAY()&gt;B210,"Missed",IF(B210-TODAY()&lt;=14,"Due Soon","On Track"))))</f>
        <v/>
      </c>
    </row>
    <row r="211" customFormat="false" ht="15" hidden="false" customHeight="false" outlineLevel="0" collapsed="false">
      <c r="D211" s="0" t="str">
        <f aca="true">IF(A211="","",IF(C211&lt;&gt;"",IF(C211&lt;=B211,"Met - On Time","Met - Late"),IF(TODAY()&gt;B211,"Missed",IF(B211-TODAY()&lt;=14,"Due Soon","On Track"))))</f>
        <v/>
      </c>
    </row>
    <row r="212" customFormat="false" ht="15" hidden="false" customHeight="false" outlineLevel="0" collapsed="false">
      <c r="D212" s="0" t="str">
        <f aca="true">IF(A212="","",IF(C212&lt;&gt;"",IF(C212&lt;=B212,"Met - On Time","Met - Late"),IF(TODAY()&gt;B212,"Missed",IF(B212-TODAY()&lt;=14,"Due Soon","On Track"))))</f>
        <v/>
      </c>
    </row>
    <row r="213" customFormat="false" ht="15" hidden="false" customHeight="false" outlineLevel="0" collapsed="false">
      <c r="D213" s="0" t="str">
        <f aca="true">IF(A213="","",IF(C213&lt;&gt;"",IF(C213&lt;=B213,"Met - On Time","Met - Late"),IF(TODAY()&gt;B213,"Missed",IF(B213-TODAY()&lt;=14,"Due Soon","On Track"))))</f>
        <v/>
      </c>
    </row>
    <row r="214" customFormat="false" ht="15" hidden="false" customHeight="false" outlineLevel="0" collapsed="false">
      <c r="D214" s="0" t="str">
        <f aca="true">IF(A214="","",IF(C214&lt;&gt;"",IF(C214&lt;=B214,"Met - On Time","Met - Late"),IF(TODAY()&gt;B214,"Missed",IF(B214-TODAY()&lt;=14,"Due Soon","On Track"))))</f>
        <v/>
      </c>
    </row>
    <row r="215" customFormat="false" ht="15" hidden="false" customHeight="false" outlineLevel="0" collapsed="false">
      <c r="D215" s="0" t="str">
        <f aca="true">IF(A215="","",IF(C215&lt;&gt;"",IF(C215&lt;=B215,"Met - On Time","Met - Late"),IF(TODAY()&gt;B215,"Missed",IF(B215-TODAY()&lt;=14,"Due Soon","On Track"))))</f>
        <v/>
      </c>
    </row>
    <row r="216" customFormat="false" ht="15" hidden="false" customHeight="false" outlineLevel="0" collapsed="false">
      <c r="D216" s="0" t="str">
        <f aca="true">IF(A216="","",IF(C216&lt;&gt;"",IF(C216&lt;=B216,"Met - On Time","Met - Late"),IF(TODAY()&gt;B216,"Missed",IF(B216-TODAY()&lt;=14,"Due Soon","On Track"))))</f>
        <v/>
      </c>
    </row>
    <row r="217" customFormat="false" ht="15" hidden="false" customHeight="false" outlineLevel="0" collapsed="false">
      <c r="D217" s="0" t="str">
        <f aca="true">IF(A217="","",IF(C217&lt;&gt;"",IF(C217&lt;=B217,"Met - On Time","Met - Late"),IF(TODAY()&gt;B217,"Missed",IF(B217-TODAY()&lt;=14,"Due Soon","On Track"))))</f>
        <v/>
      </c>
    </row>
    <row r="218" customFormat="false" ht="15" hidden="false" customHeight="false" outlineLevel="0" collapsed="false">
      <c r="D218" s="0" t="str">
        <f aca="true">IF(A218="","",IF(C218&lt;&gt;"",IF(C218&lt;=B218,"Met - On Time","Met - Late"),IF(TODAY()&gt;B218,"Missed",IF(B218-TODAY()&lt;=14,"Due Soon","On Track"))))</f>
        <v/>
      </c>
    </row>
    <row r="219" customFormat="false" ht="15" hidden="false" customHeight="false" outlineLevel="0" collapsed="false">
      <c r="D219" s="0" t="str">
        <f aca="true">IF(A219="","",IF(C219&lt;&gt;"",IF(C219&lt;=B219,"Met - On Time","Met - Late"),IF(TODAY()&gt;B219,"Missed",IF(B219-TODAY()&lt;=14,"Due Soon","On Track"))))</f>
        <v/>
      </c>
    </row>
    <row r="220" customFormat="false" ht="15" hidden="false" customHeight="false" outlineLevel="0" collapsed="false">
      <c r="D220" s="0" t="str">
        <f aca="true">IF(A220="","",IF(C220&lt;&gt;"",IF(C220&lt;=B220,"Met - On Time","Met - Late"),IF(TODAY()&gt;B220,"Missed",IF(B220-TODAY()&lt;=14,"Due Soon","On Track"))))</f>
        <v/>
      </c>
    </row>
    <row r="221" customFormat="false" ht="15" hidden="false" customHeight="false" outlineLevel="0" collapsed="false">
      <c r="D221" s="0" t="str">
        <f aca="true">IF(A221="","",IF(C221&lt;&gt;"",IF(C221&lt;=B221,"Met - On Time","Met - Late"),IF(TODAY()&gt;B221,"Missed",IF(B221-TODAY()&lt;=14,"Due Soon","On Track"))))</f>
        <v/>
      </c>
    </row>
    <row r="222" customFormat="false" ht="15" hidden="false" customHeight="false" outlineLevel="0" collapsed="false">
      <c r="D222" s="0" t="str">
        <f aca="true">IF(A222="","",IF(C222&lt;&gt;"",IF(C222&lt;=B222,"Met - On Time","Met - Late"),IF(TODAY()&gt;B222,"Missed",IF(B222-TODAY()&lt;=14,"Due Soon","On Track"))))</f>
        <v/>
      </c>
    </row>
    <row r="223" customFormat="false" ht="15" hidden="false" customHeight="false" outlineLevel="0" collapsed="false">
      <c r="D223" s="0" t="str">
        <f aca="true">IF(A223="","",IF(C223&lt;&gt;"",IF(C223&lt;=B223,"Met - On Time","Met - Late"),IF(TODAY()&gt;B223,"Missed",IF(B223-TODAY()&lt;=14,"Due Soon","On Track"))))</f>
        <v/>
      </c>
    </row>
    <row r="224" customFormat="false" ht="15" hidden="false" customHeight="false" outlineLevel="0" collapsed="false">
      <c r="D224" s="0" t="str">
        <f aca="true">IF(A224="","",IF(C224&lt;&gt;"",IF(C224&lt;=B224,"Met - On Time","Met - Late"),IF(TODAY()&gt;B224,"Missed",IF(B224-TODAY()&lt;=14,"Due Soon","On Track"))))</f>
        <v/>
      </c>
    </row>
    <row r="225" customFormat="false" ht="15" hidden="false" customHeight="false" outlineLevel="0" collapsed="false">
      <c r="D225" s="0" t="str">
        <f aca="true">IF(A225="","",IF(C225&lt;&gt;"",IF(C225&lt;=B225,"Met - On Time","Met - Late"),IF(TODAY()&gt;B225,"Missed",IF(B225-TODAY()&lt;=14,"Due Soon","On Track"))))</f>
        <v/>
      </c>
    </row>
    <row r="226" customFormat="false" ht="15" hidden="false" customHeight="false" outlineLevel="0" collapsed="false">
      <c r="D226" s="0" t="str">
        <f aca="true">IF(A226="","",IF(C226&lt;&gt;"",IF(C226&lt;=B226,"Met - On Time","Met - Late"),IF(TODAY()&gt;B226,"Missed",IF(B226-TODAY()&lt;=14,"Due Soon","On Track"))))</f>
        <v/>
      </c>
    </row>
    <row r="227" customFormat="false" ht="15" hidden="false" customHeight="false" outlineLevel="0" collapsed="false">
      <c r="D227" s="0" t="str">
        <f aca="true">IF(A227="","",IF(C227&lt;&gt;"",IF(C227&lt;=B227,"Met - On Time","Met - Late"),IF(TODAY()&gt;B227,"Missed",IF(B227-TODAY()&lt;=14,"Due Soon","On Track"))))</f>
        <v/>
      </c>
    </row>
    <row r="228" customFormat="false" ht="15" hidden="false" customHeight="false" outlineLevel="0" collapsed="false">
      <c r="D228" s="0" t="str">
        <f aca="true">IF(A228="","",IF(C228&lt;&gt;"",IF(C228&lt;=B228,"Met - On Time","Met - Late"),IF(TODAY()&gt;B228,"Missed",IF(B228-TODAY()&lt;=14,"Due Soon","On Track"))))</f>
        <v/>
      </c>
    </row>
    <row r="229" customFormat="false" ht="15" hidden="false" customHeight="false" outlineLevel="0" collapsed="false">
      <c r="D229" s="0" t="str">
        <f aca="true">IF(A229="","",IF(C229&lt;&gt;"",IF(C229&lt;=B229,"Met - On Time","Met - Late"),IF(TODAY()&gt;B229,"Missed",IF(B229-TODAY()&lt;=14,"Due Soon","On Track"))))</f>
        <v/>
      </c>
    </row>
    <row r="230" customFormat="false" ht="15" hidden="false" customHeight="false" outlineLevel="0" collapsed="false">
      <c r="D230" s="0" t="str">
        <f aca="true">IF(A230="","",IF(C230&lt;&gt;"",IF(C230&lt;=B230,"Met - On Time","Met - Late"),IF(TODAY()&gt;B230,"Missed",IF(B230-TODAY()&lt;=14,"Due Soon","On Track"))))</f>
        <v/>
      </c>
    </row>
    <row r="231" customFormat="false" ht="15" hidden="false" customHeight="false" outlineLevel="0" collapsed="false">
      <c r="D231" s="0" t="str">
        <f aca="true">IF(A231="","",IF(C231&lt;&gt;"",IF(C231&lt;=B231,"Met - On Time","Met - Late"),IF(TODAY()&gt;B231,"Missed",IF(B231-TODAY()&lt;=14,"Due Soon","On Track"))))</f>
        <v/>
      </c>
    </row>
    <row r="232" customFormat="false" ht="15" hidden="false" customHeight="false" outlineLevel="0" collapsed="false">
      <c r="D232" s="0" t="str">
        <f aca="true">IF(A232="","",IF(C232&lt;&gt;"",IF(C232&lt;=B232,"Met - On Time","Met - Late"),IF(TODAY()&gt;B232,"Missed",IF(B232-TODAY()&lt;=14,"Due Soon","On Track"))))</f>
        <v/>
      </c>
    </row>
    <row r="233" customFormat="false" ht="15" hidden="false" customHeight="false" outlineLevel="0" collapsed="false">
      <c r="D233" s="0" t="str">
        <f aca="true">IF(A233="","",IF(C233&lt;&gt;"",IF(C233&lt;=B233,"Met - On Time","Met - Late"),IF(TODAY()&gt;B233,"Missed",IF(B233-TODAY()&lt;=14,"Due Soon","On Track"))))</f>
        <v/>
      </c>
    </row>
    <row r="234" customFormat="false" ht="15" hidden="false" customHeight="false" outlineLevel="0" collapsed="false">
      <c r="D234" s="0" t="str">
        <f aca="true">IF(A234="","",IF(C234&lt;&gt;"",IF(C234&lt;=B234,"Met - On Time","Met - Late"),IF(TODAY()&gt;B234,"Missed",IF(B234-TODAY()&lt;=14,"Due Soon","On Track"))))</f>
        <v/>
      </c>
    </row>
    <row r="235" customFormat="false" ht="15" hidden="false" customHeight="false" outlineLevel="0" collapsed="false">
      <c r="D235" s="0" t="str">
        <f aca="true">IF(A235="","",IF(C235&lt;&gt;"",IF(C235&lt;=B235,"Met - On Time","Met - Late"),IF(TODAY()&gt;B235,"Missed",IF(B235-TODAY()&lt;=14,"Due Soon","On Track"))))</f>
        <v/>
      </c>
    </row>
    <row r="236" customFormat="false" ht="15" hidden="false" customHeight="false" outlineLevel="0" collapsed="false">
      <c r="D236" s="0" t="str">
        <f aca="true">IF(A236="","",IF(C236&lt;&gt;"",IF(C236&lt;=B236,"Met - On Time","Met - Late"),IF(TODAY()&gt;B236,"Missed",IF(B236-TODAY()&lt;=14,"Due Soon","On Track"))))</f>
        <v/>
      </c>
    </row>
    <row r="237" customFormat="false" ht="15" hidden="false" customHeight="false" outlineLevel="0" collapsed="false">
      <c r="D237" s="0" t="str">
        <f aca="true">IF(A237="","",IF(C237&lt;&gt;"",IF(C237&lt;=B237,"Met - On Time","Met - Late"),IF(TODAY()&gt;B237,"Missed",IF(B237-TODAY()&lt;=14,"Due Soon","On Track"))))</f>
        <v/>
      </c>
    </row>
    <row r="238" customFormat="false" ht="15" hidden="false" customHeight="false" outlineLevel="0" collapsed="false">
      <c r="D238" s="0" t="str">
        <f aca="true">IF(A238="","",IF(C238&lt;&gt;"",IF(C238&lt;=B238,"Met - On Time","Met - Late"),IF(TODAY()&gt;B238,"Missed",IF(B238-TODAY()&lt;=14,"Due Soon","On Track"))))</f>
        <v/>
      </c>
    </row>
    <row r="239" customFormat="false" ht="15" hidden="false" customHeight="false" outlineLevel="0" collapsed="false">
      <c r="D239" s="0" t="str">
        <f aca="true">IF(A239="","",IF(C239&lt;&gt;"",IF(C239&lt;=B239,"Met - On Time","Met - Late"),IF(TODAY()&gt;B239,"Missed",IF(B239-TODAY()&lt;=14,"Due Soon","On Track"))))</f>
        <v/>
      </c>
    </row>
    <row r="240" customFormat="false" ht="15" hidden="false" customHeight="false" outlineLevel="0" collapsed="false">
      <c r="D240" s="0" t="str">
        <f aca="true">IF(A240="","",IF(C240&lt;&gt;"",IF(C240&lt;=B240,"Met - On Time","Met - Late"),IF(TODAY()&gt;B240,"Missed",IF(B240-TODAY()&lt;=14,"Due Soon","On Track"))))</f>
        <v/>
      </c>
    </row>
    <row r="241" customFormat="false" ht="15" hidden="false" customHeight="false" outlineLevel="0" collapsed="false">
      <c r="D241" s="0" t="str">
        <f aca="true">IF(A241="","",IF(C241&lt;&gt;"",IF(C241&lt;=B241,"Met - On Time","Met - Late"),IF(TODAY()&gt;B241,"Missed",IF(B241-TODAY()&lt;=14,"Due Soon","On Track"))))</f>
        <v/>
      </c>
    </row>
    <row r="242" customFormat="false" ht="15" hidden="false" customHeight="false" outlineLevel="0" collapsed="false">
      <c r="D242" s="0" t="str">
        <f aca="true">IF(A242="","",IF(C242&lt;&gt;"",IF(C242&lt;=B242,"Met - On Time","Met - Late"),IF(TODAY()&gt;B242,"Missed",IF(B242-TODAY()&lt;=14,"Due Soon","On Track"))))</f>
        <v/>
      </c>
    </row>
    <row r="243" customFormat="false" ht="15" hidden="false" customHeight="false" outlineLevel="0" collapsed="false">
      <c r="D243" s="0" t="str">
        <f aca="true">IF(A243="","",IF(C243&lt;&gt;"",IF(C243&lt;=B243,"Met - On Time","Met - Late"),IF(TODAY()&gt;B243,"Missed",IF(B243-TODAY()&lt;=14,"Due Soon","On Track"))))</f>
        <v/>
      </c>
    </row>
    <row r="244" customFormat="false" ht="15" hidden="false" customHeight="false" outlineLevel="0" collapsed="false">
      <c r="D244" s="0" t="str">
        <f aca="true">IF(A244="","",IF(C244&lt;&gt;"",IF(C244&lt;=B244,"Met - On Time","Met - Late"),IF(TODAY()&gt;B244,"Missed",IF(B244-TODAY()&lt;=14,"Due Soon","On Track"))))</f>
        <v/>
      </c>
    </row>
    <row r="245" customFormat="false" ht="15" hidden="false" customHeight="false" outlineLevel="0" collapsed="false">
      <c r="D245" s="0" t="str">
        <f aca="true">IF(A245="","",IF(C245&lt;&gt;"",IF(C245&lt;=B245,"Met - On Time","Met - Late"),IF(TODAY()&gt;B245,"Missed",IF(B245-TODAY()&lt;=14,"Due Soon","On Track"))))</f>
        <v/>
      </c>
    </row>
    <row r="246" customFormat="false" ht="15" hidden="false" customHeight="false" outlineLevel="0" collapsed="false">
      <c r="D246" s="0" t="str">
        <f aca="true">IF(A246="","",IF(C246&lt;&gt;"",IF(C246&lt;=B246,"Met - On Time","Met - Late"),IF(TODAY()&gt;B246,"Missed",IF(B246-TODAY()&lt;=14,"Due Soon","On Track"))))</f>
        <v/>
      </c>
    </row>
    <row r="247" customFormat="false" ht="15" hidden="false" customHeight="false" outlineLevel="0" collapsed="false">
      <c r="D247" s="0" t="str">
        <f aca="true">IF(A247="","",IF(C247&lt;&gt;"",IF(C247&lt;=B247,"Met - On Time","Met - Late"),IF(TODAY()&gt;B247,"Missed",IF(B247-TODAY()&lt;=14,"Due Soon","On Track"))))</f>
        <v/>
      </c>
    </row>
    <row r="248" customFormat="false" ht="15" hidden="false" customHeight="false" outlineLevel="0" collapsed="false">
      <c r="D248" s="0" t="str">
        <f aca="true">IF(A248="","",IF(C248&lt;&gt;"",IF(C248&lt;=B248,"Met - On Time","Met - Late"),IF(TODAY()&gt;B248,"Missed",IF(B248-TODAY()&lt;=14,"Due Soon","On Track"))))</f>
        <v/>
      </c>
    </row>
    <row r="249" customFormat="false" ht="15" hidden="false" customHeight="false" outlineLevel="0" collapsed="false">
      <c r="D249" s="0" t="str">
        <f aca="true">IF(A249="","",IF(C249&lt;&gt;"",IF(C249&lt;=B249,"Met - On Time","Met - Late"),IF(TODAY()&gt;B249,"Missed",IF(B249-TODAY()&lt;=14,"Due Soon","On Track"))))</f>
        <v/>
      </c>
    </row>
    <row r="250" customFormat="false" ht="15" hidden="false" customHeight="false" outlineLevel="0" collapsed="false">
      <c r="D250" s="0" t="str">
        <f aca="true">IF(A250="","",IF(C250&lt;&gt;"",IF(C250&lt;=B250,"Met - On Time","Met - Late"),IF(TODAY()&gt;B250,"Missed",IF(B250-TODAY()&lt;=14,"Due Soon","On Track"))))</f>
        <v/>
      </c>
    </row>
    <row r="251" customFormat="false" ht="15" hidden="false" customHeight="false" outlineLevel="0" collapsed="false">
      <c r="D251" s="0" t="str">
        <f aca="true">IF(A251="","",IF(C251&lt;&gt;"",IF(C251&lt;=B251,"Met - On Time","Met - Late"),IF(TODAY()&gt;B251,"Missed",IF(B251-TODAY()&lt;=14,"Due Soon","On Track"))))</f>
        <v/>
      </c>
    </row>
    <row r="252" customFormat="false" ht="15" hidden="false" customHeight="false" outlineLevel="0" collapsed="false">
      <c r="D252" s="0" t="str">
        <f aca="true">IF(A252="","",IF(C252&lt;&gt;"",IF(C252&lt;=B252,"Met - On Time","Met - Late"),IF(TODAY()&gt;B252,"Missed",IF(B252-TODAY()&lt;=14,"Due Soon","On Track"))))</f>
        <v/>
      </c>
    </row>
    <row r="253" customFormat="false" ht="15" hidden="false" customHeight="false" outlineLevel="0" collapsed="false">
      <c r="D253" s="0" t="str">
        <f aca="true">IF(A253="","",IF(C253&lt;&gt;"",IF(C253&lt;=B253,"Met - On Time","Met - Late"),IF(TODAY()&gt;B253,"Missed",IF(B253-TODAY()&lt;=14,"Due Soon","On Track"))))</f>
        <v/>
      </c>
    </row>
    <row r="254" customFormat="false" ht="15" hidden="false" customHeight="false" outlineLevel="0" collapsed="false">
      <c r="D254" s="0" t="str">
        <f aca="true">IF(A254="","",IF(C254&lt;&gt;"",IF(C254&lt;=B254,"Met - On Time","Met - Late"),IF(TODAY()&gt;B254,"Missed",IF(B254-TODAY()&lt;=14,"Due Soon","On Track"))))</f>
        <v/>
      </c>
    </row>
    <row r="255" customFormat="false" ht="15" hidden="false" customHeight="false" outlineLevel="0" collapsed="false">
      <c r="D255" s="0" t="str">
        <f aca="true">IF(A255="","",IF(C255&lt;&gt;"",IF(C255&lt;=B255,"Met - On Time","Met - Late"),IF(TODAY()&gt;B255,"Missed",IF(B255-TODAY()&lt;=14,"Due Soon","On Track"))))</f>
        <v/>
      </c>
    </row>
    <row r="256" customFormat="false" ht="15" hidden="false" customHeight="false" outlineLevel="0" collapsed="false">
      <c r="D256" s="0" t="str">
        <f aca="true">IF(A256="","",IF(C256&lt;&gt;"",IF(C256&lt;=B256,"Met - On Time","Met - Late"),IF(TODAY()&gt;B256,"Missed",IF(B256-TODAY()&lt;=14,"Due Soon","On Track"))))</f>
        <v/>
      </c>
    </row>
    <row r="257" customFormat="false" ht="15" hidden="false" customHeight="false" outlineLevel="0" collapsed="false">
      <c r="D257" s="0" t="str">
        <f aca="true">IF(A257="","",IF(C257&lt;&gt;"",IF(C257&lt;=B257,"Met - On Time","Met - Late"),IF(TODAY()&gt;B257,"Missed",IF(B257-TODAY()&lt;=14,"Due Soon","On Track"))))</f>
        <v/>
      </c>
    </row>
    <row r="258" customFormat="false" ht="15" hidden="false" customHeight="false" outlineLevel="0" collapsed="false">
      <c r="D258" s="0" t="str">
        <f aca="true">IF(A258="","",IF(C258&lt;&gt;"",IF(C258&lt;=B258,"Met - On Time","Met - Late"),IF(TODAY()&gt;B258,"Missed",IF(B258-TODAY()&lt;=14,"Due Soon","On Track"))))</f>
        <v/>
      </c>
    </row>
    <row r="259" customFormat="false" ht="15" hidden="false" customHeight="false" outlineLevel="0" collapsed="false">
      <c r="D259" s="0" t="str">
        <f aca="true">IF(A259="","",IF(C259&lt;&gt;"",IF(C259&lt;=B259,"Met - On Time","Met - Late"),IF(TODAY()&gt;B259,"Missed",IF(B259-TODAY()&lt;=14,"Due Soon","On Track"))))</f>
        <v/>
      </c>
    </row>
    <row r="260" customFormat="false" ht="15" hidden="false" customHeight="false" outlineLevel="0" collapsed="false">
      <c r="D260" s="0" t="str">
        <f aca="true">IF(A260="","",IF(C260&lt;&gt;"",IF(C260&lt;=B260,"Met - On Time","Met - Late"),IF(TODAY()&gt;B260,"Missed",IF(B260-TODAY()&lt;=14,"Due Soon","On Track"))))</f>
        <v/>
      </c>
    </row>
    <row r="261" customFormat="false" ht="15" hidden="false" customHeight="false" outlineLevel="0" collapsed="false">
      <c r="D261" s="0" t="str">
        <f aca="true">IF(A261="","",IF(C261&lt;&gt;"",IF(C261&lt;=B261,"Met - On Time","Met - Late"),IF(TODAY()&gt;B261,"Missed",IF(B261-TODAY()&lt;=14,"Due Soon","On Track"))))</f>
        <v/>
      </c>
    </row>
    <row r="262" customFormat="false" ht="15" hidden="false" customHeight="false" outlineLevel="0" collapsed="false">
      <c r="D262" s="0" t="str">
        <f aca="true">IF(A262="","",IF(C262&lt;&gt;"",IF(C262&lt;=B262,"Met - On Time","Met - Late"),IF(TODAY()&gt;B262,"Missed",IF(B262-TODAY()&lt;=14,"Due Soon","On Track"))))</f>
        <v/>
      </c>
    </row>
    <row r="263" customFormat="false" ht="15" hidden="false" customHeight="false" outlineLevel="0" collapsed="false">
      <c r="D263" s="0" t="str">
        <f aca="true">IF(A263="","",IF(C263&lt;&gt;"",IF(C263&lt;=B263,"Met - On Time","Met - Late"),IF(TODAY()&gt;B263,"Missed",IF(B263-TODAY()&lt;=14,"Due Soon","On Track"))))</f>
        <v/>
      </c>
    </row>
    <row r="264" customFormat="false" ht="15" hidden="false" customHeight="false" outlineLevel="0" collapsed="false">
      <c r="D264" s="0" t="str">
        <f aca="true">IF(A264="","",IF(C264&lt;&gt;"",IF(C264&lt;=B264,"Met - On Time","Met - Late"),IF(TODAY()&gt;B264,"Missed",IF(B264-TODAY()&lt;=14,"Due Soon","On Track"))))</f>
        <v/>
      </c>
    </row>
    <row r="265" customFormat="false" ht="15" hidden="false" customHeight="false" outlineLevel="0" collapsed="false">
      <c r="D265" s="0" t="str">
        <f aca="true">IF(A265="","",IF(C265&lt;&gt;"",IF(C265&lt;=B265,"Met - On Time","Met - Late"),IF(TODAY()&gt;B265,"Missed",IF(B265-TODAY()&lt;=14,"Due Soon","On Track"))))</f>
        <v/>
      </c>
    </row>
    <row r="266" customFormat="false" ht="15" hidden="false" customHeight="false" outlineLevel="0" collapsed="false">
      <c r="D266" s="0" t="str">
        <f aca="true">IF(A266="","",IF(C266&lt;&gt;"",IF(C266&lt;=B266,"Met - On Time","Met - Late"),IF(TODAY()&gt;B266,"Missed",IF(B266-TODAY()&lt;=14,"Due Soon","On Track"))))</f>
        <v/>
      </c>
    </row>
    <row r="267" customFormat="false" ht="15" hidden="false" customHeight="false" outlineLevel="0" collapsed="false">
      <c r="D267" s="0" t="str">
        <f aca="true">IF(A267="","",IF(C267&lt;&gt;"",IF(C267&lt;=B267,"Met - On Time","Met - Late"),IF(TODAY()&gt;B267,"Missed",IF(B267-TODAY()&lt;=14,"Due Soon","On Track"))))</f>
        <v/>
      </c>
    </row>
    <row r="268" customFormat="false" ht="15" hidden="false" customHeight="false" outlineLevel="0" collapsed="false">
      <c r="D268" s="0" t="str">
        <f aca="true">IF(A268="","",IF(C268&lt;&gt;"",IF(C268&lt;=B268,"Met - On Time","Met - Late"),IF(TODAY()&gt;B268,"Missed",IF(B268-TODAY()&lt;=14,"Due Soon","On Track"))))</f>
        <v/>
      </c>
    </row>
    <row r="269" customFormat="false" ht="15" hidden="false" customHeight="false" outlineLevel="0" collapsed="false">
      <c r="D269" s="0" t="str">
        <f aca="true">IF(A269="","",IF(C269&lt;&gt;"",IF(C269&lt;=B269,"Met - On Time","Met - Late"),IF(TODAY()&gt;B269,"Missed",IF(B269-TODAY()&lt;=14,"Due Soon","On Track"))))</f>
        <v/>
      </c>
    </row>
    <row r="270" customFormat="false" ht="15" hidden="false" customHeight="false" outlineLevel="0" collapsed="false">
      <c r="D270" s="0" t="str">
        <f aca="true">IF(A270="","",IF(C270&lt;&gt;"",IF(C270&lt;=B270,"Met - On Time","Met - Late"),IF(TODAY()&gt;B270,"Missed",IF(B270-TODAY()&lt;=14,"Due Soon","On Track"))))</f>
        <v/>
      </c>
    </row>
    <row r="271" customFormat="false" ht="15" hidden="false" customHeight="false" outlineLevel="0" collapsed="false">
      <c r="D271" s="0" t="str">
        <f aca="true">IF(A271="","",IF(C271&lt;&gt;"",IF(C271&lt;=B271,"Met - On Time","Met - Late"),IF(TODAY()&gt;B271,"Missed",IF(B271-TODAY()&lt;=14,"Due Soon","On Track"))))</f>
        <v/>
      </c>
    </row>
    <row r="272" customFormat="false" ht="15" hidden="false" customHeight="false" outlineLevel="0" collapsed="false">
      <c r="D272" s="0" t="str">
        <f aca="true">IF(A272="","",IF(C272&lt;&gt;"",IF(C272&lt;=B272,"Met - On Time","Met - Late"),IF(TODAY()&gt;B272,"Missed",IF(B272-TODAY()&lt;=14,"Due Soon","On Track"))))</f>
        <v/>
      </c>
    </row>
    <row r="273" customFormat="false" ht="15" hidden="false" customHeight="false" outlineLevel="0" collapsed="false">
      <c r="D273" s="0" t="str">
        <f aca="true">IF(A273="","",IF(C273&lt;&gt;"",IF(C273&lt;=B273,"Met - On Time","Met - Late"),IF(TODAY()&gt;B273,"Missed",IF(B273-TODAY()&lt;=14,"Due Soon","On Track"))))</f>
        <v/>
      </c>
    </row>
    <row r="274" customFormat="false" ht="15" hidden="false" customHeight="false" outlineLevel="0" collapsed="false">
      <c r="D274" s="0" t="str">
        <f aca="true">IF(A274="","",IF(C274&lt;&gt;"",IF(C274&lt;=B274,"Met - On Time","Met - Late"),IF(TODAY()&gt;B274,"Missed",IF(B274-TODAY()&lt;=14,"Due Soon","On Track"))))</f>
        <v/>
      </c>
    </row>
    <row r="275" customFormat="false" ht="15" hidden="false" customHeight="false" outlineLevel="0" collapsed="false">
      <c r="D275" s="0" t="str">
        <f aca="true">IF(A275="","",IF(C275&lt;&gt;"",IF(C275&lt;=B275,"Met - On Time","Met - Late"),IF(TODAY()&gt;B275,"Missed",IF(B275-TODAY()&lt;=14,"Due Soon","On Track"))))</f>
        <v/>
      </c>
    </row>
    <row r="276" customFormat="false" ht="15" hidden="false" customHeight="false" outlineLevel="0" collapsed="false">
      <c r="D276" s="0" t="str">
        <f aca="true">IF(A276="","",IF(C276&lt;&gt;"",IF(C276&lt;=B276,"Met - On Time","Met - Late"),IF(TODAY()&gt;B276,"Missed",IF(B276-TODAY()&lt;=14,"Due Soon","On Track"))))</f>
        <v/>
      </c>
    </row>
    <row r="277" customFormat="false" ht="15" hidden="false" customHeight="false" outlineLevel="0" collapsed="false">
      <c r="D277" s="0" t="str">
        <f aca="true">IF(A277="","",IF(C277&lt;&gt;"",IF(C277&lt;=B277,"Met - On Time","Met - Late"),IF(TODAY()&gt;B277,"Missed",IF(B277-TODAY()&lt;=14,"Due Soon","On Track"))))</f>
        <v/>
      </c>
    </row>
    <row r="278" customFormat="false" ht="15" hidden="false" customHeight="false" outlineLevel="0" collapsed="false">
      <c r="D278" s="0" t="str">
        <f aca="true">IF(A278="","",IF(C278&lt;&gt;"",IF(C278&lt;=B278,"Met - On Time","Met - Late"),IF(TODAY()&gt;B278,"Missed",IF(B278-TODAY()&lt;=14,"Due Soon","On Track"))))</f>
        <v/>
      </c>
    </row>
    <row r="279" customFormat="false" ht="15" hidden="false" customHeight="false" outlineLevel="0" collapsed="false">
      <c r="D279" s="0" t="str">
        <f aca="true">IF(A279="","",IF(C279&lt;&gt;"",IF(C279&lt;=B279,"Met - On Time","Met - Late"),IF(TODAY()&gt;B279,"Missed",IF(B279-TODAY()&lt;=14,"Due Soon","On Track"))))</f>
        <v/>
      </c>
    </row>
    <row r="280" customFormat="false" ht="15" hidden="false" customHeight="false" outlineLevel="0" collapsed="false">
      <c r="D280" s="0" t="str">
        <f aca="true">IF(A280="","",IF(C280&lt;&gt;"",IF(C280&lt;=B280,"Met - On Time","Met - Late"),IF(TODAY()&gt;B280,"Missed",IF(B280-TODAY()&lt;=14,"Due Soon","On Track"))))</f>
        <v/>
      </c>
    </row>
    <row r="281" customFormat="false" ht="15" hidden="false" customHeight="false" outlineLevel="0" collapsed="false">
      <c r="D281" s="0" t="str">
        <f aca="true">IF(A281="","",IF(C281&lt;&gt;"",IF(C281&lt;=B281,"Met - On Time","Met - Late"),IF(TODAY()&gt;B281,"Missed",IF(B281-TODAY()&lt;=14,"Due Soon","On Track"))))</f>
        <v/>
      </c>
    </row>
    <row r="282" customFormat="false" ht="15" hidden="false" customHeight="false" outlineLevel="0" collapsed="false">
      <c r="D282" s="0" t="str">
        <f aca="true">IF(A282="","",IF(C282&lt;&gt;"",IF(C282&lt;=B282,"Met - On Time","Met - Late"),IF(TODAY()&gt;B282,"Missed",IF(B282-TODAY()&lt;=14,"Due Soon","On Track"))))</f>
        <v/>
      </c>
    </row>
    <row r="283" customFormat="false" ht="15" hidden="false" customHeight="false" outlineLevel="0" collapsed="false">
      <c r="D283" s="0" t="str">
        <f aca="true">IF(A283="","",IF(C283&lt;&gt;"",IF(C283&lt;=B283,"Met - On Time","Met - Late"),IF(TODAY()&gt;B283,"Missed",IF(B283-TODAY()&lt;=14,"Due Soon","On Track"))))</f>
        <v/>
      </c>
    </row>
    <row r="284" customFormat="false" ht="15" hidden="false" customHeight="false" outlineLevel="0" collapsed="false">
      <c r="D284" s="0" t="str">
        <f aca="true">IF(A284="","",IF(C284&lt;&gt;"",IF(C284&lt;=B284,"Met - On Time","Met - Late"),IF(TODAY()&gt;B284,"Missed",IF(B284-TODAY()&lt;=14,"Due Soon","On Track"))))</f>
        <v/>
      </c>
    </row>
    <row r="285" customFormat="false" ht="15" hidden="false" customHeight="false" outlineLevel="0" collapsed="false">
      <c r="D285" s="0" t="str">
        <f aca="true">IF(A285="","",IF(C285&lt;&gt;"",IF(C285&lt;=B285,"Met - On Time","Met - Late"),IF(TODAY()&gt;B285,"Missed",IF(B285-TODAY()&lt;=14,"Due Soon","On Track"))))</f>
        <v/>
      </c>
    </row>
    <row r="286" customFormat="false" ht="15" hidden="false" customHeight="false" outlineLevel="0" collapsed="false">
      <c r="D286" s="0" t="str">
        <f aca="true">IF(A286="","",IF(C286&lt;&gt;"",IF(C286&lt;=B286,"Met - On Time","Met - Late"),IF(TODAY()&gt;B286,"Missed",IF(B286-TODAY()&lt;=14,"Due Soon","On Track"))))</f>
        <v/>
      </c>
    </row>
    <row r="287" customFormat="false" ht="15" hidden="false" customHeight="false" outlineLevel="0" collapsed="false">
      <c r="D287" s="0" t="str">
        <f aca="true">IF(A287="","",IF(C287&lt;&gt;"",IF(C287&lt;=B287,"Met - On Time","Met - Late"),IF(TODAY()&gt;B287,"Missed",IF(B287-TODAY()&lt;=14,"Due Soon","On Track"))))</f>
        <v/>
      </c>
    </row>
    <row r="288" customFormat="false" ht="15" hidden="false" customHeight="false" outlineLevel="0" collapsed="false">
      <c r="D288" s="0" t="str">
        <f aca="true">IF(A288="","",IF(C288&lt;&gt;"",IF(C288&lt;=B288,"Met - On Time","Met - Late"),IF(TODAY()&gt;B288,"Missed",IF(B288-TODAY()&lt;=14,"Due Soon","On Track"))))</f>
        <v/>
      </c>
    </row>
    <row r="289" customFormat="false" ht="15" hidden="false" customHeight="false" outlineLevel="0" collapsed="false">
      <c r="D289" s="0" t="str">
        <f aca="true">IF(A289="","",IF(C289&lt;&gt;"",IF(C289&lt;=B289,"Met - On Time","Met - Late"),IF(TODAY()&gt;B289,"Missed",IF(B289-TODAY()&lt;=14,"Due Soon","On Track"))))</f>
        <v/>
      </c>
    </row>
    <row r="290" customFormat="false" ht="15" hidden="false" customHeight="false" outlineLevel="0" collapsed="false">
      <c r="D290" s="0" t="str">
        <f aca="true">IF(A290="","",IF(C290&lt;&gt;"",IF(C290&lt;=B290,"Met - On Time","Met - Late"),IF(TODAY()&gt;B290,"Missed",IF(B290-TODAY()&lt;=14,"Due Soon","On Track"))))</f>
        <v/>
      </c>
    </row>
    <row r="291" customFormat="false" ht="15" hidden="false" customHeight="false" outlineLevel="0" collapsed="false">
      <c r="D291" s="0" t="str">
        <f aca="true">IF(A291="","",IF(C291&lt;&gt;"",IF(C291&lt;=B291,"Met - On Time","Met - Late"),IF(TODAY()&gt;B291,"Missed",IF(B291-TODAY()&lt;=14,"Due Soon","On Track"))))</f>
        <v/>
      </c>
    </row>
    <row r="292" customFormat="false" ht="15" hidden="false" customHeight="false" outlineLevel="0" collapsed="false">
      <c r="D292" s="0" t="str">
        <f aca="true">IF(A292="","",IF(C292&lt;&gt;"",IF(C292&lt;=B292,"Met - On Time","Met - Late"),IF(TODAY()&gt;B292,"Missed",IF(B292-TODAY()&lt;=14,"Due Soon","On Track"))))</f>
        <v/>
      </c>
    </row>
    <row r="293" customFormat="false" ht="15" hidden="false" customHeight="false" outlineLevel="0" collapsed="false">
      <c r="D293" s="0" t="str">
        <f aca="true">IF(A293="","",IF(C293&lt;&gt;"",IF(C293&lt;=B293,"Met - On Time","Met - Late"),IF(TODAY()&gt;B293,"Missed",IF(B293-TODAY()&lt;=14,"Due Soon","On Track"))))</f>
        <v/>
      </c>
    </row>
    <row r="294" customFormat="false" ht="15" hidden="false" customHeight="false" outlineLevel="0" collapsed="false">
      <c r="D294" s="0" t="str">
        <f aca="true">IF(A294="","",IF(C294&lt;&gt;"",IF(C294&lt;=B294,"Met - On Time","Met - Late"),IF(TODAY()&gt;B294,"Missed",IF(B294-TODAY()&lt;=14,"Due Soon","On Track"))))</f>
        <v/>
      </c>
    </row>
    <row r="295" customFormat="false" ht="15" hidden="false" customHeight="false" outlineLevel="0" collapsed="false">
      <c r="D295" s="0" t="str">
        <f aca="true">IF(A295="","",IF(C295&lt;&gt;"",IF(C295&lt;=B295,"Met - On Time","Met - Late"),IF(TODAY()&gt;B295,"Missed",IF(B295-TODAY()&lt;=14,"Due Soon","On Track"))))</f>
        <v/>
      </c>
    </row>
    <row r="296" customFormat="false" ht="15" hidden="false" customHeight="false" outlineLevel="0" collapsed="false">
      <c r="D296" s="0" t="str">
        <f aca="true">IF(A296="","",IF(C296&lt;&gt;"",IF(C296&lt;=B296,"Met - On Time","Met - Late"),IF(TODAY()&gt;B296,"Missed",IF(B296-TODAY()&lt;=14,"Due Soon","On Track"))))</f>
        <v/>
      </c>
    </row>
    <row r="297" customFormat="false" ht="15" hidden="false" customHeight="false" outlineLevel="0" collapsed="false">
      <c r="D297" s="0" t="str">
        <f aca="true">IF(A297="","",IF(C297&lt;&gt;"",IF(C297&lt;=B297,"Met - On Time","Met - Late"),IF(TODAY()&gt;B297,"Missed",IF(B297-TODAY()&lt;=14,"Due Soon","On Track"))))</f>
        <v/>
      </c>
    </row>
    <row r="298" customFormat="false" ht="15" hidden="false" customHeight="false" outlineLevel="0" collapsed="false">
      <c r="D298" s="0" t="str">
        <f aca="true">IF(A298="","",IF(C298&lt;&gt;"",IF(C298&lt;=B298,"Met - On Time","Met - Late"),IF(TODAY()&gt;B298,"Missed",IF(B298-TODAY()&lt;=14,"Due Soon","On Track"))))</f>
        <v/>
      </c>
    </row>
    <row r="299" customFormat="false" ht="15" hidden="false" customHeight="false" outlineLevel="0" collapsed="false">
      <c r="D299" s="0" t="str">
        <f aca="true">IF(A299="","",IF(C299&lt;&gt;"",IF(C299&lt;=B299,"Met - On Time","Met - Late"),IF(TODAY()&gt;B299,"Missed",IF(B299-TODAY()&lt;=14,"Due Soon","On Track"))))</f>
        <v/>
      </c>
    </row>
    <row r="302" customFormat="false" ht="15" hidden="false" customHeight="false" outlineLevel="0" collapsed="false">
      <c r="A302" s="3" t="s">
        <v>418</v>
      </c>
    </row>
  </sheetData>
  <conditionalFormatting sqref="D2:D300">
    <cfRule type="cellIs" priority="2" operator="equal" aboveAverage="0" equalAverage="0" bottom="0" percent="0" rank="0" text="" dxfId="1">
      <formula>"Missed"</formula>
    </cfRule>
    <cfRule type="cellIs" priority="3" operator="equal" aboveAverage="0" equalAverage="0" bottom="0" percent="0" rank="0" text="" dxfId="1">
      <formula>"Met - Late"</formula>
    </cfRule>
    <cfRule type="cellIs" priority="4" operator="equal" aboveAverage="0" equalAverage="0" bottom="0" percent="0" rank="0" text="" dxfId="0">
      <formula>"Due Soon"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H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5" min="4" style="0" width="18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9" t="s">
        <v>419</v>
      </c>
      <c r="B1" s="19" t="s">
        <v>420</v>
      </c>
      <c r="C1" s="19" t="s">
        <v>421</v>
      </c>
      <c r="D1" s="19" t="s">
        <v>422</v>
      </c>
      <c r="E1" s="19" t="s">
        <v>423</v>
      </c>
      <c r="F1" s="19" t="s">
        <v>424</v>
      </c>
      <c r="G1" s="19" t="s">
        <v>208</v>
      </c>
      <c r="H1" s="19" t="s">
        <v>397</v>
      </c>
    </row>
    <row r="2" customFormat="false" ht="15" hidden="false" customHeight="false" outlineLevel="0" collapsed="false">
      <c r="A2" s="20" t="n">
        <v>1</v>
      </c>
      <c r="B2" s="20" t="s">
        <v>425</v>
      </c>
      <c r="C2" s="20" t="s">
        <v>426</v>
      </c>
      <c r="D2" s="20" t="s">
        <v>427</v>
      </c>
      <c r="E2" s="20" t="s">
        <v>401</v>
      </c>
      <c r="F2" s="20" t="s">
        <v>428</v>
      </c>
      <c r="G2" s="20" t="s">
        <v>429</v>
      </c>
      <c r="H2" s="20" t="s">
        <v>430</v>
      </c>
    </row>
    <row r="3" customFormat="false" ht="15" hidden="false" customHeight="false" outlineLevel="0" collapsed="false">
      <c r="A3" s="20" t="n">
        <v>1</v>
      </c>
      <c r="B3" s="20" t="s">
        <v>425</v>
      </c>
      <c r="C3" s="20" t="s">
        <v>431</v>
      </c>
      <c r="D3" s="20" t="s">
        <v>432</v>
      </c>
      <c r="E3" s="20" t="s">
        <v>433</v>
      </c>
      <c r="F3" s="20" t="s">
        <v>434</v>
      </c>
      <c r="G3" s="20" t="s">
        <v>435</v>
      </c>
      <c r="H3" s="20"/>
    </row>
    <row r="4" customFormat="false" ht="15" hidden="false" customHeight="false" outlineLevel="0" collapsed="false">
      <c r="A4" s="20" t="n">
        <v>2</v>
      </c>
      <c r="B4" s="20" t="s">
        <v>436</v>
      </c>
      <c r="C4" s="20" t="s">
        <v>437</v>
      </c>
      <c r="D4" s="20" t="s">
        <v>438</v>
      </c>
      <c r="E4" s="20" t="s">
        <v>439</v>
      </c>
      <c r="F4" s="20" t="s">
        <v>440</v>
      </c>
      <c r="G4" s="20" t="s">
        <v>435</v>
      </c>
      <c r="H4" s="20"/>
    </row>
    <row r="5" customFormat="false" ht="15" hidden="false" customHeight="false" outlineLevel="0" collapsed="false">
      <c r="A5" s="20" t="n">
        <v>3</v>
      </c>
      <c r="B5" s="20" t="s">
        <v>441</v>
      </c>
      <c r="C5" s="20" t="s">
        <v>442</v>
      </c>
      <c r="D5" s="20" t="s">
        <v>443</v>
      </c>
      <c r="E5" s="20" t="s">
        <v>444</v>
      </c>
      <c r="F5" s="20" t="s">
        <v>445</v>
      </c>
      <c r="G5" s="20" t="s">
        <v>435</v>
      </c>
      <c r="H5" s="20" t="s">
        <v>446</v>
      </c>
    </row>
    <row r="302" customFormat="false" ht="15" hidden="false" customHeight="false" outlineLevel="0" collapsed="false">
      <c r="A302" s="3" t="s">
        <v>447</v>
      </c>
    </row>
  </sheetData>
  <conditionalFormatting sqref="G2:G300">
    <cfRule type="cellIs" priority="2" operator="equal" aboveAverage="0" equalAverage="0" bottom="0" percent="0" rank="0" text="" dxfId="1">
      <formula>"Delayed"</formula>
    </cfRule>
    <cfRule type="cellIs" priority="3" operator="equal" aboveAverage="0" equalAverage="0" bottom="0" percent="0" rank="0" text="" dxfId="0">
      <formula>"At Risk"</formula>
    </cfRule>
  </conditionalFormatting>
  <dataValidations count="1">
    <dataValidation allowBlank="true" errorStyle="stop" operator="between" showDropDown="false" showErrorMessage="false" showInputMessage="false" sqref="G2:G500" type="list">
      <formula1>"On Track,At Risk,Delayed,Complete"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1:H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20"/>
  </cols>
  <sheetData>
    <row r="1" customFormat="false" ht="31.5" hidden="false" customHeight="true" outlineLevel="0" collapsed="false">
      <c r="A1" s="19" t="s">
        <v>448</v>
      </c>
      <c r="B1" s="19" t="s">
        <v>449</v>
      </c>
      <c r="C1" s="19" t="s">
        <v>450</v>
      </c>
      <c r="D1" s="19" t="s">
        <v>234</v>
      </c>
      <c r="E1" s="19" t="s">
        <v>451</v>
      </c>
      <c r="F1" s="19" t="s">
        <v>362</v>
      </c>
      <c r="G1" s="19" t="s">
        <v>452</v>
      </c>
      <c r="H1" s="19" t="s">
        <v>453</v>
      </c>
    </row>
    <row r="2" customFormat="false" ht="15" hidden="false" customHeight="false" outlineLevel="0" collapsed="false">
      <c r="A2" s="20" t="s">
        <v>454</v>
      </c>
      <c r="B2" s="20" t="s">
        <v>307</v>
      </c>
      <c r="C2" s="20" t="s">
        <v>455</v>
      </c>
      <c r="D2" s="20" t="s">
        <v>456</v>
      </c>
      <c r="E2" s="20" t="s">
        <v>307</v>
      </c>
      <c r="F2" s="20" t="s">
        <v>220</v>
      </c>
      <c r="G2" s="20" t="s">
        <v>457</v>
      </c>
      <c r="H2" s="20" t="s">
        <v>252</v>
      </c>
    </row>
    <row r="302" customFormat="false" ht="15" hidden="false" customHeight="false" outlineLevel="0" collapsed="false">
      <c r="A302" s="3" t="s">
        <v>458</v>
      </c>
    </row>
  </sheetData>
  <dataValidations count="1">
    <dataValidation allowBlank="true" errorStyle="stop" operator="between" showDropDown="false" showErrorMessage="false" showInputMessage="false" sqref="H2:H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2:S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24"/>
    <col collapsed="false" customWidth="true" hidden="false" outlineLevel="0" max="14" min="12" style="0" width="14"/>
    <col collapsed="false" customWidth="true" hidden="false" outlineLevel="0" max="15" min="15" style="0" width="3"/>
    <col collapsed="false" customWidth="true" hidden="false" outlineLevel="0" max="16" min="16" style="0" width="18"/>
    <col collapsed="false" customWidth="true" hidden="false" outlineLevel="0" max="17" min="17" style="0" width="10"/>
    <col collapsed="false" customWidth="true" hidden="false" outlineLevel="0" max="18" min="18" style="0" width="20"/>
    <col collapsed="false" customWidth="true" hidden="false" outlineLevel="0" max="19" min="19" style="0" width="10"/>
  </cols>
  <sheetData>
    <row r="2" customFormat="false" ht="15" hidden="false" customHeight="false" outlineLevel="0" collapsed="false">
      <c r="B2" s="12" t="s">
        <v>459</v>
      </c>
      <c r="C2" s="0" t="str">
        <f aca="false">IF('Project Info'!C5="","",'Project Info'!C5)</f>
        <v/>
      </c>
      <c r="P2" s="4" t="s">
        <v>460</v>
      </c>
      <c r="Q2" s="24" t="n">
        <f aca="false">SUMPRODUCT((A6:A304&lt;&gt;"")*1)</f>
        <v>1</v>
      </c>
      <c r="R2" s="4" t="s">
        <v>461</v>
      </c>
      <c r="S2" s="24" t="n">
        <f aca="false">COUNTIF(E6:E304,"In Hand")</f>
        <v>1</v>
      </c>
    </row>
    <row r="3" customFormat="false" ht="15" hidden="false" customHeight="false" outlineLevel="0" collapsed="false">
      <c r="B3" s="12" t="s">
        <v>462</v>
      </c>
      <c r="C3" s="0" t="str">
        <f aca="false">IF('Project Info'!C9="","",'Project Info'!C9)</f>
        <v/>
      </c>
      <c r="P3" s="4" t="s">
        <v>463</v>
      </c>
      <c r="Q3" s="24" t="n">
        <f aca="false">COUNTIF(J6:J304,"ACTION NEEDED")</f>
        <v>0</v>
      </c>
      <c r="R3" s="4" t="s">
        <v>464</v>
      </c>
      <c r="S3" s="24" t="n">
        <f aca="false">COUNTIF(J6:J304,"EXPIRING SOON")</f>
        <v>0</v>
      </c>
    </row>
    <row r="5" customFormat="false" ht="31.5" hidden="false" customHeight="true" outlineLevel="0" collapsed="false">
      <c r="A5" s="19" t="s">
        <v>465</v>
      </c>
      <c r="B5" s="19" t="s">
        <v>466</v>
      </c>
      <c r="C5" s="19" t="s">
        <v>360</v>
      </c>
      <c r="D5" s="19" t="s">
        <v>467</v>
      </c>
      <c r="E5" s="19" t="s">
        <v>208</v>
      </c>
      <c r="F5" s="19" t="s">
        <v>468</v>
      </c>
      <c r="G5" s="19" t="s">
        <v>469</v>
      </c>
      <c r="H5" s="19" t="s">
        <v>470</v>
      </c>
      <c r="I5" s="19" t="s">
        <v>471</v>
      </c>
      <c r="J5" s="19" t="s">
        <v>472</v>
      </c>
      <c r="K5" s="19" t="s">
        <v>214</v>
      </c>
      <c r="L5" s="19" t="s">
        <v>215</v>
      </c>
      <c r="M5" s="19" t="s">
        <v>218</v>
      </c>
      <c r="N5" s="19" t="s">
        <v>219</v>
      </c>
    </row>
    <row r="6" customFormat="false" ht="15" hidden="false" customHeight="false" outlineLevel="0" collapsed="false">
      <c r="A6" s="20" t="s">
        <v>473</v>
      </c>
      <c r="B6" s="20" t="s">
        <v>252</v>
      </c>
      <c r="C6" s="20" t="s">
        <v>409</v>
      </c>
      <c r="D6" s="20" t="s">
        <v>474</v>
      </c>
      <c r="E6" s="20" t="s">
        <v>475</v>
      </c>
      <c r="F6" s="20" t="s">
        <v>476</v>
      </c>
      <c r="G6" s="20" t="s">
        <v>477</v>
      </c>
      <c r="H6" s="20" t="s">
        <v>478</v>
      </c>
      <c r="I6" s="20"/>
      <c r="J6" s="22" t="str">
        <f aca="true">IF(A6="","",IF(OR(E6="Rejected",E6="Expired"),"ACTION NEEDED",IF(AND(B6="Yes",E6="Not Started"),"ACTION NEEDED",IF(AND(E6="In Hand",H6&lt;&gt;"",H6-TODAY()&lt;=30,H6-TODAY()&gt;=0),"EXPIRING SOON",""))))</f>
        <v/>
      </c>
      <c r="K6" s="20" t="s">
        <v>479</v>
      </c>
      <c r="L6" s="20" t="s">
        <v>252</v>
      </c>
      <c r="M6" s="23" t="n">
        <f aca="false">IF(A6="","",MAX(F6+0,G6+0))</f>
        <v>46223</v>
      </c>
      <c r="N6" s="22" t="str">
        <f aca="true">IF(A6="","",IF(OR(E6="In Hand",E6="Rejected"),"",TODAY()-M6))</f>
        <v/>
      </c>
    </row>
    <row r="7" customFormat="false" ht="15" hidden="false" customHeight="false" outlineLevel="0" collapsed="false">
      <c r="J7" s="0" t="str">
        <f aca="true">IF(A7="","",IF(OR(E7="Rejected",E7="Expired"),"ACTION NEEDED",IF(AND(B7="Yes",E7="Not Started"),"ACTION NEEDED",IF(AND(E7="In Hand",H7&lt;&gt;"",H7-TODAY()&lt;=30,H7-TODAY()&gt;=0),"EXPIRING SOON",""))))</f>
        <v/>
      </c>
      <c r="M7" s="13" t="str">
        <f aca="false">IF(A7="","",MAX(F7+0,G7+0))</f>
        <v/>
      </c>
      <c r="N7" s="0" t="str">
        <f aca="true">IF(A7="","",IF(OR(E7="In Hand",E7="Rejected"),"",TODAY()-M7))</f>
        <v/>
      </c>
    </row>
    <row r="8" customFormat="false" ht="15" hidden="false" customHeight="false" outlineLevel="0" collapsed="false">
      <c r="J8" s="0" t="str">
        <f aca="true">IF(A8="","",IF(OR(E8="Rejected",E8="Expired"),"ACTION NEEDED",IF(AND(B8="Yes",E8="Not Started"),"ACTION NEEDED",IF(AND(E8="In Hand",H8&lt;&gt;"",H8-TODAY()&lt;=30,H8-TODAY()&gt;=0),"EXPIRING SOON",""))))</f>
        <v/>
      </c>
      <c r="M8" s="13" t="str">
        <f aca="false">IF(A8="","",MAX(F8+0,G8+0))</f>
        <v/>
      </c>
      <c r="N8" s="0" t="str">
        <f aca="true">IF(A8="","",IF(OR(E8="In Hand",E8="Rejected"),"",TODAY()-M8))</f>
        <v/>
      </c>
    </row>
    <row r="9" customFormat="false" ht="15" hidden="false" customHeight="false" outlineLevel="0" collapsed="false">
      <c r="J9" s="0" t="str">
        <f aca="true">IF(A9="","",IF(OR(E9="Rejected",E9="Expired"),"ACTION NEEDED",IF(AND(B9="Yes",E9="Not Started"),"ACTION NEEDED",IF(AND(E9="In Hand",H9&lt;&gt;"",H9-TODAY()&lt;=30,H9-TODAY()&gt;=0),"EXPIRING SOON",""))))</f>
        <v/>
      </c>
      <c r="M9" s="13" t="str">
        <f aca="false">IF(A9="","",MAX(F9+0,G9+0))</f>
        <v/>
      </c>
      <c r="N9" s="0" t="str">
        <f aca="true">IF(A9="","",IF(OR(E9="In Hand",E9="Rejected"),"",TODAY()-M9))</f>
        <v/>
      </c>
    </row>
    <row r="10" customFormat="false" ht="15" hidden="false" customHeight="false" outlineLevel="0" collapsed="false">
      <c r="J10" s="0" t="str">
        <f aca="true">IF(A10="","",IF(OR(E10="Rejected",E10="Expired"),"ACTION NEEDED",IF(AND(B10="Yes",E10="Not Started"),"ACTION NEEDED",IF(AND(E10="In Hand",H10&lt;&gt;"",H10-TODAY()&lt;=30,H10-TODAY()&gt;=0),"EXPIRING SOON",""))))</f>
        <v/>
      </c>
      <c r="M10" s="13" t="str">
        <f aca="false">IF(A10="","",MAX(F10+0,G10+0))</f>
        <v/>
      </c>
      <c r="N10" s="0" t="str">
        <f aca="true">IF(A10="","",IF(OR(E10="In Hand",E10="Rejected"),"",TODAY()-M10))</f>
        <v/>
      </c>
    </row>
    <row r="11" customFormat="false" ht="15" hidden="false" customHeight="false" outlineLevel="0" collapsed="false">
      <c r="J11" s="0" t="str">
        <f aca="true">IF(A11="","",IF(OR(E11="Rejected",E11="Expired"),"ACTION NEEDED",IF(AND(B11="Yes",E11="Not Started"),"ACTION NEEDED",IF(AND(E11="In Hand",H11&lt;&gt;"",H11-TODAY()&lt;=30,H11-TODAY()&gt;=0),"EXPIRING SOON",""))))</f>
        <v/>
      </c>
      <c r="M11" s="13" t="str">
        <f aca="false">IF(A11="","",MAX(F11+0,G11+0))</f>
        <v/>
      </c>
      <c r="N11" s="0" t="str">
        <f aca="true">IF(A11="","",IF(OR(E11="In Hand",E11="Rejected"),"",TODAY()-M11))</f>
        <v/>
      </c>
    </row>
    <row r="12" customFormat="false" ht="15" hidden="false" customHeight="false" outlineLevel="0" collapsed="false">
      <c r="J12" s="0" t="str">
        <f aca="true">IF(A12="","",IF(OR(E12="Rejected",E12="Expired"),"ACTION NEEDED",IF(AND(B12="Yes",E12="Not Started"),"ACTION NEEDED",IF(AND(E12="In Hand",H12&lt;&gt;"",H12-TODAY()&lt;=30,H12-TODAY()&gt;=0),"EXPIRING SOON",""))))</f>
        <v/>
      </c>
      <c r="M12" s="13" t="str">
        <f aca="false">IF(A12="","",MAX(F12+0,G12+0))</f>
        <v/>
      </c>
      <c r="N12" s="0" t="str">
        <f aca="true">IF(A12="","",IF(OR(E12="In Hand",E12="Rejected"),"",TODAY()-M12))</f>
        <v/>
      </c>
    </row>
    <row r="13" customFormat="false" ht="15" hidden="false" customHeight="false" outlineLevel="0" collapsed="false">
      <c r="J13" s="0" t="str">
        <f aca="true">IF(A13="","",IF(OR(E13="Rejected",E13="Expired"),"ACTION NEEDED",IF(AND(B13="Yes",E13="Not Started"),"ACTION NEEDED",IF(AND(E13="In Hand",H13&lt;&gt;"",H13-TODAY()&lt;=30,H13-TODAY()&gt;=0),"EXPIRING SOON",""))))</f>
        <v/>
      </c>
      <c r="M13" s="13" t="str">
        <f aca="false">IF(A13="","",MAX(F13+0,G13+0))</f>
        <v/>
      </c>
      <c r="N13" s="0" t="str">
        <f aca="true">IF(A13="","",IF(OR(E13="In Hand",E13="Rejected"),"",TODAY()-M13))</f>
        <v/>
      </c>
    </row>
    <row r="14" customFormat="false" ht="15" hidden="false" customHeight="false" outlineLevel="0" collapsed="false">
      <c r="J14" s="0" t="str">
        <f aca="true">IF(A14="","",IF(OR(E14="Rejected",E14="Expired"),"ACTION NEEDED",IF(AND(B14="Yes",E14="Not Started"),"ACTION NEEDED",IF(AND(E14="In Hand",H14&lt;&gt;"",H14-TODAY()&lt;=30,H14-TODAY()&gt;=0),"EXPIRING SOON",""))))</f>
        <v/>
      </c>
      <c r="M14" s="13" t="str">
        <f aca="false">IF(A14="","",MAX(F14+0,G14+0))</f>
        <v/>
      </c>
      <c r="N14" s="0" t="str">
        <f aca="true">IF(A14="","",IF(OR(E14="In Hand",E14="Rejected"),"",TODAY()-M14))</f>
        <v/>
      </c>
    </row>
    <row r="15" customFormat="false" ht="15" hidden="false" customHeight="false" outlineLevel="0" collapsed="false">
      <c r="J15" s="0" t="str">
        <f aca="true">IF(A15="","",IF(OR(E15="Rejected",E15="Expired"),"ACTION NEEDED",IF(AND(B15="Yes",E15="Not Started"),"ACTION NEEDED",IF(AND(E15="In Hand",H15&lt;&gt;"",H15-TODAY()&lt;=30,H15-TODAY()&gt;=0),"EXPIRING SOON",""))))</f>
        <v/>
      </c>
      <c r="M15" s="13" t="str">
        <f aca="false">IF(A15="","",MAX(F15+0,G15+0))</f>
        <v/>
      </c>
      <c r="N15" s="0" t="str">
        <f aca="true">IF(A15="","",IF(OR(E15="In Hand",E15="Rejected"),"",TODAY()-M15))</f>
        <v/>
      </c>
    </row>
    <row r="16" customFormat="false" ht="15" hidden="false" customHeight="false" outlineLevel="0" collapsed="false">
      <c r="J16" s="0" t="str">
        <f aca="true">IF(A16="","",IF(OR(E16="Rejected",E16="Expired"),"ACTION NEEDED",IF(AND(B16="Yes",E16="Not Started"),"ACTION NEEDED",IF(AND(E16="In Hand",H16&lt;&gt;"",H16-TODAY()&lt;=30,H16-TODAY()&gt;=0),"EXPIRING SOON",""))))</f>
        <v/>
      </c>
      <c r="M16" s="13" t="str">
        <f aca="false">IF(A16="","",MAX(F16+0,G16+0))</f>
        <v/>
      </c>
      <c r="N16" s="0" t="str">
        <f aca="true">IF(A16="","",IF(OR(E16="In Hand",E16="Rejected"),"",TODAY()-M16))</f>
        <v/>
      </c>
    </row>
    <row r="17" customFormat="false" ht="15" hidden="false" customHeight="false" outlineLevel="0" collapsed="false">
      <c r="J17" s="0" t="str">
        <f aca="true">IF(A17="","",IF(OR(E17="Rejected",E17="Expired"),"ACTION NEEDED",IF(AND(B17="Yes",E17="Not Started"),"ACTION NEEDED",IF(AND(E17="In Hand",H17&lt;&gt;"",H17-TODAY()&lt;=30,H17-TODAY()&gt;=0),"EXPIRING SOON",""))))</f>
        <v/>
      </c>
      <c r="M17" s="13" t="str">
        <f aca="false">IF(A17="","",MAX(F17+0,G17+0))</f>
        <v/>
      </c>
      <c r="N17" s="0" t="str">
        <f aca="true">IF(A17="","",IF(OR(E17="In Hand",E17="Rejected"),"",TODAY()-M17))</f>
        <v/>
      </c>
    </row>
    <row r="18" customFormat="false" ht="15" hidden="false" customHeight="false" outlineLevel="0" collapsed="false">
      <c r="J18" s="0" t="str">
        <f aca="true">IF(A18="","",IF(OR(E18="Rejected",E18="Expired"),"ACTION NEEDED",IF(AND(B18="Yes",E18="Not Started"),"ACTION NEEDED",IF(AND(E18="In Hand",H18&lt;&gt;"",H18-TODAY()&lt;=30,H18-TODAY()&gt;=0),"EXPIRING SOON",""))))</f>
        <v/>
      </c>
      <c r="M18" s="13" t="str">
        <f aca="false">IF(A18="","",MAX(F18+0,G18+0))</f>
        <v/>
      </c>
      <c r="N18" s="0" t="str">
        <f aca="true">IF(A18="","",IF(OR(E18="In Hand",E18="Rejected"),"",TODAY()-M18))</f>
        <v/>
      </c>
    </row>
    <row r="19" customFormat="false" ht="15" hidden="false" customHeight="false" outlineLevel="0" collapsed="false">
      <c r="J19" s="0" t="str">
        <f aca="true">IF(A19="","",IF(OR(E19="Rejected",E19="Expired"),"ACTION NEEDED",IF(AND(B19="Yes",E19="Not Started"),"ACTION NEEDED",IF(AND(E19="In Hand",H19&lt;&gt;"",H19-TODAY()&lt;=30,H19-TODAY()&gt;=0),"EXPIRING SOON",""))))</f>
        <v/>
      </c>
      <c r="M19" s="13" t="str">
        <f aca="false">IF(A19="","",MAX(F19+0,G19+0))</f>
        <v/>
      </c>
      <c r="N19" s="0" t="str">
        <f aca="true">IF(A19="","",IF(OR(E19="In Hand",E19="Rejected"),"",TODAY()-M19))</f>
        <v/>
      </c>
    </row>
    <row r="20" customFormat="false" ht="15" hidden="false" customHeight="false" outlineLevel="0" collapsed="false">
      <c r="J20" s="0" t="str">
        <f aca="true">IF(A20="","",IF(OR(E20="Rejected",E20="Expired"),"ACTION NEEDED",IF(AND(B20="Yes",E20="Not Started"),"ACTION NEEDED",IF(AND(E20="In Hand",H20&lt;&gt;"",H20-TODAY()&lt;=30,H20-TODAY()&gt;=0),"EXPIRING SOON",""))))</f>
        <v/>
      </c>
      <c r="M20" s="13" t="str">
        <f aca="false">IF(A20="","",MAX(F20+0,G20+0))</f>
        <v/>
      </c>
      <c r="N20" s="0" t="str">
        <f aca="true">IF(A20="","",IF(OR(E20="In Hand",E20="Rejected"),"",TODAY()-M20))</f>
        <v/>
      </c>
    </row>
    <row r="21" customFormat="false" ht="15" hidden="false" customHeight="false" outlineLevel="0" collapsed="false">
      <c r="J21" s="0" t="str">
        <f aca="true">IF(A21="","",IF(OR(E21="Rejected",E21="Expired"),"ACTION NEEDED",IF(AND(B21="Yes",E21="Not Started"),"ACTION NEEDED",IF(AND(E21="In Hand",H21&lt;&gt;"",H21-TODAY()&lt;=30,H21-TODAY()&gt;=0),"EXPIRING SOON",""))))</f>
        <v/>
      </c>
      <c r="M21" s="13" t="str">
        <f aca="false">IF(A21="","",MAX(F21+0,G21+0))</f>
        <v/>
      </c>
      <c r="N21" s="0" t="str">
        <f aca="true">IF(A21="","",IF(OR(E21="In Hand",E21="Rejected"),"",TODAY()-M21))</f>
        <v/>
      </c>
    </row>
    <row r="22" customFormat="false" ht="15" hidden="false" customHeight="false" outlineLevel="0" collapsed="false">
      <c r="J22" s="0" t="str">
        <f aca="true">IF(A22="","",IF(OR(E22="Rejected",E22="Expired"),"ACTION NEEDED",IF(AND(B22="Yes",E22="Not Started"),"ACTION NEEDED",IF(AND(E22="In Hand",H22&lt;&gt;"",H22-TODAY()&lt;=30,H22-TODAY()&gt;=0),"EXPIRING SOON",""))))</f>
        <v/>
      </c>
      <c r="M22" s="13" t="str">
        <f aca="false">IF(A22="","",MAX(F22+0,G22+0))</f>
        <v/>
      </c>
      <c r="N22" s="0" t="str">
        <f aca="true">IF(A22="","",IF(OR(E22="In Hand",E22="Rejected"),"",TODAY()-M22))</f>
        <v/>
      </c>
    </row>
    <row r="23" customFormat="false" ht="15" hidden="false" customHeight="false" outlineLevel="0" collapsed="false">
      <c r="J23" s="0" t="str">
        <f aca="true">IF(A23="","",IF(OR(E23="Rejected",E23="Expired"),"ACTION NEEDED",IF(AND(B23="Yes",E23="Not Started"),"ACTION NEEDED",IF(AND(E23="In Hand",H23&lt;&gt;"",H23-TODAY()&lt;=30,H23-TODAY()&gt;=0),"EXPIRING SOON",""))))</f>
        <v/>
      </c>
      <c r="M23" s="13" t="str">
        <f aca="false">IF(A23="","",MAX(F23+0,G23+0))</f>
        <v/>
      </c>
      <c r="N23" s="0" t="str">
        <f aca="true">IF(A23="","",IF(OR(E23="In Hand",E23="Rejected"),"",TODAY()-M23))</f>
        <v/>
      </c>
    </row>
    <row r="24" customFormat="false" ht="15" hidden="false" customHeight="false" outlineLevel="0" collapsed="false">
      <c r="J24" s="0" t="str">
        <f aca="true">IF(A24="","",IF(OR(E24="Rejected",E24="Expired"),"ACTION NEEDED",IF(AND(B24="Yes",E24="Not Started"),"ACTION NEEDED",IF(AND(E24="In Hand",H24&lt;&gt;"",H24-TODAY()&lt;=30,H24-TODAY()&gt;=0),"EXPIRING SOON",""))))</f>
        <v/>
      </c>
      <c r="M24" s="13" t="str">
        <f aca="false">IF(A24="","",MAX(F24+0,G24+0))</f>
        <v/>
      </c>
      <c r="N24" s="0" t="str">
        <f aca="true">IF(A24="","",IF(OR(E24="In Hand",E24="Rejected"),"",TODAY()-M24))</f>
        <v/>
      </c>
    </row>
    <row r="25" customFormat="false" ht="15" hidden="false" customHeight="false" outlineLevel="0" collapsed="false">
      <c r="J25" s="0" t="str">
        <f aca="true">IF(A25="","",IF(OR(E25="Rejected",E25="Expired"),"ACTION NEEDED",IF(AND(B25="Yes",E25="Not Started"),"ACTION NEEDED",IF(AND(E25="In Hand",H25&lt;&gt;"",H25-TODAY()&lt;=30,H25-TODAY()&gt;=0),"EXPIRING SOON",""))))</f>
        <v/>
      </c>
      <c r="M25" s="13" t="str">
        <f aca="false">IF(A25="","",MAX(F25+0,G25+0))</f>
        <v/>
      </c>
      <c r="N25" s="0" t="str">
        <f aca="true">IF(A25="","",IF(OR(E25="In Hand",E25="Rejected"),"",TODAY()-M25))</f>
        <v/>
      </c>
    </row>
    <row r="26" customFormat="false" ht="15" hidden="false" customHeight="false" outlineLevel="0" collapsed="false">
      <c r="J26" s="0" t="str">
        <f aca="true">IF(A26="","",IF(OR(E26="Rejected",E26="Expired"),"ACTION NEEDED",IF(AND(B26="Yes",E26="Not Started"),"ACTION NEEDED",IF(AND(E26="In Hand",H26&lt;&gt;"",H26-TODAY()&lt;=30,H26-TODAY()&gt;=0),"EXPIRING SOON",""))))</f>
        <v/>
      </c>
      <c r="M26" s="13" t="str">
        <f aca="false">IF(A26="","",MAX(F26+0,G26+0))</f>
        <v/>
      </c>
      <c r="N26" s="0" t="str">
        <f aca="true">IF(A26="","",IF(OR(E26="In Hand",E26="Rejected"),"",TODAY()-M26))</f>
        <v/>
      </c>
    </row>
    <row r="27" customFormat="false" ht="15" hidden="false" customHeight="false" outlineLevel="0" collapsed="false">
      <c r="J27" s="0" t="str">
        <f aca="true">IF(A27="","",IF(OR(E27="Rejected",E27="Expired"),"ACTION NEEDED",IF(AND(B27="Yes",E27="Not Started"),"ACTION NEEDED",IF(AND(E27="In Hand",H27&lt;&gt;"",H27-TODAY()&lt;=30,H27-TODAY()&gt;=0),"EXPIRING SOON",""))))</f>
        <v/>
      </c>
      <c r="M27" s="13" t="str">
        <f aca="false">IF(A27="","",MAX(F27+0,G27+0))</f>
        <v/>
      </c>
      <c r="N27" s="0" t="str">
        <f aca="true">IF(A27="","",IF(OR(E27="In Hand",E27="Rejected"),"",TODAY()-M27))</f>
        <v/>
      </c>
    </row>
    <row r="28" customFormat="false" ht="15" hidden="false" customHeight="false" outlineLevel="0" collapsed="false">
      <c r="J28" s="0" t="str">
        <f aca="true">IF(A28="","",IF(OR(E28="Rejected",E28="Expired"),"ACTION NEEDED",IF(AND(B28="Yes",E28="Not Started"),"ACTION NEEDED",IF(AND(E28="In Hand",H28&lt;&gt;"",H28-TODAY()&lt;=30,H28-TODAY()&gt;=0),"EXPIRING SOON",""))))</f>
        <v/>
      </c>
      <c r="M28" s="13" t="str">
        <f aca="false">IF(A28="","",MAX(F28+0,G28+0))</f>
        <v/>
      </c>
      <c r="N28" s="0" t="str">
        <f aca="true">IF(A28="","",IF(OR(E28="In Hand",E28="Rejected"),"",TODAY()-M28))</f>
        <v/>
      </c>
    </row>
    <row r="29" customFormat="false" ht="15" hidden="false" customHeight="false" outlineLevel="0" collapsed="false">
      <c r="J29" s="0" t="str">
        <f aca="true">IF(A29="","",IF(OR(E29="Rejected",E29="Expired"),"ACTION NEEDED",IF(AND(B29="Yes",E29="Not Started"),"ACTION NEEDED",IF(AND(E29="In Hand",H29&lt;&gt;"",H29-TODAY()&lt;=30,H29-TODAY()&gt;=0),"EXPIRING SOON",""))))</f>
        <v/>
      </c>
      <c r="M29" s="13" t="str">
        <f aca="false">IF(A29="","",MAX(F29+0,G29+0))</f>
        <v/>
      </c>
      <c r="N29" s="0" t="str">
        <f aca="true">IF(A29="","",IF(OR(E29="In Hand",E29="Rejected"),"",TODAY()-M29))</f>
        <v/>
      </c>
    </row>
    <row r="30" customFormat="false" ht="15" hidden="false" customHeight="false" outlineLevel="0" collapsed="false">
      <c r="J30" s="0" t="str">
        <f aca="true">IF(A30="","",IF(OR(E30="Rejected",E30="Expired"),"ACTION NEEDED",IF(AND(B30="Yes",E30="Not Started"),"ACTION NEEDED",IF(AND(E30="In Hand",H30&lt;&gt;"",H30-TODAY()&lt;=30,H30-TODAY()&gt;=0),"EXPIRING SOON",""))))</f>
        <v/>
      </c>
      <c r="M30" s="13" t="str">
        <f aca="false">IF(A30="","",MAX(F30+0,G30+0))</f>
        <v/>
      </c>
      <c r="N30" s="0" t="str">
        <f aca="true">IF(A30="","",IF(OR(E30="In Hand",E30="Rejected"),"",TODAY()-M30))</f>
        <v/>
      </c>
    </row>
    <row r="31" customFormat="false" ht="15" hidden="false" customHeight="false" outlineLevel="0" collapsed="false">
      <c r="J31" s="0" t="str">
        <f aca="true">IF(A31="","",IF(OR(E31="Rejected",E31="Expired"),"ACTION NEEDED",IF(AND(B31="Yes",E31="Not Started"),"ACTION NEEDED",IF(AND(E31="In Hand",H31&lt;&gt;"",H31-TODAY()&lt;=30,H31-TODAY()&gt;=0),"EXPIRING SOON",""))))</f>
        <v/>
      </c>
      <c r="M31" s="13" t="str">
        <f aca="false">IF(A31="","",MAX(F31+0,G31+0))</f>
        <v/>
      </c>
      <c r="N31" s="0" t="str">
        <f aca="true">IF(A31="","",IF(OR(E31="In Hand",E31="Rejected"),"",TODAY()-M31))</f>
        <v/>
      </c>
    </row>
    <row r="32" customFormat="false" ht="15" hidden="false" customHeight="false" outlineLevel="0" collapsed="false">
      <c r="J32" s="0" t="str">
        <f aca="true">IF(A32="","",IF(OR(E32="Rejected",E32="Expired"),"ACTION NEEDED",IF(AND(B32="Yes",E32="Not Started"),"ACTION NEEDED",IF(AND(E32="In Hand",H32&lt;&gt;"",H32-TODAY()&lt;=30,H32-TODAY()&gt;=0),"EXPIRING SOON",""))))</f>
        <v/>
      </c>
      <c r="M32" s="13" t="str">
        <f aca="false">IF(A32="","",MAX(F32+0,G32+0))</f>
        <v/>
      </c>
      <c r="N32" s="0" t="str">
        <f aca="true">IF(A32="","",IF(OR(E32="In Hand",E32="Rejected"),"",TODAY()-M32))</f>
        <v/>
      </c>
    </row>
    <row r="33" customFormat="false" ht="15" hidden="false" customHeight="false" outlineLevel="0" collapsed="false">
      <c r="J33" s="0" t="str">
        <f aca="true">IF(A33="","",IF(OR(E33="Rejected",E33="Expired"),"ACTION NEEDED",IF(AND(B33="Yes",E33="Not Started"),"ACTION NEEDED",IF(AND(E33="In Hand",H33&lt;&gt;"",H33-TODAY()&lt;=30,H33-TODAY()&gt;=0),"EXPIRING SOON",""))))</f>
        <v/>
      </c>
      <c r="M33" s="13" t="str">
        <f aca="false">IF(A33="","",MAX(F33+0,G33+0))</f>
        <v/>
      </c>
      <c r="N33" s="0" t="str">
        <f aca="true">IF(A33="","",IF(OR(E33="In Hand",E33="Rejected"),"",TODAY()-M33))</f>
        <v/>
      </c>
    </row>
    <row r="34" customFormat="false" ht="15" hidden="false" customHeight="false" outlineLevel="0" collapsed="false">
      <c r="J34" s="0" t="str">
        <f aca="true">IF(A34="","",IF(OR(E34="Rejected",E34="Expired"),"ACTION NEEDED",IF(AND(B34="Yes",E34="Not Started"),"ACTION NEEDED",IF(AND(E34="In Hand",H34&lt;&gt;"",H34-TODAY()&lt;=30,H34-TODAY()&gt;=0),"EXPIRING SOON",""))))</f>
        <v/>
      </c>
      <c r="M34" s="13" t="str">
        <f aca="false">IF(A34="","",MAX(F34+0,G34+0))</f>
        <v/>
      </c>
      <c r="N34" s="0" t="str">
        <f aca="true">IF(A34="","",IF(OR(E34="In Hand",E34="Rejected"),"",TODAY()-M34))</f>
        <v/>
      </c>
    </row>
    <row r="35" customFormat="false" ht="15" hidden="false" customHeight="false" outlineLevel="0" collapsed="false">
      <c r="J35" s="0" t="str">
        <f aca="true">IF(A35="","",IF(OR(E35="Rejected",E35="Expired"),"ACTION NEEDED",IF(AND(B35="Yes",E35="Not Started"),"ACTION NEEDED",IF(AND(E35="In Hand",H35&lt;&gt;"",H35-TODAY()&lt;=30,H35-TODAY()&gt;=0),"EXPIRING SOON",""))))</f>
        <v/>
      </c>
      <c r="M35" s="13" t="str">
        <f aca="false">IF(A35="","",MAX(F35+0,G35+0))</f>
        <v/>
      </c>
      <c r="N35" s="0" t="str">
        <f aca="true">IF(A35="","",IF(OR(E35="In Hand",E35="Rejected"),"",TODAY()-M35))</f>
        <v/>
      </c>
    </row>
    <row r="36" customFormat="false" ht="15" hidden="false" customHeight="false" outlineLevel="0" collapsed="false">
      <c r="J36" s="0" t="str">
        <f aca="true">IF(A36="","",IF(OR(E36="Rejected",E36="Expired"),"ACTION NEEDED",IF(AND(B36="Yes",E36="Not Started"),"ACTION NEEDED",IF(AND(E36="In Hand",H36&lt;&gt;"",H36-TODAY()&lt;=30,H36-TODAY()&gt;=0),"EXPIRING SOON",""))))</f>
        <v/>
      </c>
      <c r="M36" s="13" t="str">
        <f aca="false">IF(A36="","",MAX(F36+0,G36+0))</f>
        <v/>
      </c>
      <c r="N36" s="0" t="str">
        <f aca="true">IF(A36="","",IF(OR(E36="In Hand",E36="Rejected"),"",TODAY()-M36))</f>
        <v/>
      </c>
    </row>
    <row r="37" customFormat="false" ht="15" hidden="false" customHeight="false" outlineLevel="0" collapsed="false">
      <c r="J37" s="0" t="str">
        <f aca="true">IF(A37="","",IF(OR(E37="Rejected",E37="Expired"),"ACTION NEEDED",IF(AND(B37="Yes",E37="Not Started"),"ACTION NEEDED",IF(AND(E37="In Hand",H37&lt;&gt;"",H37-TODAY()&lt;=30,H37-TODAY()&gt;=0),"EXPIRING SOON",""))))</f>
        <v/>
      </c>
      <c r="M37" s="13" t="str">
        <f aca="false">IF(A37="","",MAX(F37+0,G37+0))</f>
        <v/>
      </c>
      <c r="N37" s="0" t="str">
        <f aca="true">IF(A37="","",IF(OR(E37="In Hand",E37="Rejected"),"",TODAY()-M37))</f>
        <v/>
      </c>
    </row>
    <row r="38" customFormat="false" ht="15" hidden="false" customHeight="false" outlineLevel="0" collapsed="false">
      <c r="J38" s="0" t="str">
        <f aca="true">IF(A38="","",IF(OR(E38="Rejected",E38="Expired"),"ACTION NEEDED",IF(AND(B38="Yes",E38="Not Started"),"ACTION NEEDED",IF(AND(E38="In Hand",H38&lt;&gt;"",H38-TODAY()&lt;=30,H38-TODAY()&gt;=0),"EXPIRING SOON",""))))</f>
        <v/>
      </c>
      <c r="M38" s="13" t="str">
        <f aca="false">IF(A38="","",MAX(F38+0,G38+0))</f>
        <v/>
      </c>
      <c r="N38" s="0" t="str">
        <f aca="true">IF(A38="","",IF(OR(E38="In Hand",E38="Rejected"),"",TODAY()-M38))</f>
        <v/>
      </c>
    </row>
    <row r="39" customFormat="false" ht="15" hidden="false" customHeight="false" outlineLevel="0" collapsed="false">
      <c r="J39" s="0" t="str">
        <f aca="true">IF(A39="","",IF(OR(E39="Rejected",E39="Expired"),"ACTION NEEDED",IF(AND(B39="Yes",E39="Not Started"),"ACTION NEEDED",IF(AND(E39="In Hand",H39&lt;&gt;"",H39-TODAY()&lt;=30,H39-TODAY()&gt;=0),"EXPIRING SOON",""))))</f>
        <v/>
      </c>
      <c r="M39" s="13" t="str">
        <f aca="false">IF(A39="","",MAX(F39+0,G39+0))</f>
        <v/>
      </c>
      <c r="N39" s="0" t="str">
        <f aca="true">IF(A39="","",IF(OR(E39="In Hand",E39="Rejected"),"",TODAY()-M39))</f>
        <v/>
      </c>
    </row>
    <row r="40" customFormat="false" ht="15" hidden="false" customHeight="false" outlineLevel="0" collapsed="false">
      <c r="J40" s="0" t="str">
        <f aca="true">IF(A40="","",IF(OR(E40="Rejected",E40="Expired"),"ACTION NEEDED",IF(AND(B40="Yes",E40="Not Started"),"ACTION NEEDED",IF(AND(E40="In Hand",H40&lt;&gt;"",H40-TODAY()&lt;=30,H40-TODAY()&gt;=0),"EXPIRING SOON",""))))</f>
        <v/>
      </c>
      <c r="M40" s="13" t="str">
        <f aca="false">IF(A40="","",MAX(F40+0,G40+0))</f>
        <v/>
      </c>
      <c r="N40" s="0" t="str">
        <f aca="true">IF(A40="","",IF(OR(E40="In Hand",E40="Rejected"),"",TODAY()-M40))</f>
        <v/>
      </c>
    </row>
    <row r="41" customFormat="false" ht="15" hidden="false" customHeight="false" outlineLevel="0" collapsed="false">
      <c r="J41" s="0" t="str">
        <f aca="true">IF(A41="","",IF(OR(E41="Rejected",E41="Expired"),"ACTION NEEDED",IF(AND(B41="Yes",E41="Not Started"),"ACTION NEEDED",IF(AND(E41="In Hand",H41&lt;&gt;"",H41-TODAY()&lt;=30,H41-TODAY()&gt;=0),"EXPIRING SOON",""))))</f>
        <v/>
      </c>
      <c r="M41" s="13" t="str">
        <f aca="false">IF(A41="","",MAX(F41+0,G41+0))</f>
        <v/>
      </c>
      <c r="N41" s="0" t="str">
        <f aca="true">IF(A41="","",IF(OR(E41="In Hand",E41="Rejected"),"",TODAY()-M41))</f>
        <v/>
      </c>
    </row>
    <row r="42" customFormat="false" ht="15" hidden="false" customHeight="false" outlineLevel="0" collapsed="false">
      <c r="J42" s="0" t="str">
        <f aca="true">IF(A42="","",IF(OR(E42="Rejected",E42="Expired"),"ACTION NEEDED",IF(AND(B42="Yes",E42="Not Started"),"ACTION NEEDED",IF(AND(E42="In Hand",H42&lt;&gt;"",H42-TODAY()&lt;=30,H42-TODAY()&gt;=0),"EXPIRING SOON",""))))</f>
        <v/>
      </c>
      <c r="M42" s="13" t="str">
        <f aca="false">IF(A42="","",MAX(F42+0,G42+0))</f>
        <v/>
      </c>
      <c r="N42" s="0" t="str">
        <f aca="true">IF(A42="","",IF(OR(E42="In Hand",E42="Rejected"),"",TODAY()-M42))</f>
        <v/>
      </c>
    </row>
    <row r="43" customFormat="false" ht="15" hidden="false" customHeight="false" outlineLevel="0" collapsed="false">
      <c r="J43" s="0" t="str">
        <f aca="true">IF(A43="","",IF(OR(E43="Rejected",E43="Expired"),"ACTION NEEDED",IF(AND(B43="Yes",E43="Not Started"),"ACTION NEEDED",IF(AND(E43="In Hand",H43&lt;&gt;"",H43-TODAY()&lt;=30,H43-TODAY()&gt;=0),"EXPIRING SOON",""))))</f>
        <v/>
      </c>
      <c r="M43" s="13" t="str">
        <f aca="false">IF(A43="","",MAX(F43+0,G43+0))</f>
        <v/>
      </c>
      <c r="N43" s="0" t="str">
        <f aca="true">IF(A43="","",IF(OR(E43="In Hand",E43="Rejected"),"",TODAY()-M43))</f>
        <v/>
      </c>
    </row>
    <row r="44" customFormat="false" ht="15" hidden="false" customHeight="false" outlineLevel="0" collapsed="false">
      <c r="J44" s="0" t="str">
        <f aca="true">IF(A44="","",IF(OR(E44="Rejected",E44="Expired"),"ACTION NEEDED",IF(AND(B44="Yes",E44="Not Started"),"ACTION NEEDED",IF(AND(E44="In Hand",H44&lt;&gt;"",H44-TODAY()&lt;=30,H44-TODAY()&gt;=0),"EXPIRING SOON",""))))</f>
        <v/>
      </c>
      <c r="M44" s="13" t="str">
        <f aca="false">IF(A44="","",MAX(F44+0,G44+0))</f>
        <v/>
      </c>
      <c r="N44" s="0" t="str">
        <f aca="true">IF(A44="","",IF(OR(E44="In Hand",E44="Rejected"),"",TODAY()-M44))</f>
        <v/>
      </c>
    </row>
    <row r="45" customFormat="false" ht="15" hidden="false" customHeight="false" outlineLevel="0" collapsed="false">
      <c r="J45" s="0" t="str">
        <f aca="true">IF(A45="","",IF(OR(E45="Rejected",E45="Expired"),"ACTION NEEDED",IF(AND(B45="Yes",E45="Not Started"),"ACTION NEEDED",IF(AND(E45="In Hand",H45&lt;&gt;"",H45-TODAY()&lt;=30,H45-TODAY()&gt;=0),"EXPIRING SOON",""))))</f>
        <v/>
      </c>
      <c r="M45" s="13" t="str">
        <f aca="false">IF(A45="","",MAX(F45+0,G45+0))</f>
        <v/>
      </c>
      <c r="N45" s="0" t="str">
        <f aca="true">IF(A45="","",IF(OR(E45="In Hand",E45="Rejected"),"",TODAY()-M45))</f>
        <v/>
      </c>
    </row>
    <row r="46" customFormat="false" ht="15" hidden="false" customHeight="false" outlineLevel="0" collapsed="false">
      <c r="J46" s="0" t="str">
        <f aca="true">IF(A46="","",IF(OR(E46="Rejected",E46="Expired"),"ACTION NEEDED",IF(AND(B46="Yes",E46="Not Started"),"ACTION NEEDED",IF(AND(E46="In Hand",H46&lt;&gt;"",H46-TODAY()&lt;=30,H46-TODAY()&gt;=0),"EXPIRING SOON",""))))</f>
        <v/>
      </c>
      <c r="M46" s="13" t="str">
        <f aca="false">IF(A46="","",MAX(F46+0,G46+0))</f>
        <v/>
      </c>
      <c r="N46" s="0" t="str">
        <f aca="true">IF(A46="","",IF(OR(E46="In Hand",E46="Rejected"),"",TODAY()-M46))</f>
        <v/>
      </c>
    </row>
    <row r="47" customFormat="false" ht="15" hidden="false" customHeight="false" outlineLevel="0" collapsed="false">
      <c r="J47" s="0" t="str">
        <f aca="true">IF(A47="","",IF(OR(E47="Rejected",E47="Expired"),"ACTION NEEDED",IF(AND(B47="Yes",E47="Not Started"),"ACTION NEEDED",IF(AND(E47="In Hand",H47&lt;&gt;"",H47-TODAY()&lt;=30,H47-TODAY()&gt;=0),"EXPIRING SOON",""))))</f>
        <v/>
      </c>
      <c r="M47" s="13" t="str">
        <f aca="false">IF(A47="","",MAX(F47+0,G47+0))</f>
        <v/>
      </c>
      <c r="N47" s="0" t="str">
        <f aca="true">IF(A47="","",IF(OR(E47="In Hand",E47="Rejected"),"",TODAY()-M47))</f>
        <v/>
      </c>
    </row>
    <row r="48" customFormat="false" ht="15" hidden="false" customHeight="false" outlineLevel="0" collapsed="false">
      <c r="J48" s="0" t="str">
        <f aca="true">IF(A48="","",IF(OR(E48="Rejected",E48="Expired"),"ACTION NEEDED",IF(AND(B48="Yes",E48="Not Started"),"ACTION NEEDED",IF(AND(E48="In Hand",H48&lt;&gt;"",H48-TODAY()&lt;=30,H48-TODAY()&gt;=0),"EXPIRING SOON",""))))</f>
        <v/>
      </c>
      <c r="M48" s="13" t="str">
        <f aca="false">IF(A48="","",MAX(F48+0,G48+0))</f>
        <v/>
      </c>
      <c r="N48" s="0" t="str">
        <f aca="true">IF(A48="","",IF(OR(E48="In Hand",E48="Rejected"),"",TODAY()-M48))</f>
        <v/>
      </c>
    </row>
    <row r="49" customFormat="false" ht="15" hidden="false" customHeight="false" outlineLevel="0" collapsed="false">
      <c r="J49" s="0" t="str">
        <f aca="true">IF(A49="","",IF(OR(E49="Rejected",E49="Expired"),"ACTION NEEDED",IF(AND(B49="Yes",E49="Not Started"),"ACTION NEEDED",IF(AND(E49="In Hand",H49&lt;&gt;"",H49-TODAY()&lt;=30,H49-TODAY()&gt;=0),"EXPIRING SOON",""))))</f>
        <v/>
      </c>
      <c r="M49" s="13" t="str">
        <f aca="false">IF(A49="","",MAX(F49+0,G49+0))</f>
        <v/>
      </c>
      <c r="N49" s="0" t="str">
        <f aca="true">IF(A49="","",IF(OR(E49="In Hand",E49="Rejected"),"",TODAY()-M49))</f>
        <v/>
      </c>
    </row>
    <row r="50" customFormat="false" ht="15" hidden="false" customHeight="false" outlineLevel="0" collapsed="false">
      <c r="J50" s="0" t="str">
        <f aca="true">IF(A50="","",IF(OR(E50="Rejected",E50="Expired"),"ACTION NEEDED",IF(AND(B50="Yes",E50="Not Started"),"ACTION NEEDED",IF(AND(E50="In Hand",H50&lt;&gt;"",H50-TODAY()&lt;=30,H50-TODAY()&gt;=0),"EXPIRING SOON",""))))</f>
        <v/>
      </c>
      <c r="M50" s="13" t="str">
        <f aca="false">IF(A50="","",MAX(F50+0,G50+0))</f>
        <v/>
      </c>
      <c r="N50" s="0" t="str">
        <f aca="true">IF(A50="","",IF(OR(E50="In Hand",E50="Rejected"),"",TODAY()-M50))</f>
        <v/>
      </c>
    </row>
    <row r="51" customFormat="false" ht="15" hidden="false" customHeight="false" outlineLevel="0" collapsed="false">
      <c r="J51" s="0" t="str">
        <f aca="true">IF(A51="","",IF(OR(E51="Rejected",E51="Expired"),"ACTION NEEDED",IF(AND(B51="Yes",E51="Not Started"),"ACTION NEEDED",IF(AND(E51="In Hand",H51&lt;&gt;"",H51-TODAY()&lt;=30,H51-TODAY()&gt;=0),"EXPIRING SOON",""))))</f>
        <v/>
      </c>
      <c r="M51" s="13" t="str">
        <f aca="false">IF(A51="","",MAX(F51+0,G51+0))</f>
        <v/>
      </c>
      <c r="N51" s="0" t="str">
        <f aca="true">IF(A51="","",IF(OR(E51="In Hand",E51="Rejected"),"",TODAY()-M51))</f>
        <v/>
      </c>
    </row>
    <row r="52" customFormat="false" ht="15" hidden="false" customHeight="false" outlineLevel="0" collapsed="false">
      <c r="J52" s="0" t="str">
        <f aca="true">IF(A52="","",IF(OR(E52="Rejected",E52="Expired"),"ACTION NEEDED",IF(AND(B52="Yes",E52="Not Started"),"ACTION NEEDED",IF(AND(E52="In Hand",H52&lt;&gt;"",H52-TODAY()&lt;=30,H52-TODAY()&gt;=0),"EXPIRING SOON",""))))</f>
        <v/>
      </c>
      <c r="M52" s="13" t="str">
        <f aca="false">IF(A52="","",MAX(F52+0,G52+0))</f>
        <v/>
      </c>
      <c r="N52" s="0" t="str">
        <f aca="true">IF(A52="","",IF(OR(E52="In Hand",E52="Rejected"),"",TODAY()-M52))</f>
        <v/>
      </c>
    </row>
    <row r="53" customFormat="false" ht="15" hidden="false" customHeight="false" outlineLevel="0" collapsed="false">
      <c r="J53" s="0" t="str">
        <f aca="true">IF(A53="","",IF(OR(E53="Rejected",E53="Expired"),"ACTION NEEDED",IF(AND(B53="Yes",E53="Not Started"),"ACTION NEEDED",IF(AND(E53="In Hand",H53&lt;&gt;"",H53-TODAY()&lt;=30,H53-TODAY()&gt;=0),"EXPIRING SOON",""))))</f>
        <v/>
      </c>
      <c r="M53" s="13" t="str">
        <f aca="false">IF(A53="","",MAX(F53+0,G53+0))</f>
        <v/>
      </c>
      <c r="N53" s="0" t="str">
        <f aca="true">IF(A53="","",IF(OR(E53="In Hand",E53="Rejected"),"",TODAY()-M53))</f>
        <v/>
      </c>
    </row>
    <row r="54" customFormat="false" ht="15" hidden="false" customHeight="false" outlineLevel="0" collapsed="false">
      <c r="J54" s="0" t="str">
        <f aca="true">IF(A54="","",IF(OR(E54="Rejected",E54="Expired"),"ACTION NEEDED",IF(AND(B54="Yes",E54="Not Started"),"ACTION NEEDED",IF(AND(E54="In Hand",H54&lt;&gt;"",H54-TODAY()&lt;=30,H54-TODAY()&gt;=0),"EXPIRING SOON",""))))</f>
        <v/>
      </c>
      <c r="M54" s="13" t="str">
        <f aca="false">IF(A54="","",MAX(F54+0,G54+0))</f>
        <v/>
      </c>
      <c r="N54" s="0" t="str">
        <f aca="true">IF(A54="","",IF(OR(E54="In Hand",E54="Rejected"),"",TODAY()-M54))</f>
        <v/>
      </c>
    </row>
    <row r="55" customFormat="false" ht="15" hidden="false" customHeight="false" outlineLevel="0" collapsed="false">
      <c r="J55" s="0" t="str">
        <f aca="true">IF(A55="","",IF(OR(E55="Rejected",E55="Expired"),"ACTION NEEDED",IF(AND(B55="Yes",E55="Not Started"),"ACTION NEEDED",IF(AND(E55="In Hand",H55&lt;&gt;"",H55-TODAY()&lt;=30,H55-TODAY()&gt;=0),"EXPIRING SOON",""))))</f>
        <v/>
      </c>
      <c r="M55" s="13" t="str">
        <f aca="false">IF(A55="","",MAX(F55+0,G55+0))</f>
        <v/>
      </c>
      <c r="N55" s="0" t="str">
        <f aca="true">IF(A55="","",IF(OR(E55="In Hand",E55="Rejected"),"",TODAY()-M55))</f>
        <v/>
      </c>
    </row>
    <row r="56" customFormat="false" ht="15" hidden="false" customHeight="false" outlineLevel="0" collapsed="false">
      <c r="J56" s="0" t="str">
        <f aca="true">IF(A56="","",IF(OR(E56="Rejected",E56="Expired"),"ACTION NEEDED",IF(AND(B56="Yes",E56="Not Started"),"ACTION NEEDED",IF(AND(E56="In Hand",H56&lt;&gt;"",H56-TODAY()&lt;=30,H56-TODAY()&gt;=0),"EXPIRING SOON",""))))</f>
        <v/>
      </c>
      <c r="M56" s="13" t="str">
        <f aca="false">IF(A56="","",MAX(F56+0,G56+0))</f>
        <v/>
      </c>
      <c r="N56" s="0" t="str">
        <f aca="true">IF(A56="","",IF(OR(E56="In Hand",E56="Rejected"),"",TODAY()-M56))</f>
        <v/>
      </c>
    </row>
    <row r="57" customFormat="false" ht="15" hidden="false" customHeight="false" outlineLevel="0" collapsed="false">
      <c r="J57" s="0" t="str">
        <f aca="true">IF(A57="","",IF(OR(E57="Rejected",E57="Expired"),"ACTION NEEDED",IF(AND(B57="Yes",E57="Not Started"),"ACTION NEEDED",IF(AND(E57="In Hand",H57&lt;&gt;"",H57-TODAY()&lt;=30,H57-TODAY()&gt;=0),"EXPIRING SOON",""))))</f>
        <v/>
      </c>
      <c r="M57" s="13" t="str">
        <f aca="false">IF(A57="","",MAX(F57+0,G57+0))</f>
        <v/>
      </c>
      <c r="N57" s="0" t="str">
        <f aca="true">IF(A57="","",IF(OR(E57="In Hand",E57="Rejected"),"",TODAY()-M57))</f>
        <v/>
      </c>
    </row>
    <row r="58" customFormat="false" ht="15" hidden="false" customHeight="false" outlineLevel="0" collapsed="false">
      <c r="J58" s="0" t="str">
        <f aca="true">IF(A58="","",IF(OR(E58="Rejected",E58="Expired"),"ACTION NEEDED",IF(AND(B58="Yes",E58="Not Started"),"ACTION NEEDED",IF(AND(E58="In Hand",H58&lt;&gt;"",H58-TODAY()&lt;=30,H58-TODAY()&gt;=0),"EXPIRING SOON",""))))</f>
        <v/>
      </c>
      <c r="M58" s="13" t="str">
        <f aca="false">IF(A58="","",MAX(F58+0,G58+0))</f>
        <v/>
      </c>
      <c r="N58" s="0" t="str">
        <f aca="true">IF(A58="","",IF(OR(E58="In Hand",E58="Rejected"),"",TODAY()-M58))</f>
        <v/>
      </c>
    </row>
    <row r="59" customFormat="false" ht="15" hidden="false" customHeight="false" outlineLevel="0" collapsed="false">
      <c r="J59" s="0" t="str">
        <f aca="true">IF(A59="","",IF(OR(E59="Rejected",E59="Expired"),"ACTION NEEDED",IF(AND(B59="Yes",E59="Not Started"),"ACTION NEEDED",IF(AND(E59="In Hand",H59&lt;&gt;"",H59-TODAY()&lt;=30,H59-TODAY()&gt;=0),"EXPIRING SOON",""))))</f>
        <v/>
      </c>
      <c r="M59" s="13" t="str">
        <f aca="false">IF(A59="","",MAX(F59+0,G59+0))</f>
        <v/>
      </c>
      <c r="N59" s="0" t="str">
        <f aca="true">IF(A59="","",IF(OR(E59="In Hand",E59="Rejected"),"",TODAY()-M59))</f>
        <v/>
      </c>
    </row>
    <row r="60" customFormat="false" ht="15" hidden="false" customHeight="false" outlineLevel="0" collapsed="false">
      <c r="J60" s="0" t="str">
        <f aca="true">IF(A60="","",IF(OR(E60="Rejected",E60="Expired"),"ACTION NEEDED",IF(AND(B60="Yes",E60="Not Started"),"ACTION NEEDED",IF(AND(E60="In Hand",H60&lt;&gt;"",H60-TODAY()&lt;=30,H60-TODAY()&gt;=0),"EXPIRING SOON",""))))</f>
        <v/>
      </c>
      <c r="M60" s="13" t="str">
        <f aca="false">IF(A60="","",MAX(F60+0,G60+0))</f>
        <v/>
      </c>
      <c r="N60" s="0" t="str">
        <f aca="true">IF(A60="","",IF(OR(E60="In Hand",E60="Rejected"),"",TODAY()-M60))</f>
        <v/>
      </c>
    </row>
    <row r="61" customFormat="false" ht="15" hidden="false" customHeight="false" outlineLevel="0" collapsed="false">
      <c r="J61" s="0" t="str">
        <f aca="true">IF(A61="","",IF(OR(E61="Rejected",E61="Expired"),"ACTION NEEDED",IF(AND(B61="Yes",E61="Not Started"),"ACTION NEEDED",IF(AND(E61="In Hand",H61&lt;&gt;"",H61-TODAY()&lt;=30,H61-TODAY()&gt;=0),"EXPIRING SOON",""))))</f>
        <v/>
      </c>
      <c r="M61" s="13" t="str">
        <f aca="false">IF(A61="","",MAX(F61+0,G61+0))</f>
        <v/>
      </c>
      <c r="N61" s="0" t="str">
        <f aca="true">IF(A61="","",IF(OR(E61="In Hand",E61="Rejected"),"",TODAY()-M61))</f>
        <v/>
      </c>
    </row>
    <row r="62" customFormat="false" ht="15" hidden="false" customHeight="false" outlineLevel="0" collapsed="false">
      <c r="J62" s="0" t="str">
        <f aca="true">IF(A62="","",IF(OR(E62="Rejected",E62="Expired"),"ACTION NEEDED",IF(AND(B62="Yes",E62="Not Started"),"ACTION NEEDED",IF(AND(E62="In Hand",H62&lt;&gt;"",H62-TODAY()&lt;=30,H62-TODAY()&gt;=0),"EXPIRING SOON",""))))</f>
        <v/>
      </c>
      <c r="M62" s="13" t="str">
        <f aca="false">IF(A62="","",MAX(F62+0,G62+0))</f>
        <v/>
      </c>
      <c r="N62" s="0" t="str">
        <f aca="true">IF(A62="","",IF(OR(E62="In Hand",E62="Rejected"),"",TODAY()-M62))</f>
        <v/>
      </c>
    </row>
    <row r="63" customFormat="false" ht="15" hidden="false" customHeight="false" outlineLevel="0" collapsed="false">
      <c r="J63" s="0" t="str">
        <f aca="true">IF(A63="","",IF(OR(E63="Rejected",E63="Expired"),"ACTION NEEDED",IF(AND(B63="Yes",E63="Not Started"),"ACTION NEEDED",IF(AND(E63="In Hand",H63&lt;&gt;"",H63-TODAY()&lt;=30,H63-TODAY()&gt;=0),"EXPIRING SOON",""))))</f>
        <v/>
      </c>
      <c r="M63" s="13" t="str">
        <f aca="false">IF(A63="","",MAX(F63+0,G63+0))</f>
        <v/>
      </c>
      <c r="N63" s="0" t="str">
        <f aca="true">IF(A63="","",IF(OR(E63="In Hand",E63="Rejected"),"",TODAY()-M63))</f>
        <v/>
      </c>
    </row>
    <row r="64" customFormat="false" ht="15" hidden="false" customHeight="false" outlineLevel="0" collapsed="false">
      <c r="J64" s="0" t="str">
        <f aca="true">IF(A64="","",IF(OR(E64="Rejected",E64="Expired"),"ACTION NEEDED",IF(AND(B64="Yes",E64="Not Started"),"ACTION NEEDED",IF(AND(E64="In Hand",H64&lt;&gt;"",H64-TODAY()&lt;=30,H64-TODAY()&gt;=0),"EXPIRING SOON",""))))</f>
        <v/>
      </c>
      <c r="M64" s="13" t="str">
        <f aca="false">IF(A64="","",MAX(F64+0,G64+0))</f>
        <v/>
      </c>
      <c r="N64" s="0" t="str">
        <f aca="true">IF(A64="","",IF(OR(E64="In Hand",E64="Rejected"),"",TODAY()-M64))</f>
        <v/>
      </c>
    </row>
    <row r="65" customFormat="false" ht="15" hidden="false" customHeight="false" outlineLevel="0" collapsed="false">
      <c r="J65" s="0" t="str">
        <f aca="true">IF(A65="","",IF(OR(E65="Rejected",E65="Expired"),"ACTION NEEDED",IF(AND(B65="Yes",E65="Not Started"),"ACTION NEEDED",IF(AND(E65="In Hand",H65&lt;&gt;"",H65-TODAY()&lt;=30,H65-TODAY()&gt;=0),"EXPIRING SOON",""))))</f>
        <v/>
      </c>
      <c r="M65" s="13" t="str">
        <f aca="false">IF(A65="","",MAX(F65+0,G65+0))</f>
        <v/>
      </c>
      <c r="N65" s="0" t="str">
        <f aca="true">IF(A65="","",IF(OR(E65="In Hand",E65="Rejected"),"",TODAY()-M65))</f>
        <v/>
      </c>
    </row>
    <row r="66" customFormat="false" ht="15" hidden="false" customHeight="false" outlineLevel="0" collapsed="false">
      <c r="J66" s="0" t="str">
        <f aca="true">IF(A66="","",IF(OR(E66="Rejected",E66="Expired"),"ACTION NEEDED",IF(AND(B66="Yes",E66="Not Started"),"ACTION NEEDED",IF(AND(E66="In Hand",H66&lt;&gt;"",H66-TODAY()&lt;=30,H66-TODAY()&gt;=0),"EXPIRING SOON",""))))</f>
        <v/>
      </c>
      <c r="M66" s="13" t="str">
        <f aca="false">IF(A66="","",MAX(F66+0,G66+0))</f>
        <v/>
      </c>
      <c r="N66" s="0" t="str">
        <f aca="true">IF(A66="","",IF(OR(E66="In Hand",E66="Rejected"),"",TODAY()-M66))</f>
        <v/>
      </c>
    </row>
    <row r="67" customFormat="false" ht="15" hidden="false" customHeight="false" outlineLevel="0" collapsed="false">
      <c r="J67" s="0" t="str">
        <f aca="true">IF(A67="","",IF(OR(E67="Rejected",E67="Expired"),"ACTION NEEDED",IF(AND(B67="Yes",E67="Not Started"),"ACTION NEEDED",IF(AND(E67="In Hand",H67&lt;&gt;"",H67-TODAY()&lt;=30,H67-TODAY()&gt;=0),"EXPIRING SOON",""))))</f>
        <v/>
      </c>
      <c r="M67" s="13" t="str">
        <f aca="false">IF(A67="","",MAX(F67+0,G67+0))</f>
        <v/>
      </c>
      <c r="N67" s="0" t="str">
        <f aca="true">IF(A67="","",IF(OR(E67="In Hand",E67="Rejected"),"",TODAY()-M67))</f>
        <v/>
      </c>
    </row>
    <row r="68" customFormat="false" ht="15" hidden="false" customHeight="false" outlineLevel="0" collapsed="false">
      <c r="J68" s="0" t="str">
        <f aca="true">IF(A68="","",IF(OR(E68="Rejected",E68="Expired"),"ACTION NEEDED",IF(AND(B68="Yes",E68="Not Started"),"ACTION NEEDED",IF(AND(E68="In Hand",H68&lt;&gt;"",H68-TODAY()&lt;=30,H68-TODAY()&gt;=0),"EXPIRING SOON",""))))</f>
        <v/>
      </c>
      <c r="M68" s="13" t="str">
        <f aca="false">IF(A68="","",MAX(F68+0,G68+0))</f>
        <v/>
      </c>
      <c r="N68" s="0" t="str">
        <f aca="true">IF(A68="","",IF(OR(E68="In Hand",E68="Rejected"),"",TODAY()-M68))</f>
        <v/>
      </c>
    </row>
    <row r="69" customFormat="false" ht="15" hidden="false" customHeight="false" outlineLevel="0" collapsed="false">
      <c r="J69" s="0" t="str">
        <f aca="true">IF(A69="","",IF(OR(E69="Rejected",E69="Expired"),"ACTION NEEDED",IF(AND(B69="Yes",E69="Not Started"),"ACTION NEEDED",IF(AND(E69="In Hand",H69&lt;&gt;"",H69-TODAY()&lt;=30,H69-TODAY()&gt;=0),"EXPIRING SOON",""))))</f>
        <v/>
      </c>
      <c r="M69" s="13" t="str">
        <f aca="false">IF(A69="","",MAX(F69+0,G69+0))</f>
        <v/>
      </c>
      <c r="N69" s="0" t="str">
        <f aca="true">IF(A69="","",IF(OR(E69="In Hand",E69="Rejected"),"",TODAY()-M69))</f>
        <v/>
      </c>
    </row>
    <row r="70" customFormat="false" ht="15" hidden="false" customHeight="false" outlineLevel="0" collapsed="false">
      <c r="J70" s="0" t="str">
        <f aca="true">IF(A70="","",IF(OR(E70="Rejected",E70="Expired"),"ACTION NEEDED",IF(AND(B70="Yes",E70="Not Started"),"ACTION NEEDED",IF(AND(E70="In Hand",H70&lt;&gt;"",H70-TODAY()&lt;=30,H70-TODAY()&gt;=0),"EXPIRING SOON",""))))</f>
        <v/>
      </c>
      <c r="M70" s="13" t="str">
        <f aca="false">IF(A70="","",MAX(F70+0,G70+0))</f>
        <v/>
      </c>
      <c r="N70" s="0" t="str">
        <f aca="true">IF(A70="","",IF(OR(E70="In Hand",E70="Rejected"),"",TODAY()-M70))</f>
        <v/>
      </c>
    </row>
    <row r="71" customFormat="false" ht="15" hidden="false" customHeight="false" outlineLevel="0" collapsed="false">
      <c r="J71" s="0" t="str">
        <f aca="true">IF(A71="","",IF(OR(E71="Rejected",E71="Expired"),"ACTION NEEDED",IF(AND(B71="Yes",E71="Not Started"),"ACTION NEEDED",IF(AND(E71="In Hand",H71&lt;&gt;"",H71-TODAY()&lt;=30,H71-TODAY()&gt;=0),"EXPIRING SOON",""))))</f>
        <v/>
      </c>
      <c r="M71" s="13" t="str">
        <f aca="false">IF(A71="","",MAX(F71+0,G71+0))</f>
        <v/>
      </c>
      <c r="N71" s="0" t="str">
        <f aca="true">IF(A71="","",IF(OR(E71="In Hand",E71="Rejected"),"",TODAY()-M71))</f>
        <v/>
      </c>
    </row>
    <row r="72" customFormat="false" ht="15" hidden="false" customHeight="false" outlineLevel="0" collapsed="false">
      <c r="J72" s="0" t="str">
        <f aca="true">IF(A72="","",IF(OR(E72="Rejected",E72="Expired"),"ACTION NEEDED",IF(AND(B72="Yes",E72="Not Started"),"ACTION NEEDED",IF(AND(E72="In Hand",H72&lt;&gt;"",H72-TODAY()&lt;=30,H72-TODAY()&gt;=0),"EXPIRING SOON",""))))</f>
        <v/>
      </c>
      <c r="M72" s="13" t="str">
        <f aca="false">IF(A72="","",MAX(F72+0,G72+0))</f>
        <v/>
      </c>
      <c r="N72" s="0" t="str">
        <f aca="true">IF(A72="","",IF(OR(E72="In Hand",E72="Rejected"),"",TODAY()-M72))</f>
        <v/>
      </c>
    </row>
    <row r="73" customFormat="false" ht="15" hidden="false" customHeight="false" outlineLevel="0" collapsed="false">
      <c r="J73" s="0" t="str">
        <f aca="true">IF(A73="","",IF(OR(E73="Rejected",E73="Expired"),"ACTION NEEDED",IF(AND(B73="Yes",E73="Not Started"),"ACTION NEEDED",IF(AND(E73="In Hand",H73&lt;&gt;"",H73-TODAY()&lt;=30,H73-TODAY()&gt;=0),"EXPIRING SOON",""))))</f>
        <v/>
      </c>
      <c r="M73" s="13" t="str">
        <f aca="false">IF(A73="","",MAX(F73+0,G73+0))</f>
        <v/>
      </c>
      <c r="N73" s="0" t="str">
        <f aca="true">IF(A73="","",IF(OR(E73="In Hand",E73="Rejected"),"",TODAY()-M73))</f>
        <v/>
      </c>
    </row>
    <row r="74" customFormat="false" ht="15" hidden="false" customHeight="false" outlineLevel="0" collapsed="false">
      <c r="J74" s="0" t="str">
        <f aca="true">IF(A74="","",IF(OR(E74="Rejected",E74="Expired"),"ACTION NEEDED",IF(AND(B74="Yes",E74="Not Started"),"ACTION NEEDED",IF(AND(E74="In Hand",H74&lt;&gt;"",H74-TODAY()&lt;=30,H74-TODAY()&gt;=0),"EXPIRING SOON",""))))</f>
        <v/>
      </c>
      <c r="M74" s="13" t="str">
        <f aca="false">IF(A74="","",MAX(F74+0,G74+0))</f>
        <v/>
      </c>
      <c r="N74" s="0" t="str">
        <f aca="true">IF(A74="","",IF(OR(E74="In Hand",E74="Rejected"),"",TODAY()-M74))</f>
        <v/>
      </c>
    </row>
    <row r="75" customFormat="false" ht="15" hidden="false" customHeight="false" outlineLevel="0" collapsed="false">
      <c r="J75" s="0" t="str">
        <f aca="true">IF(A75="","",IF(OR(E75="Rejected",E75="Expired"),"ACTION NEEDED",IF(AND(B75="Yes",E75="Not Started"),"ACTION NEEDED",IF(AND(E75="In Hand",H75&lt;&gt;"",H75-TODAY()&lt;=30,H75-TODAY()&gt;=0),"EXPIRING SOON",""))))</f>
        <v/>
      </c>
      <c r="M75" s="13" t="str">
        <f aca="false">IF(A75="","",MAX(F75+0,G75+0))</f>
        <v/>
      </c>
      <c r="N75" s="0" t="str">
        <f aca="true">IF(A75="","",IF(OR(E75="In Hand",E75="Rejected"),"",TODAY()-M75))</f>
        <v/>
      </c>
    </row>
    <row r="76" customFormat="false" ht="15" hidden="false" customHeight="false" outlineLevel="0" collapsed="false">
      <c r="J76" s="0" t="str">
        <f aca="true">IF(A76="","",IF(OR(E76="Rejected",E76="Expired"),"ACTION NEEDED",IF(AND(B76="Yes",E76="Not Started"),"ACTION NEEDED",IF(AND(E76="In Hand",H76&lt;&gt;"",H76-TODAY()&lt;=30,H76-TODAY()&gt;=0),"EXPIRING SOON",""))))</f>
        <v/>
      </c>
      <c r="M76" s="13" t="str">
        <f aca="false">IF(A76="","",MAX(F76+0,G76+0))</f>
        <v/>
      </c>
      <c r="N76" s="0" t="str">
        <f aca="true">IF(A76="","",IF(OR(E76="In Hand",E76="Rejected"),"",TODAY()-M76))</f>
        <v/>
      </c>
    </row>
    <row r="77" customFormat="false" ht="15" hidden="false" customHeight="false" outlineLevel="0" collapsed="false">
      <c r="J77" s="0" t="str">
        <f aca="true">IF(A77="","",IF(OR(E77="Rejected",E77="Expired"),"ACTION NEEDED",IF(AND(B77="Yes",E77="Not Started"),"ACTION NEEDED",IF(AND(E77="In Hand",H77&lt;&gt;"",H77-TODAY()&lt;=30,H77-TODAY()&gt;=0),"EXPIRING SOON",""))))</f>
        <v/>
      </c>
      <c r="M77" s="13" t="str">
        <f aca="false">IF(A77="","",MAX(F77+0,G77+0))</f>
        <v/>
      </c>
      <c r="N77" s="0" t="str">
        <f aca="true">IF(A77="","",IF(OR(E77="In Hand",E77="Rejected"),"",TODAY()-M77))</f>
        <v/>
      </c>
    </row>
    <row r="78" customFormat="false" ht="15" hidden="false" customHeight="false" outlineLevel="0" collapsed="false">
      <c r="J78" s="0" t="str">
        <f aca="true">IF(A78="","",IF(OR(E78="Rejected",E78="Expired"),"ACTION NEEDED",IF(AND(B78="Yes",E78="Not Started"),"ACTION NEEDED",IF(AND(E78="In Hand",H78&lt;&gt;"",H78-TODAY()&lt;=30,H78-TODAY()&gt;=0),"EXPIRING SOON",""))))</f>
        <v/>
      </c>
      <c r="M78" s="13" t="str">
        <f aca="false">IF(A78="","",MAX(F78+0,G78+0))</f>
        <v/>
      </c>
      <c r="N78" s="0" t="str">
        <f aca="true">IF(A78="","",IF(OR(E78="In Hand",E78="Rejected"),"",TODAY()-M78))</f>
        <v/>
      </c>
    </row>
    <row r="79" customFormat="false" ht="15" hidden="false" customHeight="false" outlineLevel="0" collapsed="false">
      <c r="J79" s="0" t="str">
        <f aca="true">IF(A79="","",IF(OR(E79="Rejected",E79="Expired"),"ACTION NEEDED",IF(AND(B79="Yes",E79="Not Started"),"ACTION NEEDED",IF(AND(E79="In Hand",H79&lt;&gt;"",H79-TODAY()&lt;=30,H79-TODAY()&gt;=0),"EXPIRING SOON",""))))</f>
        <v/>
      </c>
      <c r="M79" s="13" t="str">
        <f aca="false">IF(A79="","",MAX(F79+0,G79+0))</f>
        <v/>
      </c>
      <c r="N79" s="0" t="str">
        <f aca="true">IF(A79="","",IF(OR(E79="In Hand",E79="Rejected"),"",TODAY()-M79))</f>
        <v/>
      </c>
    </row>
    <row r="80" customFormat="false" ht="15" hidden="false" customHeight="false" outlineLevel="0" collapsed="false">
      <c r="J80" s="0" t="str">
        <f aca="true">IF(A80="","",IF(OR(E80="Rejected",E80="Expired"),"ACTION NEEDED",IF(AND(B80="Yes",E80="Not Started"),"ACTION NEEDED",IF(AND(E80="In Hand",H80&lt;&gt;"",H80-TODAY()&lt;=30,H80-TODAY()&gt;=0),"EXPIRING SOON",""))))</f>
        <v/>
      </c>
      <c r="M80" s="13" t="str">
        <f aca="false">IF(A80="","",MAX(F80+0,G80+0))</f>
        <v/>
      </c>
      <c r="N80" s="0" t="str">
        <f aca="true">IF(A80="","",IF(OR(E80="In Hand",E80="Rejected"),"",TODAY()-M80))</f>
        <v/>
      </c>
    </row>
    <row r="81" customFormat="false" ht="15" hidden="false" customHeight="false" outlineLevel="0" collapsed="false">
      <c r="J81" s="0" t="str">
        <f aca="true">IF(A81="","",IF(OR(E81="Rejected",E81="Expired"),"ACTION NEEDED",IF(AND(B81="Yes",E81="Not Started"),"ACTION NEEDED",IF(AND(E81="In Hand",H81&lt;&gt;"",H81-TODAY()&lt;=30,H81-TODAY()&gt;=0),"EXPIRING SOON",""))))</f>
        <v/>
      </c>
      <c r="M81" s="13" t="str">
        <f aca="false">IF(A81="","",MAX(F81+0,G81+0))</f>
        <v/>
      </c>
      <c r="N81" s="0" t="str">
        <f aca="true">IF(A81="","",IF(OR(E81="In Hand",E81="Rejected"),"",TODAY()-M81))</f>
        <v/>
      </c>
    </row>
    <row r="82" customFormat="false" ht="15" hidden="false" customHeight="false" outlineLevel="0" collapsed="false">
      <c r="J82" s="0" t="str">
        <f aca="true">IF(A82="","",IF(OR(E82="Rejected",E82="Expired"),"ACTION NEEDED",IF(AND(B82="Yes",E82="Not Started"),"ACTION NEEDED",IF(AND(E82="In Hand",H82&lt;&gt;"",H82-TODAY()&lt;=30,H82-TODAY()&gt;=0),"EXPIRING SOON",""))))</f>
        <v/>
      </c>
      <c r="M82" s="13" t="str">
        <f aca="false">IF(A82="","",MAX(F82+0,G82+0))</f>
        <v/>
      </c>
      <c r="N82" s="0" t="str">
        <f aca="true">IF(A82="","",IF(OR(E82="In Hand",E82="Rejected"),"",TODAY()-M82))</f>
        <v/>
      </c>
    </row>
    <row r="83" customFormat="false" ht="15" hidden="false" customHeight="false" outlineLevel="0" collapsed="false">
      <c r="J83" s="0" t="str">
        <f aca="true">IF(A83="","",IF(OR(E83="Rejected",E83="Expired"),"ACTION NEEDED",IF(AND(B83="Yes",E83="Not Started"),"ACTION NEEDED",IF(AND(E83="In Hand",H83&lt;&gt;"",H83-TODAY()&lt;=30,H83-TODAY()&gt;=0),"EXPIRING SOON",""))))</f>
        <v/>
      </c>
      <c r="M83" s="13" t="str">
        <f aca="false">IF(A83="","",MAX(F83+0,G83+0))</f>
        <v/>
      </c>
      <c r="N83" s="0" t="str">
        <f aca="true">IF(A83="","",IF(OR(E83="In Hand",E83="Rejected"),"",TODAY()-M83))</f>
        <v/>
      </c>
    </row>
    <row r="84" customFormat="false" ht="15" hidden="false" customHeight="false" outlineLevel="0" collapsed="false">
      <c r="J84" s="0" t="str">
        <f aca="true">IF(A84="","",IF(OR(E84="Rejected",E84="Expired"),"ACTION NEEDED",IF(AND(B84="Yes",E84="Not Started"),"ACTION NEEDED",IF(AND(E84="In Hand",H84&lt;&gt;"",H84-TODAY()&lt;=30,H84-TODAY()&gt;=0),"EXPIRING SOON",""))))</f>
        <v/>
      </c>
      <c r="M84" s="13" t="str">
        <f aca="false">IF(A84="","",MAX(F84+0,G84+0))</f>
        <v/>
      </c>
      <c r="N84" s="0" t="str">
        <f aca="true">IF(A84="","",IF(OR(E84="In Hand",E84="Rejected"),"",TODAY()-M84))</f>
        <v/>
      </c>
    </row>
    <row r="85" customFormat="false" ht="15" hidden="false" customHeight="false" outlineLevel="0" collapsed="false">
      <c r="J85" s="0" t="str">
        <f aca="true">IF(A85="","",IF(OR(E85="Rejected",E85="Expired"),"ACTION NEEDED",IF(AND(B85="Yes",E85="Not Started"),"ACTION NEEDED",IF(AND(E85="In Hand",H85&lt;&gt;"",H85-TODAY()&lt;=30,H85-TODAY()&gt;=0),"EXPIRING SOON",""))))</f>
        <v/>
      </c>
      <c r="M85" s="13" t="str">
        <f aca="false">IF(A85="","",MAX(F85+0,G85+0))</f>
        <v/>
      </c>
      <c r="N85" s="0" t="str">
        <f aca="true">IF(A85="","",IF(OR(E85="In Hand",E85="Rejected"),"",TODAY()-M85))</f>
        <v/>
      </c>
    </row>
    <row r="86" customFormat="false" ht="15" hidden="false" customHeight="false" outlineLevel="0" collapsed="false">
      <c r="J86" s="0" t="str">
        <f aca="true">IF(A86="","",IF(OR(E86="Rejected",E86="Expired"),"ACTION NEEDED",IF(AND(B86="Yes",E86="Not Started"),"ACTION NEEDED",IF(AND(E86="In Hand",H86&lt;&gt;"",H86-TODAY()&lt;=30,H86-TODAY()&gt;=0),"EXPIRING SOON",""))))</f>
        <v/>
      </c>
      <c r="M86" s="13" t="str">
        <f aca="false">IF(A86="","",MAX(F86+0,G86+0))</f>
        <v/>
      </c>
      <c r="N86" s="0" t="str">
        <f aca="true">IF(A86="","",IF(OR(E86="In Hand",E86="Rejected"),"",TODAY()-M86))</f>
        <v/>
      </c>
    </row>
    <row r="87" customFormat="false" ht="15" hidden="false" customHeight="false" outlineLevel="0" collapsed="false">
      <c r="J87" s="0" t="str">
        <f aca="true">IF(A87="","",IF(OR(E87="Rejected",E87="Expired"),"ACTION NEEDED",IF(AND(B87="Yes",E87="Not Started"),"ACTION NEEDED",IF(AND(E87="In Hand",H87&lt;&gt;"",H87-TODAY()&lt;=30,H87-TODAY()&gt;=0),"EXPIRING SOON",""))))</f>
        <v/>
      </c>
      <c r="M87" s="13" t="str">
        <f aca="false">IF(A87="","",MAX(F87+0,G87+0))</f>
        <v/>
      </c>
      <c r="N87" s="0" t="str">
        <f aca="true">IF(A87="","",IF(OR(E87="In Hand",E87="Rejected"),"",TODAY()-M87))</f>
        <v/>
      </c>
    </row>
    <row r="88" customFormat="false" ht="15" hidden="false" customHeight="false" outlineLevel="0" collapsed="false">
      <c r="J88" s="0" t="str">
        <f aca="true">IF(A88="","",IF(OR(E88="Rejected",E88="Expired"),"ACTION NEEDED",IF(AND(B88="Yes",E88="Not Started"),"ACTION NEEDED",IF(AND(E88="In Hand",H88&lt;&gt;"",H88-TODAY()&lt;=30,H88-TODAY()&gt;=0),"EXPIRING SOON",""))))</f>
        <v/>
      </c>
      <c r="M88" s="13" t="str">
        <f aca="false">IF(A88="","",MAX(F88+0,G88+0))</f>
        <v/>
      </c>
      <c r="N88" s="0" t="str">
        <f aca="true">IF(A88="","",IF(OR(E88="In Hand",E88="Rejected"),"",TODAY()-M88))</f>
        <v/>
      </c>
    </row>
    <row r="89" customFormat="false" ht="15" hidden="false" customHeight="false" outlineLevel="0" collapsed="false">
      <c r="J89" s="0" t="str">
        <f aca="true">IF(A89="","",IF(OR(E89="Rejected",E89="Expired"),"ACTION NEEDED",IF(AND(B89="Yes",E89="Not Started"),"ACTION NEEDED",IF(AND(E89="In Hand",H89&lt;&gt;"",H89-TODAY()&lt;=30,H89-TODAY()&gt;=0),"EXPIRING SOON",""))))</f>
        <v/>
      </c>
      <c r="M89" s="13" t="str">
        <f aca="false">IF(A89="","",MAX(F89+0,G89+0))</f>
        <v/>
      </c>
      <c r="N89" s="0" t="str">
        <f aca="true">IF(A89="","",IF(OR(E89="In Hand",E89="Rejected"),"",TODAY()-M89))</f>
        <v/>
      </c>
    </row>
    <row r="90" customFormat="false" ht="15" hidden="false" customHeight="false" outlineLevel="0" collapsed="false">
      <c r="J90" s="0" t="str">
        <f aca="true">IF(A90="","",IF(OR(E90="Rejected",E90="Expired"),"ACTION NEEDED",IF(AND(B90="Yes",E90="Not Started"),"ACTION NEEDED",IF(AND(E90="In Hand",H90&lt;&gt;"",H90-TODAY()&lt;=30,H90-TODAY()&gt;=0),"EXPIRING SOON",""))))</f>
        <v/>
      </c>
      <c r="M90" s="13" t="str">
        <f aca="false">IF(A90="","",MAX(F90+0,G90+0))</f>
        <v/>
      </c>
      <c r="N90" s="0" t="str">
        <f aca="true">IF(A90="","",IF(OR(E90="In Hand",E90="Rejected"),"",TODAY()-M90))</f>
        <v/>
      </c>
    </row>
    <row r="91" customFormat="false" ht="15" hidden="false" customHeight="false" outlineLevel="0" collapsed="false">
      <c r="J91" s="0" t="str">
        <f aca="true">IF(A91="","",IF(OR(E91="Rejected",E91="Expired"),"ACTION NEEDED",IF(AND(B91="Yes",E91="Not Started"),"ACTION NEEDED",IF(AND(E91="In Hand",H91&lt;&gt;"",H91-TODAY()&lt;=30,H91-TODAY()&gt;=0),"EXPIRING SOON",""))))</f>
        <v/>
      </c>
      <c r="M91" s="13" t="str">
        <f aca="false">IF(A91="","",MAX(F91+0,G91+0))</f>
        <v/>
      </c>
      <c r="N91" s="0" t="str">
        <f aca="true">IF(A91="","",IF(OR(E91="In Hand",E91="Rejected"),"",TODAY()-M91))</f>
        <v/>
      </c>
    </row>
    <row r="92" customFormat="false" ht="15" hidden="false" customHeight="false" outlineLevel="0" collapsed="false">
      <c r="J92" s="0" t="str">
        <f aca="true">IF(A92="","",IF(OR(E92="Rejected",E92="Expired"),"ACTION NEEDED",IF(AND(B92="Yes",E92="Not Started"),"ACTION NEEDED",IF(AND(E92="In Hand",H92&lt;&gt;"",H92-TODAY()&lt;=30,H92-TODAY()&gt;=0),"EXPIRING SOON",""))))</f>
        <v/>
      </c>
      <c r="M92" s="13" t="str">
        <f aca="false">IF(A92="","",MAX(F92+0,G92+0))</f>
        <v/>
      </c>
      <c r="N92" s="0" t="str">
        <f aca="true">IF(A92="","",IF(OR(E92="In Hand",E92="Rejected"),"",TODAY()-M92))</f>
        <v/>
      </c>
    </row>
    <row r="93" customFormat="false" ht="15" hidden="false" customHeight="false" outlineLevel="0" collapsed="false">
      <c r="J93" s="0" t="str">
        <f aca="true">IF(A93="","",IF(OR(E93="Rejected",E93="Expired"),"ACTION NEEDED",IF(AND(B93="Yes",E93="Not Started"),"ACTION NEEDED",IF(AND(E93="In Hand",H93&lt;&gt;"",H93-TODAY()&lt;=30,H93-TODAY()&gt;=0),"EXPIRING SOON",""))))</f>
        <v/>
      </c>
      <c r="M93" s="13" t="str">
        <f aca="false">IF(A93="","",MAX(F93+0,G93+0))</f>
        <v/>
      </c>
      <c r="N93" s="0" t="str">
        <f aca="true">IF(A93="","",IF(OR(E93="In Hand",E93="Rejected"),"",TODAY()-M93))</f>
        <v/>
      </c>
    </row>
    <row r="94" customFormat="false" ht="15" hidden="false" customHeight="false" outlineLevel="0" collapsed="false">
      <c r="J94" s="0" t="str">
        <f aca="true">IF(A94="","",IF(OR(E94="Rejected",E94="Expired"),"ACTION NEEDED",IF(AND(B94="Yes",E94="Not Started"),"ACTION NEEDED",IF(AND(E94="In Hand",H94&lt;&gt;"",H94-TODAY()&lt;=30,H94-TODAY()&gt;=0),"EXPIRING SOON",""))))</f>
        <v/>
      </c>
      <c r="M94" s="13" t="str">
        <f aca="false">IF(A94="","",MAX(F94+0,G94+0))</f>
        <v/>
      </c>
      <c r="N94" s="0" t="str">
        <f aca="true">IF(A94="","",IF(OR(E94="In Hand",E94="Rejected"),"",TODAY()-M94))</f>
        <v/>
      </c>
    </row>
    <row r="95" customFormat="false" ht="15" hidden="false" customHeight="false" outlineLevel="0" collapsed="false">
      <c r="J95" s="0" t="str">
        <f aca="true">IF(A95="","",IF(OR(E95="Rejected",E95="Expired"),"ACTION NEEDED",IF(AND(B95="Yes",E95="Not Started"),"ACTION NEEDED",IF(AND(E95="In Hand",H95&lt;&gt;"",H95-TODAY()&lt;=30,H95-TODAY()&gt;=0),"EXPIRING SOON",""))))</f>
        <v/>
      </c>
      <c r="M95" s="13" t="str">
        <f aca="false">IF(A95="","",MAX(F95+0,G95+0))</f>
        <v/>
      </c>
      <c r="N95" s="0" t="str">
        <f aca="true">IF(A95="","",IF(OR(E95="In Hand",E95="Rejected"),"",TODAY()-M95))</f>
        <v/>
      </c>
    </row>
    <row r="96" customFormat="false" ht="15" hidden="false" customHeight="false" outlineLevel="0" collapsed="false">
      <c r="J96" s="0" t="str">
        <f aca="true">IF(A96="","",IF(OR(E96="Rejected",E96="Expired"),"ACTION NEEDED",IF(AND(B96="Yes",E96="Not Started"),"ACTION NEEDED",IF(AND(E96="In Hand",H96&lt;&gt;"",H96-TODAY()&lt;=30,H96-TODAY()&gt;=0),"EXPIRING SOON",""))))</f>
        <v/>
      </c>
      <c r="M96" s="13" t="str">
        <f aca="false">IF(A96="","",MAX(F96+0,G96+0))</f>
        <v/>
      </c>
      <c r="N96" s="0" t="str">
        <f aca="true">IF(A96="","",IF(OR(E96="In Hand",E96="Rejected"),"",TODAY()-M96))</f>
        <v/>
      </c>
    </row>
    <row r="97" customFormat="false" ht="15" hidden="false" customHeight="false" outlineLevel="0" collapsed="false">
      <c r="J97" s="0" t="str">
        <f aca="true">IF(A97="","",IF(OR(E97="Rejected",E97="Expired"),"ACTION NEEDED",IF(AND(B97="Yes",E97="Not Started"),"ACTION NEEDED",IF(AND(E97="In Hand",H97&lt;&gt;"",H97-TODAY()&lt;=30,H97-TODAY()&gt;=0),"EXPIRING SOON",""))))</f>
        <v/>
      </c>
      <c r="M97" s="13" t="str">
        <f aca="false">IF(A97="","",MAX(F97+0,G97+0))</f>
        <v/>
      </c>
      <c r="N97" s="0" t="str">
        <f aca="true">IF(A97="","",IF(OR(E97="In Hand",E97="Rejected"),"",TODAY()-M97))</f>
        <v/>
      </c>
    </row>
    <row r="98" customFormat="false" ht="15" hidden="false" customHeight="false" outlineLevel="0" collapsed="false">
      <c r="J98" s="0" t="str">
        <f aca="true">IF(A98="","",IF(OR(E98="Rejected",E98="Expired"),"ACTION NEEDED",IF(AND(B98="Yes",E98="Not Started"),"ACTION NEEDED",IF(AND(E98="In Hand",H98&lt;&gt;"",H98-TODAY()&lt;=30,H98-TODAY()&gt;=0),"EXPIRING SOON",""))))</f>
        <v/>
      </c>
      <c r="M98" s="13" t="str">
        <f aca="false">IF(A98="","",MAX(F98+0,G98+0))</f>
        <v/>
      </c>
      <c r="N98" s="0" t="str">
        <f aca="true">IF(A98="","",IF(OR(E98="In Hand",E98="Rejected"),"",TODAY()-M98))</f>
        <v/>
      </c>
    </row>
    <row r="99" customFormat="false" ht="15" hidden="false" customHeight="false" outlineLevel="0" collapsed="false">
      <c r="J99" s="0" t="str">
        <f aca="true">IF(A99="","",IF(OR(E99="Rejected",E99="Expired"),"ACTION NEEDED",IF(AND(B99="Yes",E99="Not Started"),"ACTION NEEDED",IF(AND(E99="In Hand",H99&lt;&gt;"",H99-TODAY()&lt;=30,H99-TODAY()&gt;=0),"EXPIRING SOON",""))))</f>
        <v/>
      </c>
      <c r="M99" s="13" t="str">
        <f aca="false">IF(A99="","",MAX(F99+0,G99+0))</f>
        <v/>
      </c>
      <c r="N99" s="0" t="str">
        <f aca="true">IF(A99="","",IF(OR(E99="In Hand",E99="Rejected"),"",TODAY()-M99))</f>
        <v/>
      </c>
    </row>
    <row r="100" customFormat="false" ht="15" hidden="false" customHeight="false" outlineLevel="0" collapsed="false">
      <c r="J100" s="0" t="str">
        <f aca="true">IF(A100="","",IF(OR(E100="Rejected",E100="Expired"),"ACTION NEEDED",IF(AND(B100="Yes",E100="Not Started"),"ACTION NEEDED",IF(AND(E100="In Hand",H100&lt;&gt;"",H100-TODAY()&lt;=30,H100-TODAY()&gt;=0),"EXPIRING SOON",""))))</f>
        <v/>
      </c>
      <c r="M100" s="13" t="str">
        <f aca="false">IF(A100="","",MAX(F100+0,G100+0))</f>
        <v/>
      </c>
      <c r="N100" s="0" t="str">
        <f aca="true">IF(A100="","",IF(OR(E100="In Hand",E100="Rejected"),"",TODAY()-M100))</f>
        <v/>
      </c>
    </row>
    <row r="101" customFormat="false" ht="15" hidden="false" customHeight="false" outlineLevel="0" collapsed="false">
      <c r="J101" s="0" t="str">
        <f aca="true">IF(A101="","",IF(OR(E101="Rejected",E101="Expired"),"ACTION NEEDED",IF(AND(B101="Yes",E101="Not Started"),"ACTION NEEDED",IF(AND(E101="In Hand",H101&lt;&gt;"",H101-TODAY()&lt;=30,H101-TODAY()&gt;=0),"EXPIRING SOON",""))))</f>
        <v/>
      </c>
      <c r="M101" s="13" t="str">
        <f aca="false">IF(A101="","",MAX(F101+0,G101+0))</f>
        <v/>
      </c>
      <c r="N101" s="0" t="str">
        <f aca="true">IF(A101="","",IF(OR(E101="In Hand",E101="Rejected"),"",TODAY()-M101))</f>
        <v/>
      </c>
    </row>
    <row r="102" customFormat="false" ht="15" hidden="false" customHeight="false" outlineLevel="0" collapsed="false">
      <c r="J102" s="0" t="str">
        <f aca="true">IF(A102="","",IF(OR(E102="Rejected",E102="Expired"),"ACTION NEEDED",IF(AND(B102="Yes",E102="Not Started"),"ACTION NEEDED",IF(AND(E102="In Hand",H102&lt;&gt;"",H102-TODAY()&lt;=30,H102-TODAY()&gt;=0),"EXPIRING SOON",""))))</f>
        <v/>
      </c>
      <c r="M102" s="13" t="str">
        <f aca="false">IF(A102="","",MAX(F102+0,G102+0))</f>
        <v/>
      </c>
      <c r="N102" s="0" t="str">
        <f aca="true">IF(A102="","",IF(OR(E102="In Hand",E102="Rejected"),"",TODAY()-M102))</f>
        <v/>
      </c>
    </row>
    <row r="103" customFormat="false" ht="15" hidden="false" customHeight="false" outlineLevel="0" collapsed="false">
      <c r="J103" s="0" t="str">
        <f aca="true">IF(A103="","",IF(OR(E103="Rejected",E103="Expired"),"ACTION NEEDED",IF(AND(B103="Yes",E103="Not Started"),"ACTION NEEDED",IF(AND(E103="In Hand",H103&lt;&gt;"",H103-TODAY()&lt;=30,H103-TODAY()&gt;=0),"EXPIRING SOON",""))))</f>
        <v/>
      </c>
      <c r="M103" s="13" t="str">
        <f aca="false">IF(A103="","",MAX(F103+0,G103+0))</f>
        <v/>
      </c>
      <c r="N103" s="0" t="str">
        <f aca="true">IF(A103="","",IF(OR(E103="In Hand",E103="Rejected"),"",TODAY()-M103))</f>
        <v/>
      </c>
    </row>
    <row r="104" customFormat="false" ht="15" hidden="false" customHeight="false" outlineLevel="0" collapsed="false">
      <c r="J104" s="0" t="str">
        <f aca="true">IF(A104="","",IF(OR(E104="Rejected",E104="Expired"),"ACTION NEEDED",IF(AND(B104="Yes",E104="Not Started"),"ACTION NEEDED",IF(AND(E104="In Hand",H104&lt;&gt;"",H104-TODAY()&lt;=30,H104-TODAY()&gt;=0),"EXPIRING SOON",""))))</f>
        <v/>
      </c>
      <c r="M104" s="13" t="str">
        <f aca="false">IF(A104="","",MAX(F104+0,G104+0))</f>
        <v/>
      </c>
      <c r="N104" s="0" t="str">
        <f aca="true">IF(A104="","",IF(OR(E104="In Hand",E104="Rejected"),"",TODAY()-M104))</f>
        <v/>
      </c>
    </row>
    <row r="105" customFormat="false" ht="15" hidden="false" customHeight="false" outlineLevel="0" collapsed="false">
      <c r="J105" s="0" t="str">
        <f aca="true">IF(A105="","",IF(OR(E105="Rejected",E105="Expired"),"ACTION NEEDED",IF(AND(B105="Yes",E105="Not Started"),"ACTION NEEDED",IF(AND(E105="In Hand",H105&lt;&gt;"",H105-TODAY()&lt;=30,H105-TODAY()&gt;=0),"EXPIRING SOON",""))))</f>
        <v/>
      </c>
      <c r="M105" s="13" t="str">
        <f aca="false">IF(A105="","",MAX(F105+0,G105+0))</f>
        <v/>
      </c>
      <c r="N105" s="0" t="str">
        <f aca="true">IF(A105="","",IF(OR(E105="In Hand",E105="Rejected"),"",TODAY()-M105))</f>
        <v/>
      </c>
    </row>
    <row r="106" customFormat="false" ht="15" hidden="false" customHeight="false" outlineLevel="0" collapsed="false">
      <c r="J106" s="0" t="str">
        <f aca="true">IF(A106="","",IF(OR(E106="Rejected",E106="Expired"),"ACTION NEEDED",IF(AND(B106="Yes",E106="Not Started"),"ACTION NEEDED",IF(AND(E106="In Hand",H106&lt;&gt;"",H106-TODAY()&lt;=30,H106-TODAY()&gt;=0),"EXPIRING SOON",""))))</f>
        <v/>
      </c>
      <c r="M106" s="13" t="str">
        <f aca="false">IF(A106="","",MAX(F106+0,G106+0))</f>
        <v/>
      </c>
      <c r="N106" s="0" t="str">
        <f aca="true">IF(A106="","",IF(OR(E106="In Hand",E106="Rejected"),"",TODAY()-M106))</f>
        <v/>
      </c>
    </row>
    <row r="107" customFormat="false" ht="15" hidden="false" customHeight="false" outlineLevel="0" collapsed="false">
      <c r="J107" s="0" t="str">
        <f aca="true">IF(A107="","",IF(OR(E107="Rejected",E107="Expired"),"ACTION NEEDED",IF(AND(B107="Yes",E107="Not Started"),"ACTION NEEDED",IF(AND(E107="In Hand",H107&lt;&gt;"",H107-TODAY()&lt;=30,H107-TODAY()&gt;=0),"EXPIRING SOON",""))))</f>
        <v/>
      </c>
      <c r="M107" s="13" t="str">
        <f aca="false">IF(A107="","",MAX(F107+0,G107+0))</f>
        <v/>
      </c>
      <c r="N107" s="0" t="str">
        <f aca="true">IF(A107="","",IF(OR(E107="In Hand",E107="Rejected"),"",TODAY()-M107))</f>
        <v/>
      </c>
    </row>
    <row r="108" customFormat="false" ht="15" hidden="false" customHeight="false" outlineLevel="0" collapsed="false">
      <c r="J108" s="0" t="str">
        <f aca="true">IF(A108="","",IF(OR(E108="Rejected",E108="Expired"),"ACTION NEEDED",IF(AND(B108="Yes",E108="Not Started"),"ACTION NEEDED",IF(AND(E108="In Hand",H108&lt;&gt;"",H108-TODAY()&lt;=30,H108-TODAY()&gt;=0),"EXPIRING SOON",""))))</f>
        <v/>
      </c>
      <c r="M108" s="13" t="str">
        <f aca="false">IF(A108="","",MAX(F108+0,G108+0))</f>
        <v/>
      </c>
      <c r="N108" s="0" t="str">
        <f aca="true">IF(A108="","",IF(OR(E108="In Hand",E108="Rejected"),"",TODAY()-M108))</f>
        <v/>
      </c>
    </row>
    <row r="109" customFormat="false" ht="15" hidden="false" customHeight="false" outlineLevel="0" collapsed="false">
      <c r="J109" s="0" t="str">
        <f aca="true">IF(A109="","",IF(OR(E109="Rejected",E109="Expired"),"ACTION NEEDED",IF(AND(B109="Yes",E109="Not Started"),"ACTION NEEDED",IF(AND(E109="In Hand",H109&lt;&gt;"",H109-TODAY()&lt;=30,H109-TODAY()&gt;=0),"EXPIRING SOON",""))))</f>
        <v/>
      </c>
      <c r="M109" s="13" t="str">
        <f aca="false">IF(A109="","",MAX(F109+0,G109+0))</f>
        <v/>
      </c>
      <c r="N109" s="0" t="str">
        <f aca="true">IF(A109="","",IF(OR(E109="In Hand",E109="Rejected"),"",TODAY()-M109))</f>
        <v/>
      </c>
    </row>
    <row r="110" customFormat="false" ht="15" hidden="false" customHeight="false" outlineLevel="0" collapsed="false">
      <c r="J110" s="0" t="str">
        <f aca="true">IF(A110="","",IF(OR(E110="Rejected",E110="Expired"),"ACTION NEEDED",IF(AND(B110="Yes",E110="Not Started"),"ACTION NEEDED",IF(AND(E110="In Hand",H110&lt;&gt;"",H110-TODAY()&lt;=30,H110-TODAY()&gt;=0),"EXPIRING SOON",""))))</f>
        <v/>
      </c>
      <c r="M110" s="13" t="str">
        <f aca="false">IF(A110="","",MAX(F110+0,G110+0))</f>
        <v/>
      </c>
      <c r="N110" s="0" t="str">
        <f aca="true">IF(A110="","",IF(OR(E110="In Hand",E110="Rejected"),"",TODAY()-M110))</f>
        <v/>
      </c>
    </row>
    <row r="111" customFormat="false" ht="15" hidden="false" customHeight="false" outlineLevel="0" collapsed="false">
      <c r="J111" s="0" t="str">
        <f aca="true">IF(A111="","",IF(OR(E111="Rejected",E111="Expired"),"ACTION NEEDED",IF(AND(B111="Yes",E111="Not Started"),"ACTION NEEDED",IF(AND(E111="In Hand",H111&lt;&gt;"",H111-TODAY()&lt;=30,H111-TODAY()&gt;=0),"EXPIRING SOON",""))))</f>
        <v/>
      </c>
      <c r="M111" s="13" t="str">
        <f aca="false">IF(A111="","",MAX(F111+0,G111+0))</f>
        <v/>
      </c>
      <c r="N111" s="0" t="str">
        <f aca="true">IF(A111="","",IF(OR(E111="In Hand",E111="Rejected"),"",TODAY()-M111))</f>
        <v/>
      </c>
    </row>
    <row r="112" customFormat="false" ht="15" hidden="false" customHeight="false" outlineLevel="0" collapsed="false">
      <c r="J112" s="0" t="str">
        <f aca="true">IF(A112="","",IF(OR(E112="Rejected",E112="Expired"),"ACTION NEEDED",IF(AND(B112="Yes",E112="Not Started"),"ACTION NEEDED",IF(AND(E112="In Hand",H112&lt;&gt;"",H112-TODAY()&lt;=30,H112-TODAY()&gt;=0),"EXPIRING SOON",""))))</f>
        <v/>
      </c>
      <c r="M112" s="13" t="str">
        <f aca="false">IF(A112="","",MAX(F112+0,G112+0))</f>
        <v/>
      </c>
      <c r="N112" s="0" t="str">
        <f aca="true">IF(A112="","",IF(OR(E112="In Hand",E112="Rejected"),"",TODAY()-M112))</f>
        <v/>
      </c>
    </row>
    <row r="113" customFormat="false" ht="15" hidden="false" customHeight="false" outlineLevel="0" collapsed="false">
      <c r="J113" s="0" t="str">
        <f aca="true">IF(A113="","",IF(OR(E113="Rejected",E113="Expired"),"ACTION NEEDED",IF(AND(B113="Yes",E113="Not Started"),"ACTION NEEDED",IF(AND(E113="In Hand",H113&lt;&gt;"",H113-TODAY()&lt;=30,H113-TODAY()&gt;=0),"EXPIRING SOON",""))))</f>
        <v/>
      </c>
      <c r="M113" s="13" t="str">
        <f aca="false">IF(A113="","",MAX(F113+0,G113+0))</f>
        <v/>
      </c>
      <c r="N113" s="0" t="str">
        <f aca="true">IF(A113="","",IF(OR(E113="In Hand",E113="Rejected"),"",TODAY()-M113))</f>
        <v/>
      </c>
    </row>
    <row r="114" customFormat="false" ht="15" hidden="false" customHeight="false" outlineLevel="0" collapsed="false">
      <c r="J114" s="0" t="str">
        <f aca="true">IF(A114="","",IF(OR(E114="Rejected",E114="Expired"),"ACTION NEEDED",IF(AND(B114="Yes",E114="Not Started"),"ACTION NEEDED",IF(AND(E114="In Hand",H114&lt;&gt;"",H114-TODAY()&lt;=30,H114-TODAY()&gt;=0),"EXPIRING SOON",""))))</f>
        <v/>
      </c>
      <c r="M114" s="13" t="str">
        <f aca="false">IF(A114="","",MAX(F114+0,G114+0))</f>
        <v/>
      </c>
      <c r="N114" s="0" t="str">
        <f aca="true">IF(A114="","",IF(OR(E114="In Hand",E114="Rejected"),"",TODAY()-M114))</f>
        <v/>
      </c>
    </row>
    <row r="115" customFormat="false" ht="15" hidden="false" customHeight="false" outlineLevel="0" collapsed="false">
      <c r="J115" s="0" t="str">
        <f aca="true">IF(A115="","",IF(OR(E115="Rejected",E115="Expired"),"ACTION NEEDED",IF(AND(B115="Yes",E115="Not Started"),"ACTION NEEDED",IF(AND(E115="In Hand",H115&lt;&gt;"",H115-TODAY()&lt;=30,H115-TODAY()&gt;=0),"EXPIRING SOON",""))))</f>
        <v/>
      </c>
      <c r="M115" s="13" t="str">
        <f aca="false">IF(A115="","",MAX(F115+0,G115+0))</f>
        <v/>
      </c>
      <c r="N115" s="0" t="str">
        <f aca="true">IF(A115="","",IF(OR(E115="In Hand",E115="Rejected"),"",TODAY()-M115))</f>
        <v/>
      </c>
    </row>
    <row r="116" customFormat="false" ht="15" hidden="false" customHeight="false" outlineLevel="0" collapsed="false">
      <c r="J116" s="0" t="str">
        <f aca="true">IF(A116="","",IF(OR(E116="Rejected",E116="Expired"),"ACTION NEEDED",IF(AND(B116="Yes",E116="Not Started"),"ACTION NEEDED",IF(AND(E116="In Hand",H116&lt;&gt;"",H116-TODAY()&lt;=30,H116-TODAY()&gt;=0),"EXPIRING SOON",""))))</f>
        <v/>
      </c>
      <c r="M116" s="13" t="str">
        <f aca="false">IF(A116="","",MAX(F116+0,G116+0))</f>
        <v/>
      </c>
      <c r="N116" s="0" t="str">
        <f aca="true">IF(A116="","",IF(OR(E116="In Hand",E116="Rejected"),"",TODAY()-M116))</f>
        <v/>
      </c>
    </row>
    <row r="117" customFormat="false" ht="15" hidden="false" customHeight="false" outlineLevel="0" collapsed="false">
      <c r="J117" s="0" t="str">
        <f aca="true">IF(A117="","",IF(OR(E117="Rejected",E117="Expired"),"ACTION NEEDED",IF(AND(B117="Yes",E117="Not Started"),"ACTION NEEDED",IF(AND(E117="In Hand",H117&lt;&gt;"",H117-TODAY()&lt;=30,H117-TODAY()&gt;=0),"EXPIRING SOON",""))))</f>
        <v/>
      </c>
      <c r="M117" s="13" t="str">
        <f aca="false">IF(A117="","",MAX(F117+0,G117+0))</f>
        <v/>
      </c>
      <c r="N117" s="0" t="str">
        <f aca="true">IF(A117="","",IF(OR(E117="In Hand",E117="Rejected"),"",TODAY()-M117))</f>
        <v/>
      </c>
    </row>
    <row r="118" customFormat="false" ht="15" hidden="false" customHeight="false" outlineLevel="0" collapsed="false">
      <c r="J118" s="0" t="str">
        <f aca="true">IF(A118="","",IF(OR(E118="Rejected",E118="Expired"),"ACTION NEEDED",IF(AND(B118="Yes",E118="Not Started"),"ACTION NEEDED",IF(AND(E118="In Hand",H118&lt;&gt;"",H118-TODAY()&lt;=30,H118-TODAY()&gt;=0),"EXPIRING SOON",""))))</f>
        <v/>
      </c>
      <c r="M118" s="13" t="str">
        <f aca="false">IF(A118="","",MAX(F118+0,G118+0))</f>
        <v/>
      </c>
      <c r="N118" s="0" t="str">
        <f aca="true">IF(A118="","",IF(OR(E118="In Hand",E118="Rejected"),"",TODAY()-M118))</f>
        <v/>
      </c>
    </row>
    <row r="119" customFormat="false" ht="15" hidden="false" customHeight="false" outlineLevel="0" collapsed="false">
      <c r="J119" s="0" t="str">
        <f aca="true">IF(A119="","",IF(OR(E119="Rejected",E119="Expired"),"ACTION NEEDED",IF(AND(B119="Yes",E119="Not Started"),"ACTION NEEDED",IF(AND(E119="In Hand",H119&lt;&gt;"",H119-TODAY()&lt;=30,H119-TODAY()&gt;=0),"EXPIRING SOON",""))))</f>
        <v/>
      </c>
      <c r="M119" s="13" t="str">
        <f aca="false">IF(A119="","",MAX(F119+0,G119+0))</f>
        <v/>
      </c>
      <c r="N119" s="0" t="str">
        <f aca="true">IF(A119="","",IF(OR(E119="In Hand",E119="Rejected"),"",TODAY()-M119))</f>
        <v/>
      </c>
    </row>
    <row r="120" customFormat="false" ht="15" hidden="false" customHeight="false" outlineLevel="0" collapsed="false">
      <c r="J120" s="0" t="str">
        <f aca="true">IF(A120="","",IF(OR(E120="Rejected",E120="Expired"),"ACTION NEEDED",IF(AND(B120="Yes",E120="Not Started"),"ACTION NEEDED",IF(AND(E120="In Hand",H120&lt;&gt;"",H120-TODAY()&lt;=30,H120-TODAY()&gt;=0),"EXPIRING SOON",""))))</f>
        <v/>
      </c>
      <c r="M120" s="13" t="str">
        <f aca="false">IF(A120="","",MAX(F120+0,G120+0))</f>
        <v/>
      </c>
      <c r="N120" s="0" t="str">
        <f aca="true">IF(A120="","",IF(OR(E120="In Hand",E120="Rejected"),"",TODAY()-M120))</f>
        <v/>
      </c>
    </row>
    <row r="121" customFormat="false" ht="15" hidden="false" customHeight="false" outlineLevel="0" collapsed="false">
      <c r="J121" s="0" t="str">
        <f aca="true">IF(A121="","",IF(OR(E121="Rejected",E121="Expired"),"ACTION NEEDED",IF(AND(B121="Yes",E121="Not Started"),"ACTION NEEDED",IF(AND(E121="In Hand",H121&lt;&gt;"",H121-TODAY()&lt;=30,H121-TODAY()&gt;=0),"EXPIRING SOON",""))))</f>
        <v/>
      </c>
      <c r="M121" s="13" t="str">
        <f aca="false">IF(A121="","",MAX(F121+0,G121+0))</f>
        <v/>
      </c>
      <c r="N121" s="0" t="str">
        <f aca="true">IF(A121="","",IF(OR(E121="In Hand",E121="Rejected"),"",TODAY()-M121))</f>
        <v/>
      </c>
    </row>
    <row r="122" customFormat="false" ht="15" hidden="false" customHeight="false" outlineLevel="0" collapsed="false">
      <c r="J122" s="0" t="str">
        <f aca="true">IF(A122="","",IF(OR(E122="Rejected",E122="Expired"),"ACTION NEEDED",IF(AND(B122="Yes",E122="Not Started"),"ACTION NEEDED",IF(AND(E122="In Hand",H122&lt;&gt;"",H122-TODAY()&lt;=30,H122-TODAY()&gt;=0),"EXPIRING SOON",""))))</f>
        <v/>
      </c>
      <c r="M122" s="13" t="str">
        <f aca="false">IF(A122="","",MAX(F122+0,G122+0))</f>
        <v/>
      </c>
      <c r="N122" s="0" t="str">
        <f aca="true">IF(A122="","",IF(OR(E122="In Hand",E122="Rejected"),"",TODAY()-M122))</f>
        <v/>
      </c>
    </row>
    <row r="123" customFormat="false" ht="15" hidden="false" customHeight="false" outlineLevel="0" collapsed="false">
      <c r="J123" s="0" t="str">
        <f aca="true">IF(A123="","",IF(OR(E123="Rejected",E123="Expired"),"ACTION NEEDED",IF(AND(B123="Yes",E123="Not Started"),"ACTION NEEDED",IF(AND(E123="In Hand",H123&lt;&gt;"",H123-TODAY()&lt;=30,H123-TODAY()&gt;=0),"EXPIRING SOON",""))))</f>
        <v/>
      </c>
      <c r="M123" s="13" t="str">
        <f aca="false">IF(A123="","",MAX(F123+0,G123+0))</f>
        <v/>
      </c>
      <c r="N123" s="0" t="str">
        <f aca="true">IF(A123="","",IF(OR(E123="In Hand",E123="Rejected"),"",TODAY()-M123))</f>
        <v/>
      </c>
    </row>
    <row r="124" customFormat="false" ht="15" hidden="false" customHeight="false" outlineLevel="0" collapsed="false">
      <c r="J124" s="0" t="str">
        <f aca="true">IF(A124="","",IF(OR(E124="Rejected",E124="Expired"),"ACTION NEEDED",IF(AND(B124="Yes",E124="Not Started"),"ACTION NEEDED",IF(AND(E124="In Hand",H124&lt;&gt;"",H124-TODAY()&lt;=30,H124-TODAY()&gt;=0),"EXPIRING SOON",""))))</f>
        <v/>
      </c>
      <c r="M124" s="13" t="str">
        <f aca="false">IF(A124="","",MAX(F124+0,G124+0))</f>
        <v/>
      </c>
      <c r="N124" s="0" t="str">
        <f aca="true">IF(A124="","",IF(OR(E124="In Hand",E124="Rejected"),"",TODAY()-M124))</f>
        <v/>
      </c>
    </row>
    <row r="125" customFormat="false" ht="15" hidden="false" customHeight="false" outlineLevel="0" collapsed="false">
      <c r="J125" s="0" t="str">
        <f aca="true">IF(A125="","",IF(OR(E125="Rejected",E125="Expired"),"ACTION NEEDED",IF(AND(B125="Yes",E125="Not Started"),"ACTION NEEDED",IF(AND(E125="In Hand",H125&lt;&gt;"",H125-TODAY()&lt;=30,H125-TODAY()&gt;=0),"EXPIRING SOON",""))))</f>
        <v/>
      </c>
      <c r="M125" s="13" t="str">
        <f aca="false">IF(A125="","",MAX(F125+0,G125+0))</f>
        <v/>
      </c>
      <c r="N125" s="0" t="str">
        <f aca="true">IF(A125="","",IF(OR(E125="In Hand",E125="Rejected"),"",TODAY()-M125))</f>
        <v/>
      </c>
    </row>
    <row r="126" customFormat="false" ht="15" hidden="false" customHeight="false" outlineLevel="0" collapsed="false">
      <c r="J126" s="0" t="str">
        <f aca="true">IF(A126="","",IF(OR(E126="Rejected",E126="Expired"),"ACTION NEEDED",IF(AND(B126="Yes",E126="Not Started"),"ACTION NEEDED",IF(AND(E126="In Hand",H126&lt;&gt;"",H126-TODAY()&lt;=30,H126-TODAY()&gt;=0),"EXPIRING SOON",""))))</f>
        <v/>
      </c>
      <c r="M126" s="13" t="str">
        <f aca="false">IF(A126="","",MAX(F126+0,G126+0))</f>
        <v/>
      </c>
      <c r="N126" s="0" t="str">
        <f aca="true">IF(A126="","",IF(OR(E126="In Hand",E126="Rejected"),"",TODAY()-M126))</f>
        <v/>
      </c>
    </row>
    <row r="127" customFormat="false" ht="15" hidden="false" customHeight="false" outlineLevel="0" collapsed="false">
      <c r="J127" s="0" t="str">
        <f aca="true">IF(A127="","",IF(OR(E127="Rejected",E127="Expired"),"ACTION NEEDED",IF(AND(B127="Yes",E127="Not Started"),"ACTION NEEDED",IF(AND(E127="In Hand",H127&lt;&gt;"",H127-TODAY()&lt;=30,H127-TODAY()&gt;=0),"EXPIRING SOON",""))))</f>
        <v/>
      </c>
      <c r="M127" s="13" t="str">
        <f aca="false">IF(A127="","",MAX(F127+0,G127+0))</f>
        <v/>
      </c>
      <c r="N127" s="0" t="str">
        <f aca="true">IF(A127="","",IF(OR(E127="In Hand",E127="Rejected"),"",TODAY()-M127))</f>
        <v/>
      </c>
    </row>
    <row r="128" customFormat="false" ht="15" hidden="false" customHeight="false" outlineLevel="0" collapsed="false">
      <c r="J128" s="0" t="str">
        <f aca="true">IF(A128="","",IF(OR(E128="Rejected",E128="Expired"),"ACTION NEEDED",IF(AND(B128="Yes",E128="Not Started"),"ACTION NEEDED",IF(AND(E128="In Hand",H128&lt;&gt;"",H128-TODAY()&lt;=30,H128-TODAY()&gt;=0),"EXPIRING SOON",""))))</f>
        <v/>
      </c>
      <c r="M128" s="13" t="str">
        <f aca="false">IF(A128="","",MAX(F128+0,G128+0))</f>
        <v/>
      </c>
      <c r="N128" s="0" t="str">
        <f aca="true">IF(A128="","",IF(OR(E128="In Hand",E128="Rejected"),"",TODAY()-M128))</f>
        <v/>
      </c>
    </row>
    <row r="129" customFormat="false" ht="15" hidden="false" customHeight="false" outlineLevel="0" collapsed="false">
      <c r="J129" s="0" t="str">
        <f aca="true">IF(A129="","",IF(OR(E129="Rejected",E129="Expired"),"ACTION NEEDED",IF(AND(B129="Yes",E129="Not Started"),"ACTION NEEDED",IF(AND(E129="In Hand",H129&lt;&gt;"",H129-TODAY()&lt;=30,H129-TODAY()&gt;=0),"EXPIRING SOON",""))))</f>
        <v/>
      </c>
      <c r="M129" s="13" t="str">
        <f aca="false">IF(A129="","",MAX(F129+0,G129+0))</f>
        <v/>
      </c>
      <c r="N129" s="0" t="str">
        <f aca="true">IF(A129="","",IF(OR(E129="In Hand",E129="Rejected"),"",TODAY()-M129))</f>
        <v/>
      </c>
    </row>
    <row r="130" customFormat="false" ht="15" hidden="false" customHeight="false" outlineLevel="0" collapsed="false">
      <c r="J130" s="0" t="str">
        <f aca="true">IF(A130="","",IF(OR(E130="Rejected",E130="Expired"),"ACTION NEEDED",IF(AND(B130="Yes",E130="Not Started"),"ACTION NEEDED",IF(AND(E130="In Hand",H130&lt;&gt;"",H130-TODAY()&lt;=30,H130-TODAY()&gt;=0),"EXPIRING SOON",""))))</f>
        <v/>
      </c>
      <c r="M130" s="13" t="str">
        <f aca="false">IF(A130="","",MAX(F130+0,G130+0))</f>
        <v/>
      </c>
      <c r="N130" s="0" t="str">
        <f aca="true">IF(A130="","",IF(OR(E130="In Hand",E130="Rejected"),"",TODAY()-M130))</f>
        <v/>
      </c>
    </row>
    <row r="131" customFormat="false" ht="15" hidden="false" customHeight="false" outlineLevel="0" collapsed="false">
      <c r="J131" s="0" t="str">
        <f aca="true">IF(A131="","",IF(OR(E131="Rejected",E131="Expired"),"ACTION NEEDED",IF(AND(B131="Yes",E131="Not Started"),"ACTION NEEDED",IF(AND(E131="In Hand",H131&lt;&gt;"",H131-TODAY()&lt;=30,H131-TODAY()&gt;=0),"EXPIRING SOON",""))))</f>
        <v/>
      </c>
      <c r="M131" s="13" t="str">
        <f aca="false">IF(A131="","",MAX(F131+0,G131+0))</f>
        <v/>
      </c>
      <c r="N131" s="0" t="str">
        <f aca="true">IF(A131="","",IF(OR(E131="In Hand",E131="Rejected"),"",TODAY()-M131))</f>
        <v/>
      </c>
    </row>
    <row r="132" customFormat="false" ht="15" hidden="false" customHeight="false" outlineLevel="0" collapsed="false">
      <c r="J132" s="0" t="str">
        <f aca="true">IF(A132="","",IF(OR(E132="Rejected",E132="Expired"),"ACTION NEEDED",IF(AND(B132="Yes",E132="Not Started"),"ACTION NEEDED",IF(AND(E132="In Hand",H132&lt;&gt;"",H132-TODAY()&lt;=30,H132-TODAY()&gt;=0),"EXPIRING SOON",""))))</f>
        <v/>
      </c>
      <c r="M132" s="13" t="str">
        <f aca="false">IF(A132="","",MAX(F132+0,G132+0))</f>
        <v/>
      </c>
      <c r="N132" s="0" t="str">
        <f aca="true">IF(A132="","",IF(OR(E132="In Hand",E132="Rejected"),"",TODAY()-M132))</f>
        <v/>
      </c>
    </row>
    <row r="133" customFormat="false" ht="15" hidden="false" customHeight="false" outlineLevel="0" collapsed="false">
      <c r="J133" s="0" t="str">
        <f aca="true">IF(A133="","",IF(OR(E133="Rejected",E133="Expired"),"ACTION NEEDED",IF(AND(B133="Yes",E133="Not Started"),"ACTION NEEDED",IF(AND(E133="In Hand",H133&lt;&gt;"",H133-TODAY()&lt;=30,H133-TODAY()&gt;=0),"EXPIRING SOON",""))))</f>
        <v/>
      </c>
      <c r="M133" s="13" t="str">
        <f aca="false">IF(A133="","",MAX(F133+0,G133+0))</f>
        <v/>
      </c>
      <c r="N133" s="0" t="str">
        <f aca="true">IF(A133="","",IF(OR(E133="In Hand",E133="Rejected"),"",TODAY()-M133))</f>
        <v/>
      </c>
    </row>
    <row r="134" customFormat="false" ht="15" hidden="false" customHeight="false" outlineLevel="0" collapsed="false">
      <c r="J134" s="0" t="str">
        <f aca="true">IF(A134="","",IF(OR(E134="Rejected",E134="Expired"),"ACTION NEEDED",IF(AND(B134="Yes",E134="Not Started"),"ACTION NEEDED",IF(AND(E134="In Hand",H134&lt;&gt;"",H134-TODAY()&lt;=30,H134-TODAY()&gt;=0),"EXPIRING SOON",""))))</f>
        <v/>
      </c>
      <c r="M134" s="13" t="str">
        <f aca="false">IF(A134="","",MAX(F134+0,G134+0))</f>
        <v/>
      </c>
      <c r="N134" s="0" t="str">
        <f aca="true">IF(A134="","",IF(OR(E134="In Hand",E134="Rejected"),"",TODAY()-M134))</f>
        <v/>
      </c>
    </row>
    <row r="135" customFormat="false" ht="15" hidden="false" customHeight="false" outlineLevel="0" collapsed="false">
      <c r="J135" s="0" t="str">
        <f aca="true">IF(A135="","",IF(OR(E135="Rejected",E135="Expired"),"ACTION NEEDED",IF(AND(B135="Yes",E135="Not Started"),"ACTION NEEDED",IF(AND(E135="In Hand",H135&lt;&gt;"",H135-TODAY()&lt;=30,H135-TODAY()&gt;=0),"EXPIRING SOON",""))))</f>
        <v/>
      </c>
      <c r="M135" s="13" t="str">
        <f aca="false">IF(A135="","",MAX(F135+0,G135+0))</f>
        <v/>
      </c>
      <c r="N135" s="0" t="str">
        <f aca="true">IF(A135="","",IF(OR(E135="In Hand",E135="Rejected"),"",TODAY()-M135))</f>
        <v/>
      </c>
    </row>
    <row r="136" customFormat="false" ht="15" hidden="false" customHeight="false" outlineLevel="0" collapsed="false">
      <c r="J136" s="0" t="str">
        <f aca="true">IF(A136="","",IF(OR(E136="Rejected",E136="Expired"),"ACTION NEEDED",IF(AND(B136="Yes",E136="Not Started"),"ACTION NEEDED",IF(AND(E136="In Hand",H136&lt;&gt;"",H136-TODAY()&lt;=30,H136-TODAY()&gt;=0),"EXPIRING SOON",""))))</f>
        <v/>
      </c>
      <c r="M136" s="13" t="str">
        <f aca="false">IF(A136="","",MAX(F136+0,G136+0))</f>
        <v/>
      </c>
      <c r="N136" s="0" t="str">
        <f aca="true">IF(A136="","",IF(OR(E136="In Hand",E136="Rejected"),"",TODAY()-M136))</f>
        <v/>
      </c>
    </row>
    <row r="137" customFormat="false" ht="15" hidden="false" customHeight="false" outlineLevel="0" collapsed="false">
      <c r="J137" s="0" t="str">
        <f aca="true">IF(A137="","",IF(OR(E137="Rejected",E137="Expired"),"ACTION NEEDED",IF(AND(B137="Yes",E137="Not Started"),"ACTION NEEDED",IF(AND(E137="In Hand",H137&lt;&gt;"",H137-TODAY()&lt;=30,H137-TODAY()&gt;=0),"EXPIRING SOON",""))))</f>
        <v/>
      </c>
      <c r="M137" s="13" t="str">
        <f aca="false">IF(A137="","",MAX(F137+0,G137+0))</f>
        <v/>
      </c>
      <c r="N137" s="0" t="str">
        <f aca="true">IF(A137="","",IF(OR(E137="In Hand",E137="Rejected"),"",TODAY()-M137))</f>
        <v/>
      </c>
    </row>
    <row r="138" customFormat="false" ht="15" hidden="false" customHeight="false" outlineLevel="0" collapsed="false">
      <c r="J138" s="0" t="str">
        <f aca="true">IF(A138="","",IF(OR(E138="Rejected",E138="Expired"),"ACTION NEEDED",IF(AND(B138="Yes",E138="Not Started"),"ACTION NEEDED",IF(AND(E138="In Hand",H138&lt;&gt;"",H138-TODAY()&lt;=30,H138-TODAY()&gt;=0),"EXPIRING SOON",""))))</f>
        <v/>
      </c>
      <c r="M138" s="13" t="str">
        <f aca="false">IF(A138="","",MAX(F138+0,G138+0))</f>
        <v/>
      </c>
      <c r="N138" s="0" t="str">
        <f aca="true">IF(A138="","",IF(OR(E138="In Hand",E138="Rejected"),"",TODAY()-M138))</f>
        <v/>
      </c>
    </row>
    <row r="139" customFormat="false" ht="15" hidden="false" customHeight="false" outlineLevel="0" collapsed="false">
      <c r="J139" s="0" t="str">
        <f aca="true">IF(A139="","",IF(OR(E139="Rejected",E139="Expired"),"ACTION NEEDED",IF(AND(B139="Yes",E139="Not Started"),"ACTION NEEDED",IF(AND(E139="In Hand",H139&lt;&gt;"",H139-TODAY()&lt;=30,H139-TODAY()&gt;=0),"EXPIRING SOON",""))))</f>
        <v/>
      </c>
      <c r="M139" s="13" t="str">
        <f aca="false">IF(A139="","",MAX(F139+0,G139+0))</f>
        <v/>
      </c>
      <c r="N139" s="0" t="str">
        <f aca="true">IF(A139="","",IF(OR(E139="In Hand",E139="Rejected"),"",TODAY()-M139))</f>
        <v/>
      </c>
    </row>
    <row r="140" customFormat="false" ht="15" hidden="false" customHeight="false" outlineLevel="0" collapsed="false">
      <c r="J140" s="0" t="str">
        <f aca="true">IF(A140="","",IF(OR(E140="Rejected",E140="Expired"),"ACTION NEEDED",IF(AND(B140="Yes",E140="Not Started"),"ACTION NEEDED",IF(AND(E140="In Hand",H140&lt;&gt;"",H140-TODAY()&lt;=30,H140-TODAY()&gt;=0),"EXPIRING SOON",""))))</f>
        <v/>
      </c>
      <c r="M140" s="13" t="str">
        <f aca="false">IF(A140="","",MAX(F140+0,G140+0))</f>
        <v/>
      </c>
      <c r="N140" s="0" t="str">
        <f aca="true">IF(A140="","",IF(OR(E140="In Hand",E140="Rejected"),"",TODAY()-M140))</f>
        <v/>
      </c>
    </row>
    <row r="141" customFormat="false" ht="15" hidden="false" customHeight="false" outlineLevel="0" collapsed="false">
      <c r="J141" s="0" t="str">
        <f aca="true">IF(A141="","",IF(OR(E141="Rejected",E141="Expired"),"ACTION NEEDED",IF(AND(B141="Yes",E141="Not Started"),"ACTION NEEDED",IF(AND(E141="In Hand",H141&lt;&gt;"",H141-TODAY()&lt;=30,H141-TODAY()&gt;=0),"EXPIRING SOON",""))))</f>
        <v/>
      </c>
      <c r="M141" s="13" t="str">
        <f aca="false">IF(A141="","",MAX(F141+0,G141+0))</f>
        <v/>
      </c>
      <c r="N141" s="0" t="str">
        <f aca="true">IF(A141="","",IF(OR(E141="In Hand",E141="Rejected"),"",TODAY()-M141))</f>
        <v/>
      </c>
    </row>
    <row r="142" customFormat="false" ht="15" hidden="false" customHeight="false" outlineLevel="0" collapsed="false">
      <c r="J142" s="0" t="str">
        <f aca="true">IF(A142="","",IF(OR(E142="Rejected",E142="Expired"),"ACTION NEEDED",IF(AND(B142="Yes",E142="Not Started"),"ACTION NEEDED",IF(AND(E142="In Hand",H142&lt;&gt;"",H142-TODAY()&lt;=30,H142-TODAY()&gt;=0),"EXPIRING SOON",""))))</f>
        <v/>
      </c>
      <c r="M142" s="13" t="str">
        <f aca="false">IF(A142="","",MAX(F142+0,G142+0))</f>
        <v/>
      </c>
      <c r="N142" s="0" t="str">
        <f aca="true">IF(A142="","",IF(OR(E142="In Hand",E142="Rejected"),"",TODAY()-M142))</f>
        <v/>
      </c>
    </row>
    <row r="143" customFormat="false" ht="15" hidden="false" customHeight="false" outlineLevel="0" collapsed="false">
      <c r="J143" s="0" t="str">
        <f aca="true">IF(A143="","",IF(OR(E143="Rejected",E143="Expired"),"ACTION NEEDED",IF(AND(B143="Yes",E143="Not Started"),"ACTION NEEDED",IF(AND(E143="In Hand",H143&lt;&gt;"",H143-TODAY()&lt;=30,H143-TODAY()&gt;=0),"EXPIRING SOON",""))))</f>
        <v/>
      </c>
      <c r="M143" s="13" t="str">
        <f aca="false">IF(A143="","",MAX(F143+0,G143+0))</f>
        <v/>
      </c>
      <c r="N143" s="0" t="str">
        <f aca="true">IF(A143="","",IF(OR(E143="In Hand",E143="Rejected"),"",TODAY()-M143))</f>
        <v/>
      </c>
    </row>
    <row r="144" customFormat="false" ht="15" hidden="false" customHeight="false" outlineLevel="0" collapsed="false">
      <c r="J144" s="0" t="str">
        <f aca="true">IF(A144="","",IF(OR(E144="Rejected",E144="Expired"),"ACTION NEEDED",IF(AND(B144="Yes",E144="Not Started"),"ACTION NEEDED",IF(AND(E144="In Hand",H144&lt;&gt;"",H144-TODAY()&lt;=30,H144-TODAY()&gt;=0),"EXPIRING SOON",""))))</f>
        <v/>
      </c>
      <c r="M144" s="13" t="str">
        <f aca="false">IF(A144="","",MAX(F144+0,G144+0))</f>
        <v/>
      </c>
      <c r="N144" s="0" t="str">
        <f aca="true">IF(A144="","",IF(OR(E144="In Hand",E144="Rejected"),"",TODAY()-M144))</f>
        <v/>
      </c>
    </row>
    <row r="145" customFormat="false" ht="15" hidden="false" customHeight="false" outlineLevel="0" collapsed="false">
      <c r="J145" s="0" t="str">
        <f aca="true">IF(A145="","",IF(OR(E145="Rejected",E145="Expired"),"ACTION NEEDED",IF(AND(B145="Yes",E145="Not Started"),"ACTION NEEDED",IF(AND(E145="In Hand",H145&lt;&gt;"",H145-TODAY()&lt;=30,H145-TODAY()&gt;=0),"EXPIRING SOON",""))))</f>
        <v/>
      </c>
      <c r="M145" s="13" t="str">
        <f aca="false">IF(A145="","",MAX(F145+0,G145+0))</f>
        <v/>
      </c>
      <c r="N145" s="0" t="str">
        <f aca="true">IF(A145="","",IF(OR(E145="In Hand",E145="Rejected"),"",TODAY()-M145))</f>
        <v/>
      </c>
    </row>
    <row r="146" customFormat="false" ht="15" hidden="false" customHeight="false" outlineLevel="0" collapsed="false">
      <c r="J146" s="0" t="str">
        <f aca="true">IF(A146="","",IF(OR(E146="Rejected",E146="Expired"),"ACTION NEEDED",IF(AND(B146="Yes",E146="Not Started"),"ACTION NEEDED",IF(AND(E146="In Hand",H146&lt;&gt;"",H146-TODAY()&lt;=30,H146-TODAY()&gt;=0),"EXPIRING SOON",""))))</f>
        <v/>
      </c>
      <c r="M146" s="13" t="str">
        <f aca="false">IF(A146="","",MAX(F146+0,G146+0))</f>
        <v/>
      </c>
      <c r="N146" s="0" t="str">
        <f aca="true">IF(A146="","",IF(OR(E146="In Hand",E146="Rejected"),"",TODAY()-M146))</f>
        <v/>
      </c>
    </row>
    <row r="147" customFormat="false" ht="15" hidden="false" customHeight="false" outlineLevel="0" collapsed="false">
      <c r="J147" s="0" t="str">
        <f aca="true">IF(A147="","",IF(OR(E147="Rejected",E147="Expired"),"ACTION NEEDED",IF(AND(B147="Yes",E147="Not Started"),"ACTION NEEDED",IF(AND(E147="In Hand",H147&lt;&gt;"",H147-TODAY()&lt;=30,H147-TODAY()&gt;=0),"EXPIRING SOON",""))))</f>
        <v/>
      </c>
      <c r="M147" s="13" t="str">
        <f aca="false">IF(A147="","",MAX(F147+0,G147+0))</f>
        <v/>
      </c>
      <c r="N147" s="0" t="str">
        <f aca="true">IF(A147="","",IF(OR(E147="In Hand",E147="Rejected"),"",TODAY()-M147))</f>
        <v/>
      </c>
    </row>
    <row r="148" customFormat="false" ht="15" hidden="false" customHeight="false" outlineLevel="0" collapsed="false">
      <c r="J148" s="0" t="str">
        <f aca="true">IF(A148="","",IF(OR(E148="Rejected",E148="Expired"),"ACTION NEEDED",IF(AND(B148="Yes",E148="Not Started"),"ACTION NEEDED",IF(AND(E148="In Hand",H148&lt;&gt;"",H148-TODAY()&lt;=30,H148-TODAY()&gt;=0),"EXPIRING SOON",""))))</f>
        <v/>
      </c>
      <c r="M148" s="13" t="str">
        <f aca="false">IF(A148="","",MAX(F148+0,G148+0))</f>
        <v/>
      </c>
      <c r="N148" s="0" t="str">
        <f aca="true">IF(A148="","",IF(OR(E148="In Hand",E148="Rejected"),"",TODAY()-M148))</f>
        <v/>
      </c>
    </row>
    <row r="149" customFormat="false" ht="15" hidden="false" customHeight="false" outlineLevel="0" collapsed="false">
      <c r="J149" s="0" t="str">
        <f aca="true">IF(A149="","",IF(OR(E149="Rejected",E149="Expired"),"ACTION NEEDED",IF(AND(B149="Yes",E149="Not Started"),"ACTION NEEDED",IF(AND(E149="In Hand",H149&lt;&gt;"",H149-TODAY()&lt;=30,H149-TODAY()&gt;=0),"EXPIRING SOON",""))))</f>
        <v/>
      </c>
      <c r="M149" s="13" t="str">
        <f aca="false">IF(A149="","",MAX(F149+0,G149+0))</f>
        <v/>
      </c>
      <c r="N149" s="0" t="str">
        <f aca="true">IF(A149="","",IF(OR(E149="In Hand",E149="Rejected"),"",TODAY()-M149))</f>
        <v/>
      </c>
    </row>
    <row r="150" customFormat="false" ht="15" hidden="false" customHeight="false" outlineLevel="0" collapsed="false">
      <c r="J150" s="0" t="str">
        <f aca="true">IF(A150="","",IF(OR(E150="Rejected",E150="Expired"),"ACTION NEEDED",IF(AND(B150="Yes",E150="Not Started"),"ACTION NEEDED",IF(AND(E150="In Hand",H150&lt;&gt;"",H150-TODAY()&lt;=30,H150-TODAY()&gt;=0),"EXPIRING SOON",""))))</f>
        <v/>
      </c>
      <c r="M150" s="13" t="str">
        <f aca="false">IF(A150="","",MAX(F150+0,G150+0))</f>
        <v/>
      </c>
      <c r="N150" s="0" t="str">
        <f aca="true">IF(A150="","",IF(OR(E150="In Hand",E150="Rejected"),"",TODAY()-M150))</f>
        <v/>
      </c>
    </row>
    <row r="151" customFormat="false" ht="15" hidden="false" customHeight="false" outlineLevel="0" collapsed="false">
      <c r="J151" s="0" t="str">
        <f aca="true">IF(A151="","",IF(OR(E151="Rejected",E151="Expired"),"ACTION NEEDED",IF(AND(B151="Yes",E151="Not Started"),"ACTION NEEDED",IF(AND(E151="In Hand",H151&lt;&gt;"",H151-TODAY()&lt;=30,H151-TODAY()&gt;=0),"EXPIRING SOON",""))))</f>
        <v/>
      </c>
      <c r="M151" s="13" t="str">
        <f aca="false">IF(A151="","",MAX(F151+0,G151+0))</f>
        <v/>
      </c>
      <c r="N151" s="0" t="str">
        <f aca="true">IF(A151="","",IF(OR(E151="In Hand",E151="Rejected"),"",TODAY()-M151))</f>
        <v/>
      </c>
    </row>
    <row r="152" customFormat="false" ht="15" hidden="false" customHeight="false" outlineLevel="0" collapsed="false">
      <c r="J152" s="0" t="str">
        <f aca="true">IF(A152="","",IF(OR(E152="Rejected",E152="Expired"),"ACTION NEEDED",IF(AND(B152="Yes",E152="Not Started"),"ACTION NEEDED",IF(AND(E152="In Hand",H152&lt;&gt;"",H152-TODAY()&lt;=30,H152-TODAY()&gt;=0),"EXPIRING SOON",""))))</f>
        <v/>
      </c>
      <c r="M152" s="13" t="str">
        <f aca="false">IF(A152="","",MAX(F152+0,G152+0))</f>
        <v/>
      </c>
      <c r="N152" s="0" t="str">
        <f aca="true">IF(A152="","",IF(OR(E152="In Hand",E152="Rejected"),"",TODAY()-M152))</f>
        <v/>
      </c>
    </row>
    <row r="153" customFormat="false" ht="15" hidden="false" customHeight="false" outlineLevel="0" collapsed="false">
      <c r="J153" s="0" t="str">
        <f aca="true">IF(A153="","",IF(OR(E153="Rejected",E153="Expired"),"ACTION NEEDED",IF(AND(B153="Yes",E153="Not Started"),"ACTION NEEDED",IF(AND(E153="In Hand",H153&lt;&gt;"",H153-TODAY()&lt;=30,H153-TODAY()&gt;=0),"EXPIRING SOON",""))))</f>
        <v/>
      </c>
      <c r="M153" s="13" t="str">
        <f aca="false">IF(A153="","",MAX(F153+0,G153+0))</f>
        <v/>
      </c>
      <c r="N153" s="0" t="str">
        <f aca="true">IF(A153="","",IF(OR(E153="In Hand",E153="Rejected"),"",TODAY()-M153))</f>
        <v/>
      </c>
    </row>
    <row r="154" customFormat="false" ht="15" hidden="false" customHeight="false" outlineLevel="0" collapsed="false">
      <c r="J154" s="0" t="str">
        <f aca="true">IF(A154="","",IF(OR(E154="Rejected",E154="Expired"),"ACTION NEEDED",IF(AND(B154="Yes",E154="Not Started"),"ACTION NEEDED",IF(AND(E154="In Hand",H154&lt;&gt;"",H154-TODAY()&lt;=30,H154-TODAY()&gt;=0),"EXPIRING SOON",""))))</f>
        <v/>
      </c>
      <c r="M154" s="13" t="str">
        <f aca="false">IF(A154="","",MAX(F154+0,G154+0))</f>
        <v/>
      </c>
      <c r="N154" s="0" t="str">
        <f aca="true">IF(A154="","",IF(OR(E154="In Hand",E154="Rejected"),"",TODAY()-M154))</f>
        <v/>
      </c>
    </row>
    <row r="155" customFormat="false" ht="15" hidden="false" customHeight="false" outlineLevel="0" collapsed="false">
      <c r="J155" s="0" t="str">
        <f aca="true">IF(A155="","",IF(OR(E155="Rejected",E155="Expired"),"ACTION NEEDED",IF(AND(B155="Yes",E155="Not Started"),"ACTION NEEDED",IF(AND(E155="In Hand",H155&lt;&gt;"",H155-TODAY()&lt;=30,H155-TODAY()&gt;=0),"EXPIRING SOON",""))))</f>
        <v/>
      </c>
      <c r="M155" s="13" t="str">
        <f aca="false">IF(A155="","",MAX(F155+0,G155+0))</f>
        <v/>
      </c>
      <c r="N155" s="0" t="str">
        <f aca="true">IF(A155="","",IF(OR(E155="In Hand",E155="Rejected"),"",TODAY()-M155))</f>
        <v/>
      </c>
    </row>
    <row r="156" customFormat="false" ht="15" hidden="false" customHeight="false" outlineLevel="0" collapsed="false">
      <c r="J156" s="0" t="str">
        <f aca="true">IF(A156="","",IF(OR(E156="Rejected",E156="Expired"),"ACTION NEEDED",IF(AND(B156="Yes",E156="Not Started"),"ACTION NEEDED",IF(AND(E156="In Hand",H156&lt;&gt;"",H156-TODAY()&lt;=30,H156-TODAY()&gt;=0),"EXPIRING SOON",""))))</f>
        <v/>
      </c>
      <c r="M156" s="13" t="str">
        <f aca="false">IF(A156="","",MAX(F156+0,G156+0))</f>
        <v/>
      </c>
      <c r="N156" s="0" t="str">
        <f aca="true">IF(A156="","",IF(OR(E156="In Hand",E156="Rejected"),"",TODAY()-M156))</f>
        <v/>
      </c>
    </row>
    <row r="157" customFormat="false" ht="15" hidden="false" customHeight="false" outlineLevel="0" collapsed="false">
      <c r="J157" s="0" t="str">
        <f aca="true">IF(A157="","",IF(OR(E157="Rejected",E157="Expired"),"ACTION NEEDED",IF(AND(B157="Yes",E157="Not Started"),"ACTION NEEDED",IF(AND(E157="In Hand",H157&lt;&gt;"",H157-TODAY()&lt;=30,H157-TODAY()&gt;=0),"EXPIRING SOON",""))))</f>
        <v/>
      </c>
      <c r="M157" s="13" t="str">
        <f aca="false">IF(A157="","",MAX(F157+0,G157+0))</f>
        <v/>
      </c>
      <c r="N157" s="0" t="str">
        <f aca="true">IF(A157="","",IF(OR(E157="In Hand",E157="Rejected"),"",TODAY()-M157))</f>
        <v/>
      </c>
    </row>
    <row r="158" customFormat="false" ht="15" hidden="false" customHeight="false" outlineLevel="0" collapsed="false">
      <c r="J158" s="0" t="str">
        <f aca="true">IF(A158="","",IF(OR(E158="Rejected",E158="Expired"),"ACTION NEEDED",IF(AND(B158="Yes",E158="Not Started"),"ACTION NEEDED",IF(AND(E158="In Hand",H158&lt;&gt;"",H158-TODAY()&lt;=30,H158-TODAY()&gt;=0),"EXPIRING SOON",""))))</f>
        <v/>
      </c>
      <c r="M158" s="13" t="str">
        <f aca="false">IF(A158="","",MAX(F158+0,G158+0))</f>
        <v/>
      </c>
      <c r="N158" s="0" t="str">
        <f aca="true">IF(A158="","",IF(OR(E158="In Hand",E158="Rejected"),"",TODAY()-M158))</f>
        <v/>
      </c>
    </row>
    <row r="159" customFormat="false" ht="15" hidden="false" customHeight="false" outlineLevel="0" collapsed="false">
      <c r="J159" s="0" t="str">
        <f aca="true">IF(A159="","",IF(OR(E159="Rejected",E159="Expired"),"ACTION NEEDED",IF(AND(B159="Yes",E159="Not Started"),"ACTION NEEDED",IF(AND(E159="In Hand",H159&lt;&gt;"",H159-TODAY()&lt;=30,H159-TODAY()&gt;=0),"EXPIRING SOON",""))))</f>
        <v/>
      </c>
      <c r="M159" s="13" t="str">
        <f aca="false">IF(A159="","",MAX(F159+0,G159+0))</f>
        <v/>
      </c>
      <c r="N159" s="0" t="str">
        <f aca="true">IF(A159="","",IF(OR(E159="In Hand",E159="Rejected"),"",TODAY()-M159))</f>
        <v/>
      </c>
    </row>
    <row r="160" customFormat="false" ht="15" hidden="false" customHeight="false" outlineLevel="0" collapsed="false">
      <c r="J160" s="0" t="str">
        <f aca="true">IF(A160="","",IF(OR(E160="Rejected",E160="Expired"),"ACTION NEEDED",IF(AND(B160="Yes",E160="Not Started"),"ACTION NEEDED",IF(AND(E160="In Hand",H160&lt;&gt;"",H160-TODAY()&lt;=30,H160-TODAY()&gt;=0),"EXPIRING SOON",""))))</f>
        <v/>
      </c>
      <c r="M160" s="13" t="str">
        <f aca="false">IF(A160="","",MAX(F160+0,G160+0))</f>
        <v/>
      </c>
      <c r="N160" s="0" t="str">
        <f aca="true">IF(A160="","",IF(OR(E160="In Hand",E160="Rejected"),"",TODAY()-M160))</f>
        <v/>
      </c>
    </row>
    <row r="161" customFormat="false" ht="15" hidden="false" customHeight="false" outlineLevel="0" collapsed="false">
      <c r="J161" s="0" t="str">
        <f aca="true">IF(A161="","",IF(OR(E161="Rejected",E161="Expired"),"ACTION NEEDED",IF(AND(B161="Yes",E161="Not Started"),"ACTION NEEDED",IF(AND(E161="In Hand",H161&lt;&gt;"",H161-TODAY()&lt;=30,H161-TODAY()&gt;=0),"EXPIRING SOON",""))))</f>
        <v/>
      </c>
      <c r="M161" s="13" t="str">
        <f aca="false">IF(A161="","",MAX(F161+0,G161+0))</f>
        <v/>
      </c>
      <c r="N161" s="0" t="str">
        <f aca="true">IF(A161="","",IF(OR(E161="In Hand",E161="Rejected"),"",TODAY()-M161))</f>
        <v/>
      </c>
    </row>
    <row r="162" customFormat="false" ht="15" hidden="false" customHeight="false" outlineLevel="0" collapsed="false">
      <c r="J162" s="0" t="str">
        <f aca="true">IF(A162="","",IF(OR(E162="Rejected",E162="Expired"),"ACTION NEEDED",IF(AND(B162="Yes",E162="Not Started"),"ACTION NEEDED",IF(AND(E162="In Hand",H162&lt;&gt;"",H162-TODAY()&lt;=30,H162-TODAY()&gt;=0),"EXPIRING SOON",""))))</f>
        <v/>
      </c>
      <c r="M162" s="13" t="str">
        <f aca="false">IF(A162="","",MAX(F162+0,G162+0))</f>
        <v/>
      </c>
      <c r="N162" s="0" t="str">
        <f aca="true">IF(A162="","",IF(OR(E162="In Hand",E162="Rejected"),"",TODAY()-M162))</f>
        <v/>
      </c>
    </row>
    <row r="163" customFormat="false" ht="15" hidden="false" customHeight="false" outlineLevel="0" collapsed="false">
      <c r="J163" s="0" t="str">
        <f aca="true">IF(A163="","",IF(OR(E163="Rejected",E163="Expired"),"ACTION NEEDED",IF(AND(B163="Yes",E163="Not Started"),"ACTION NEEDED",IF(AND(E163="In Hand",H163&lt;&gt;"",H163-TODAY()&lt;=30,H163-TODAY()&gt;=0),"EXPIRING SOON",""))))</f>
        <v/>
      </c>
      <c r="M163" s="13" t="str">
        <f aca="false">IF(A163="","",MAX(F163+0,G163+0))</f>
        <v/>
      </c>
      <c r="N163" s="0" t="str">
        <f aca="true">IF(A163="","",IF(OR(E163="In Hand",E163="Rejected"),"",TODAY()-M163))</f>
        <v/>
      </c>
    </row>
    <row r="164" customFormat="false" ht="15" hidden="false" customHeight="false" outlineLevel="0" collapsed="false">
      <c r="J164" s="0" t="str">
        <f aca="true">IF(A164="","",IF(OR(E164="Rejected",E164="Expired"),"ACTION NEEDED",IF(AND(B164="Yes",E164="Not Started"),"ACTION NEEDED",IF(AND(E164="In Hand",H164&lt;&gt;"",H164-TODAY()&lt;=30,H164-TODAY()&gt;=0),"EXPIRING SOON",""))))</f>
        <v/>
      </c>
      <c r="M164" s="13" t="str">
        <f aca="false">IF(A164="","",MAX(F164+0,G164+0))</f>
        <v/>
      </c>
      <c r="N164" s="0" t="str">
        <f aca="true">IF(A164="","",IF(OR(E164="In Hand",E164="Rejected"),"",TODAY()-M164))</f>
        <v/>
      </c>
    </row>
    <row r="165" customFormat="false" ht="15" hidden="false" customHeight="false" outlineLevel="0" collapsed="false">
      <c r="J165" s="0" t="str">
        <f aca="true">IF(A165="","",IF(OR(E165="Rejected",E165="Expired"),"ACTION NEEDED",IF(AND(B165="Yes",E165="Not Started"),"ACTION NEEDED",IF(AND(E165="In Hand",H165&lt;&gt;"",H165-TODAY()&lt;=30,H165-TODAY()&gt;=0),"EXPIRING SOON",""))))</f>
        <v/>
      </c>
      <c r="M165" s="13" t="str">
        <f aca="false">IF(A165="","",MAX(F165+0,G165+0))</f>
        <v/>
      </c>
      <c r="N165" s="0" t="str">
        <f aca="true">IF(A165="","",IF(OR(E165="In Hand",E165="Rejected"),"",TODAY()-M165))</f>
        <v/>
      </c>
    </row>
    <row r="166" customFormat="false" ht="15" hidden="false" customHeight="false" outlineLevel="0" collapsed="false">
      <c r="J166" s="0" t="str">
        <f aca="true">IF(A166="","",IF(OR(E166="Rejected",E166="Expired"),"ACTION NEEDED",IF(AND(B166="Yes",E166="Not Started"),"ACTION NEEDED",IF(AND(E166="In Hand",H166&lt;&gt;"",H166-TODAY()&lt;=30,H166-TODAY()&gt;=0),"EXPIRING SOON",""))))</f>
        <v/>
      </c>
      <c r="M166" s="13" t="str">
        <f aca="false">IF(A166="","",MAX(F166+0,G166+0))</f>
        <v/>
      </c>
      <c r="N166" s="0" t="str">
        <f aca="true">IF(A166="","",IF(OR(E166="In Hand",E166="Rejected"),"",TODAY()-M166))</f>
        <v/>
      </c>
    </row>
    <row r="167" customFormat="false" ht="15" hidden="false" customHeight="false" outlineLevel="0" collapsed="false">
      <c r="J167" s="0" t="str">
        <f aca="true">IF(A167="","",IF(OR(E167="Rejected",E167="Expired"),"ACTION NEEDED",IF(AND(B167="Yes",E167="Not Started"),"ACTION NEEDED",IF(AND(E167="In Hand",H167&lt;&gt;"",H167-TODAY()&lt;=30,H167-TODAY()&gt;=0),"EXPIRING SOON",""))))</f>
        <v/>
      </c>
      <c r="M167" s="13" t="str">
        <f aca="false">IF(A167="","",MAX(F167+0,G167+0))</f>
        <v/>
      </c>
      <c r="N167" s="0" t="str">
        <f aca="true">IF(A167="","",IF(OR(E167="In Hand",E167="Rejected"),"",TODAY()-M167))</f>
        <v/>
      </c>
    </row>
    <row r="168" customFormat="false" ht="15" hidden="false" customHeight="false" outlineLevel="0" collapsed="false">
      <c r="J168" s="0" t="str">
        <f aca="true">IF(A168="","",IF(OR(E168="Rejected",E168="Expired"),"ACTION NEEDED",IF(AND(B168="Yes",E168="Not Started"),"ACTION NEEDED",IF(AND(E168="In Hand",H168&lt;&gt;"",H168-TODAY()&lt;=30,H168-TODAY()&gt;=0),"EXPIRING SOON",""))))</f>
        <v/>
      </c>
      <c r="M168" s="13" t="str">
        <f aca="false">IF(A168="","",MAX(F168+0,G168+0))</f>
        <v/>
      </c>
      <c r="N168" s="0" t="str">
        <f aca="true">IF(A168="","",IF(OR(E168="In Hand",E168="Rejected"),"",TODAY()-M168))</f>
        <v/>
      </c>
    </row>
    <row r="169" customFormat="false" ht="15" hidden="false" customHeight="false" outlineLevel="0" collapsed="false">
      <c r="J169" s="0" t="str">
        <f aca="true">IF(A169="","",IF(OR(E169="Rejected",E169="Expired"),"ACTION NEEDED",IF(AND(B169="Yes",E169="Not Started"),"ACTION NEEDED",IF(AND(E169="In Hand",H169&lt;&gt;"",H169-TODAY()&lt;=30,H169-TODAY()&gt;=0),"EXPIRING SOON",""))))</f>
        <v/>
      </c>
      <c r="M169" s="13" t="str">
        <f aca="false">IF(A169="","",MAX(F169+0,G169+0))</f>
        <v/>
      </c>
      <c r="N169" s="0" t="str">
        <f aca="true">IF(A169="","",IF(OR(E169="In Hand",E169="Rejected"),"",TODAY()-M169))</f>
        <v/>
      </c>
    </row>
    <row r="170" customFormat="false" ht="15" hidden="false" customHeight="false" outlineLevel="0" collapsed="false">
      <c r="J170" s="0" t="str">
        <f aca="true">IF(A170="","",IF(OR(E170="Rejected",E170="Expired"),"ACTION NEEDED",IF(AND(B170="Yes",E170="Not Started"),"ACTION NEEDED",IF(AND(E170="In Hand",H170&lt;&gt;"",H170-TODAY()&lt;=30,H170-TODAY()&gt;=0),"EXPIRING SOON",""))))</f>
        <v/>
      </c>
      <c r="M170" s="13" t="str">
        <f aca="false">IF(A170="","",MAX(F170+0,G170+0))</f>
        <v/>
      </c>
      <c r="N170" s="0" t="str">
        <f aca="true">IF(A170="","",IF(OR(E170="In Hand",E170="Rejected"),"",TODAY()-M170))</f>
        <v/>
      </c>
    </row>
    <row r="171" customFormat="false" ht="15" hidden="false" customHeight="false" outlineLevel="0" collapsed="false">
      <c r="J171" s="0" t="str">
        <f aca="true">IF(A171="","",IF(OR(E171="Rejected",E171="Expired"),"ACTION NEEDED",IF(AND(B171="Yes",E171="Not Started"),"ACTION NEEDED",IF(AND(E171="In Hand",H171&lt;&gt;"",H171-TODAY()&lt;=30,H171-TODAY()&gt;=0),"EXPIRING SOON",""))))</f>
        <v/>
      </c>
      <c r="M171" s="13" t="str">
        <f aca="false">IF(A171="","",MAX(F171+0,G171+0))</f>
        <v/>
      </c>
      <c r="N171" s="0" t="str">
        <f aca="true">IF(A171="","",IF(OR(E171="In Hand",E171="Rejected"),"",TODAY()-M171))</f>
        <v/>
      </c>
    </row>
    <row r="172" customFormat="false" ht="15" hidden="false" customHeight="false" outlineLevel="0" collapsed="false">
      <c r="J172" s="0" t="str">
        <f aca="true">IF(A172="","",IF(OR(E172="Rejected",E172="Expired"),"ACTION NEEDED",IF(AND(B172="Yes",E172="Not Started"),"ACTION NEEDED",IF(AND(E172="In Hand",H172&lt;&gt;"",H172-TODAY()&lt;=30,H172-TODAY()&gt;=0),"EXPIRING SOON",""))))</f>
        <v/>
      </c>
      <c r="M172" s="13" t="str">
        <f aca="false">IF(A172="","",MAX(F172+0,G172+0))</f>
        <v/>
      </c>
      <c r="N172" s="0" t="str">
        <f aca="true">IF(A172="","",IF(OR(E172="In Hand",E172="Rejected"),"",TODAY()-M172))</f>
        <v/>
      </c>
    </row>
    <row r="173" customFormat="false" ht="15" hidden="false" customHeight="false" outlineLevel="0" collapsed="false">
      <c r="J173" s="0" t="str">
        <f aca="true">IF(A173="","",IF(OR(E173="Rejected",E173="Expired"),"ACTION NEEDED",IF(AND(B173="Yes",E173="Not Started"),"ACTION NEEDED",IF(AND(E173="In Hand",H173&lt;&gt;"",H173-TODAY()&lt;=30,H173-TODAY()&gt;=0),"EXPIRING SOON",""))))</f>
        <v/>
      </c>
      <c r="M173" s="13" t="str">
        <f aca="false">IF(A173="","",MAX(F173+0,G173+0))</f>
        <v/>
      </c>
      <c r="N173" s="0" t="str">
        <f aca="true">IF(A173="","",IF(OR(E173="In Hand",E173="Rejected"),"",TODAY()-M173))</f>
        <v/>
      </c>
    </row>
    <row r="174" customFormat="false" ht="15" hidden="false" customHeight="false" outlineLevel="0" collapsed="false">
      <c r="J174" s="0" t="str">
        <f aca="true">IF(A174="","",IF(OR(E174="Rejected",E174="Expired"),"ACTION NEEDED",IF(AND(B174="Yes",E174="Not Started"),"ACTION NEEDED",IF(AND(E174="In Hand",H174&lt;&gt;"",H174-TODAY()&lt;=30,H174-TODAY()&gt;=0),"EXPIRING SOON",""))))</f>
        <v/>
      </c>
      <c r="M174" s="13" t="str">
        <f aca="false">IF(A174="","",MAX(F174+0,G174+0))</f>
        <v/>
      </c>
      <c r="N174" s="0" t="str">
        <f aca="true">IF(A174="","",IF(OR(E174="In Hand",E174="Rejected"),"",TODAY()-M174))</f>
        <v/>
      </c>
    </row>
    <row r="175" customFormat="false" ht="15" hidden="false" customHeight="false" outlineLevel="0" collapsed="false">
      <c r="J175" s="0" t="str">
        <f aca="true">IF(A175="","",IF(OR(E175="Rejected",E175="Expired"),"ACTION NEEDED",IF(AND(B175="Yes",E175="Not Started"),"ACTION NEEDED",IF(AND(E175="In Hand",H175&lt;&gt;"",H175-TODAY()&lt;=30,H175-TODAY()&gt;=0),"EXPIRING SOON",""))))</f>
        <v/>
      </c>
      <c r="M175" s="13" t="str">
        <f aca="false">IF(A175="","",MAX(F175+0,G175+0))</f>
        <v/>
      </c>
      <c r="N175" s="0" t="str">
        <f aca="true">IF(A175="","",IF(OR(E175="In Hand",E175="Rejected"),"",TODAY()-M175))</f>
        <v/>
      </c>
    </row>
    <row r="176" customFormat="false" ht="15" hidden="false" customHeight="false" outlineLevel="0" collapsed="false">
      <c r="J176" s="0" t="str">
        <f aca="true">IF(A176="","",IF(OR(E176="Rejected",E176="Expired"),"ACTION NEEDED",IF(AND(B176="Yes",E176="Not Started"),"ACTION NEEDED",IF(AND(E176="In Hand",H176&lt;&gt;"",H176-TODAY()&lt;=30,H176-TODAY()&gt;=0),"EXPIRING SOON",""))))</f>
        <v/>
      </c>
      <c r="M176" s="13" t="str">
        <f aca="false">IF(A176="","",MAX(F176+0,G176+0))</f>
        <v/>
      </c>
      <c r="N176" s="0" t="str">
        <f aca="true">IF(A176="","",IF(OR(E176="In Hand",E176="Rejected"),"",TODAY()-M176))</f>
        <v/>
      </c>
    </row>
    <row r="177" customFormat="false" ht="15" hidden="false" customHeight="false" outlineLevel="0" collapsed="false">
      <c r="J177" s="0" t="str">
        <f aca="true">IF(A177="","",IF(OR(E177="Rejected",E177="Expired"),"ACTION NEEDED",IF(AND(B177="Yes",E177="Not Started"),"ACTION NEEDED",IF(AND(E177="In Hand",H177&lt;&gt;"",H177-TODAY()&lt;=30,H177-TODAY()&gt;=0),"EXPIRING SOON",""))))</f>
        <v/>
      </c>
      <c r="M177" s="13" t="str">
        <f aca="false">IF(A177="","",MAX(F177+0,G177+0))</f>
        <v/>
      </c>
      <c r="N177" s="0" t="str">
        <f aca="true">IF(A177="","",IF(OR(E177="In Hand",E177="Rejected"),"",TODAY()-M177))</f>
        <v/>
      </c>
    </row>
    <row r="178" customFormat="false" ht="15" hidden="false" customHeight="false" outlineLevel="0" collapsed="false">
      <c r="J178" s="0" t="str">
        <f aca="true">IF(A178="","",IF(OR(E178="Rejected",E178="Expired"),"ACTION NEEDED",IF(AND(B178="Yes",E178="Not Started"),"ACTION NEEDED",IF(AND(E178="In Hand",H178&lt;&gt;"",H178-TODAY()&lt;=30,H178-TODAY()&gt;=0),"EXPIRING SOON",""))))</f>
        <v/>
      </c>
      <c r="M178" s="13" t="str">
        <f aca="false">IF(A178="","",MAX(F178+0,G178+0))</f>
        <v/>
      </c>
      <c r="N178" s="0" t="str">
        <f aca="true">IF(A178="","",IF(OR(E178="In Hand",E178="Rejected"),"",TODAY()-M178))</f>
        <v/>
      </c>
    </row>
    <row r="179" customFormat="false" ht="15" hidden="false" customHeight="false" outlineLevel="0" collapsed="false">
      <c r="J179" s="0" t="str">
        <f aca="true">IF(A179="","",IF(OR(E179="Rejected",E179="Expired"),"ACTION NEEDED",IF(AND(B179="Yes",E179="Not Started"),"ACTION NEEDED",IF(AND(E179="In Hand",H179&lt;&gt;"",H179-TODAY()&lt;=30,H179-TODAY()&gt;=0),"EXPIRING SOON",""))))</f>
        <v/>
      </c>
      <c r="M179" s="13" t="str">
        <f aca="false">IF(A179="","",MAX(F179+0,G179+0))</f>
        <v/>
      </c>
      <c r="N179" s="0" t="str">
        <f aca="true">IF(A179="","",IF(OR(E179="In Hand",E179="Rejected"),"",TODAY()-M179))</f>
        <v/>
      </c>
    </row>
    <row r="180" customFormat="false" ht="15" hidden="false" customHeight="false" outlineLevel="0" collapsed="false">
      <c r="J180" s="0" t="str">
        <f aca="true">IF(A180="","",IF(OR(E180="Rejected",E180="Expired"),"ACTION NEEDED",IF(AND(B180="Yes",E180="Not Started"),"ACTION NEEDED",IF(AND(E180="In Hand",H180&lt;&gt;"",H180-TODAY()&lt;=30,H180-TODAY()&gt;=0),"EXPIRING SOON",""))))</f>
        <v/>
      </c>
      <c r="M180" s="13" t="str">
        <f aca="false">IF(A180="","",MAX(F180+0,G180+0))</f>
        <v/>
      </c>
      <c r="N180" s="0" t="str">
        <f aca="true">IF(A180="","",IF(OR(E180="In Hand",E180="Rejected"),"",TODAY()-M180))</f>
        <v/>
      </c>
    </row>
    <row r="181" customFormat="false" ht="15" hidden="false" customHeight="false" outlineLevel="0" collapsed="false">
      <c r="J181" s="0" t="str">
        <f aca="true">IF(A181="","",IF(OR(E181="Rejected",E181="Expired"),"ACTION NEEDED",IF(AND(B181="Yes",E181="Not Started"),"ACTION NEEDED",IF(AND(E181="In Hand",H181&lt;&gt;"",H181-TODAY()&lt;=30,H181-TODAY()&gt;=0),"EXPIRING SOON",""))))</f>
        <v/>
      </c>
      <c r="M181" s="13" t="str">
        <f aca="false">IF(A181="","",MAX(F181+0,G181+0))</f>
        <v/>
      </c>
      <c r="N181" s="0" t="str">
        <f aca="true">IF(A181="","",IF(OR(E181="In Hand",E181="Rejected"),"",TODAY()-M181))</f>
        <v/>
      </c>
    </row>
    <row r="182" customFormat="false" ht="15" hidden="false" customHeight="false" outlineLevel="0" collapsed="false">
      <c r="J182" s="0" t="str">
        <f aca="true">IF(A182="","",IF(OR(E182="Rejected",E182="Expired"),"ACTION NEEDED",IF(AND(B182="Yes",E182="Not Started"),"ACTION NEEDED",IF(AND(E182="In Hand",H182&lt;&gt;"",H182-TODAY()&lt;=30,H182-TODAY()&gt;=0),"EXPIRING SOON",""))))</f>
        <v/>
      </c>
      <c r="M182" s="13" t="str">
        <f aca="false">IF(A182="","",MAX(F182+0,G182+0))</f>
        <v/>
      </c>
      <c r="N182" s="0" t="str">
        <f aca="true">IF(A182="","",IF(OR(E182="In Hand",E182="Rejected"),"",TODAY()-M182))</f>
        <v/>
      </c>
    </row>
    <row r="183" customFormat="false" ht="15" hidden="false" customHeight="false" outlineLevel="0" collapsed="false">
      <c r="J183" s="0" t="str">
        <f aca="true">IF(A183="","",IF(OR(E183="Rejected",E183="Expired"),"ACTION NEEDED",IF(AND(B183="Yes",E183="Not Started"),"ACTION NEEDED",IF(AND(E183="In Hand",H183&lt;&gt;"",H183-TODAY()&lt;=30,H183-TODAY()&gt;=0),"EXPIRING SOON",""))))</f>
        <v/>
      </c>
      <c r="M183" s="13" t="str">
        <f aca="false">IF(A183="","",MAX(F183+0,G183+0))</f>
        <v/>
      </c>
      <c r="N183" s="0" t="str">
        <f aca="true">IF(A183="","",IF(OR(E183="In Hand",E183="Rejected"),"",TODAY()-M183))</f>
        <v/>
      </c>
    </row>
    <row r="184" customFormat="false" ht="15" hidden="false" customHeight="false" outlineLevel="0" collapsed="false">
      <c r="J184" s="0" t="str">
        <f aca="true">IF(A184="","",IF(OR(E184="Rejected",E184="Expired"),"ACTION NEEDED",IF(AND(B184="Yes",E184="Not Started"),"ACTION NEEDED",IF(AND(E184="In Hand",H184&lt;&gt;"",H184-TODAY()&lt;=30,H184-TODAY()&gt;=0),"EXPIRING SOON",""))))</f>
        <v/>
      </c>
      <c r="M184" s="13" t="str">
        <f aca="false">IF(A184="","",MAX(F184+0,G184+0))</f>
        <v/>
      </c>
      <c r="N184" s="0" t="str">
        <f aca="true">IF(A184="","",IF(OR(E184="In Hand",E184="Rejected"),"",TODAY()-M184))</f>
        <v/>
      </c>
    </row>
    <row r="185" customFormat="false" ht="15" hidden="false" customHeight="false" outlineLevel="0" collapsed="false">
      <c r="J185" s="0" t="str">
        <f aca="true">IF(A185="","",IF(OR(E185="Rejected",E185="Expired"),"ACTION NEEDED",IF(AND(B185="Yes",E185="Not Started"),"ACTION NEEDED",IF(AND(E185="In Hand",H185&lt;&gt;"",H185-TODAY()&lt;=30,H185-TODAY()&gt;=0),"EXPIRING SOON",""))))</f>
        <v/>
      </c>
      <c r="M185" s="13" t="str">
        <f aca="false">IF(A185="","",MAX(F185+0,G185+0))</f>
        <v/>
      </c>
      <c r="N185" s="0" t="str">
        <f aca="true">IF(A185="","",IF(OR(E185="In Hand",E185="Rejected"),"",TODAY()-M185))</f>
        <v/>
      </c>
    </row>
    <row r="186" customFormat="false" ht="15" hidden="false" customHeight="false" outlineLevel="0" collapsed="false">
      <c r="J186" s="0" t="str">
        <f aca="true">IF(A186="","",IF(OR(E186="Rejected",E186="Expired"),"ACTION NEEDED",IF(AND(B186="Yes",E186="Not Started"),"ACTION NEEDED",IF(AND(E186="In Hand",H186&lt;&gt;"",H186-TODAY()&lt;=30,H186-TODAY()&gt;=0),"EXPIRING SOON",""))))</f>
        <v/>
      </c>
      <c r="M186" s="13" t="str">
        <f aca="false">IF(A186="","",MAX(F186+0,G186+0))</f>
        <v/>
      </c>
      <c r="N186" s="0" t="str">
        <f aca="true">IF(A186="","",IF(OR(E186="In Hand",E186="Rejected"),"",TODAY()-M186))</f>
        <v/>
      </c>
    </row>
    <row r="187" customFormat="false" ht="15" hidden="false" customHeight="false" outlineLevel="0" collapsed="false">
      <c r="J187" s="0" t="str">
        <f aca="true">IF(A187="","",IF(OR(E187="Rejected",E187="Expired"),"ACTION NEEDED",IF(AND(B187="Yes",E187="Not Started"),"ACTION NEEDED",IF(AND(E187="In Hand",H187&lt;&gt;"",H187-TODAY()&lt;=30,H187-TODAY()&gt;=0),"EXPIRING SOON",""))))</f>
        <v/>
      </c>
      <c r="M187" s="13" t="str">
        <f aca="false">IF(A187="","",MAX(F187+0,G187+0))</f>
        <v/>
      </c>
      <c r="N187" s="0" t="str">
        <f aca="true">IF(A187="","",IF(OR(E187="In Hand",E187="Rejected"),"",TODAY()-M187))</f>
        <v/>
      </c>
    </row>
    <row r="188" customFormat="false" ht="15" hidden="false" customHeight="false" outlineLevel="0" collapsed="false">
      <c r="J188" s="0" t="str">
        <f aca="true">IF(A188="","",IF(OR(E188="Rejected",E188="Expired"),"ACTION NEEDED",IF(AND(B188="Yes",E188="Not Started"),"ACTION NEEDED",IF(AND(E188="In Hand",H188&lt;&gt;"",H188-TODAY()&lt;=30,H188-TODAY()&gt;=0),"EXPIRING SOON",""))))</f>
        <v/>
      </c>
      <c r="M188" s="13" t="str">
        <f aca="false">IF(A188="","",MAX(F188+0,G188+0))</f>
        <v/>
      </c>
      <c r="N188" s="0" t="str">
        <f aca="true">IF(A188="","",IF(OR(E188="In Hand",E188="Rejected"),"",TODAY()-M188))</f>
        <v/>
      </c>
    </row>
    <row r="189" customFormat="false" ht="15" hidden="false" customHeight="false" outlineLevel="0" collapsed="false">
      <c r="J189" s="0" t="str">
        <f aca="true">IF(A189="","",IF(OR(E189="Rejected",E189="Expired"),"ACTION NEEDED",IF(AND(B189="Yes",E189="Not Started"),"ACTION NEEDED",IF(AND(E189="In Hand",H189&lt;&gt;"",H189-TODAY()&lt;=30,H189-TODAY()&gt;=0),"EXPIRING SOON",""))))</f>
        <v/>
      </c>
      <c r="M189" s="13" t="str">
        <f aca="false">IF(A189="","",MAX(F189+0,G189+0))</f>
        <v/>
      </c>
      <c r="N189" s="0" t="str">
        <f aca="true">IF(A189="","",IF(OR(E189="In Hand",E189="Rejected"),"",TODAY()-M189))</f>
        <v/>
      </c>
    </row>
    <row r="190" customFormat="false" ht="15" hidden="false" customHeight="false" outlineLevel="0" collapsed="false">
      <c r="J190" s="0" t="str">
        <f aca="true">IF(A190="","",IF(OR(E190="Rejected",E190="Expired"),"ACTION NEEDED",IF(AND(B190="Yes",E190="Not Started"),"ACTION NEEDED",IF(AND(E190="In Hand",H190&lt;&gt;"",H190-TODAY()&lt;=30,H190-TODAY()&gt;=0),"EXPIRING SOON",""))))</f>
        <v/>
      </c>
      <c r="M190" s="13" t="str">
        <f aca="false">IF(A190="","",MAX(F190+0,G190+0))</f>
        <v/>
      </c>
      <c r="N190" s="0" t="str">
        <f aca="true">IF(A190="","",IF(OR(E190="In Hand",E190="Rejected"),"",TODAY()-M190))</f>
        <v/>
      </c>
    </row>
    <row r="191" customFormat="false" ht="15" hidden="false" customHeight="false" outlineLevel="0" collapsed="false">
      <c r="J191" s="0" t="str">
        <f aca="true">IF(A191="","",IF(OR(E191="Rejected",E191="Expired"),"ACTION NEEDED",IF(AND(B191="Yes",E191="Not Started"),"ACTION NEEDED",IF(AND(E191="In Hand",H191&lt;&gt;"",H191-TODAY()&lt;=30,H191-TODAY()&gt;=0),"EXPIRING SOON",""))))</f>
        <v/>
      </c>
      <c r="M191" s="13" t="str">
        <f aca="false">IF(A191="","",MAX(F191+0,G191+0))</f>
        <v/>
      </c>
      <c r="N191" s="0" t="str">
        <f aca="true">IF(A191="","",IF(OR(E191="In Hand",E191="Rejected"),"",TODAY()-M191))</f>
        <v/>
      </c>
    </row>
    <row r="192" customFormat="false" ht="15" hidden="false" customHeight="false" outlineLevel="0" collapsed="false">
      <c r="J192" s="0" t="str">
        <f aca="true">IF(A192="","",IF(OR(E192="Rejected",E192="Expired"),"ACTION NEEDED",IF(AND(B192="Yes",E192="Not Started"),"ACTION NEEDED",IF(AND(E192="In Hand",H192&lt;&gt;"",H192-TODAY()&lt;=30,H192-TODAY()&gt;=0),"EXPIRING SOON",""))))</f>
        <v/>
      </c>
      <c r="M192" s="13" t="str">
        <f aca="false">IF(A192="","",MAX(F192+0,G192+0))</f>
        <v/>
      </c>
      <c r="N192" s="0" t="str">
        <f aca="true">IF(A192="","",IF(OR(E192="In Hand",E192="Rejected"),"",TODAY()-M192))</f>
        <v/>
      </c>
    </row>
    <row r="193" customFormat="false" ht="15" hidden="false" customHeight="false" outlineLevel="0" collapsed="false">
      <c r="J193" s="0" t="str">
        <f aca="true">IF(A193="","",IF(OR(E193="Rejected",E193="Expired"),"ACTION NEEDED",IF(AND(B193="Yes",E193="Not Started"),"ACTION NEEDED",IF(AND(E193="In Hand",H193&lt;&gt;"",H193-TODAY()&lt;=30,H193-TODAY()&gt;=0),"EXPIRING SOON",""))))</f>
        <v/>
      </c>
      <c r="M193" s="13" t="str">
        <f aca="false">IF(A193="","",MAX(F193+0,G193+0))</f>
        <v/>
      </c>
      <c r="N193" s="0" t="str">
        <f aca="true">IF(A193="","",IF(OR(E193="In Hand",E193="Rejected"),"",TODAY()-M193))</f>
        <v/>
      </c>
    </row>
    <row r="194" customFormat="false" ht="15" hidden="false" customHeight="false" outlineLevel="0" collapsed="false">
      <c r="J194" s="0" t="str">
        <f aca="true">IF(A194="","",IF(OR(E194="Rejected",E194="Expired"),"ACTION NEEDED",IF(AND(B194="Yes",E194="Not Started"),"ACTION NEEDED",IF(AND(E194="In Hand",H194&lt;&gt;"",H194-TODAY()&lt;=30,H194-TODAY()&gt;=0),"EXPIRING SOON",""))))</f>
        <v/>
      </c>
      <c r="M194" s="13" t="str">
        <f aca="false">IF(A194="","",MAX(F194+0,G194+0))</f>
        <v/>
      </c>
      <c r="N194" s="0" t="str">
        <f aca="true">IF(A194="","",IF(OR(E194="In Hand",E194="Rejected"),"",TODAY()-M194))</f>
        <v/>
      </c>
    </row>
    <row r="195" customFormat="false" ht="15" hidden="false" customHeight="false" outlineLevel="0" collapsed="false">
      <c r="J195" s="0" t="str">
        <f aca="true">IF(A195="","",IF(OR(E195="Rejected",E195="Expired"),"ACTION NEEDED",IF(AND(B195="Yes",E195="Not Started"),"ACTION NEEDED",IF(AND(E195="In Hand",H195&lt;&gt;"",H195-TODAY()&lt;=30,H195-TODAY()&gt;=0),"EXPIRING SOON",""))))</f>
        <v/>
      </c>
      <c r="M195" s="13" t="str">
        <f aca="false">IF(A195="","",MAX(F195+0,G195+0))</f>
        <v/>
      </c>
      <c r="N195" s="0" t="str">
        <f aca="true">IF(A195="","",IF(OR(E195="In Hand",E195="Rejected"),"",TODAY()-M195))</f>
        <v/>
      </c>
    </row>
    <row r="196" customFormat="false" ht="15" hidden="false" customHeight="false" outlineLevel="0" collapsed="false">
      <c r="J196" s="0" t="str">
        <f aca="true">IF(A196="","",IF(OR(E196="Rejected",E196="Expired"),"ACTION NEEDED",IF(AND(B196="Yes",E196="Not Started"),"ACTION NEEDED",IF(AND(E196="In Hand",H196&lt;&gt;"",H196-TODAY()&lt;=30,H196-TODAY()&gt;=0),"EXPIRING SOON",""))))</f>
        <v/>
      </c>
      <c r="M196" s="13" t="str">
        <f aca="false">IF(A196="","",MAX(F196+0,G196+0))</f>
        <v/>
      </c>
      <c r="N196" s="0" t="str">
        <f aca="true">IF(A196="","",IF(OR(E196="In Hand",E196="Rejected"),"",TODAY()-M196))</f>
        <v/>
      </c>
    </row>
    <row r="197" customFormat="false" ht="15" hidden="false" customHeight="false" outlineLevel="0" collapsed="false">
      <c r="J197" s="0" t="str">
        <f aca="true">IF(A197="","",IF(OR(E197="Rejected",E197="Expired"),"ACTION NEEDED",IF(AND(B197="Yes",E197="Not Started"),"ACTION NEEDED",IF(AND(E197="In Hand",H197&lt;&gt;"",H197-TODAY()&lt;=30,H197-TODAY()&gt;=0),"EXPIRING SOON",""))))</f>
        <v/>
      </c>
      <c r="M197" s="13" t="str">
        <f aca="false">IF(A197="","",MAX(F197+0,G197+0))</f>
        <v/>
      </c>
      <c r="N197" s="0" t="str">
        <f aca="true">IF(A197="","",IF(OR(E197="In Hand",E197="Rejected"),"",TODAY()-M197))</f>
        <v/>
      </c>
    </row>
    <row r="198" customFormat="false" ht="15" hidden="false" customHeight="false" outlineLevel="0" collapsed="false">
      <c r="J198" s="0" t="str">
        <f aca="true">IF(A198="","",IF(OR(E198="Rejected",E198="Expired"),"ACTION NEEDED",IF(AND(B198="Yes",E198="Not Started"),"ACTION NEEDED",IF(AND(E198="In Hand",H198&lt;&gt;"",H198-TODAY()&lt;=30,H198-TODAY()&gt;=0),"EXPIRING SOON",""))))</f>
        <v/>
      </c>
      <c r="M198" s="13" t="str">
        <f aca="false">IF(A198="","",MAX(F198+0,G198+0))</f>
        <v/>
      </c>
      <c r="N198" s="0" t="str">
        <f aca="true">IF(A198="","",IF(OR(E198="In Hand",E198="Rejected"),"",TODAY()-M198))</f>
        <v/>
      </c>
    </row>
    <row r="199" customFormat="false" ht="15" hidden="false" customHeight="false" outlineLevel="0" collapsed="false">
      <c r="J199" s="0" t="str">
        <f aca="true">IF(A199="","",IF(OR(E199="Rejected",E199="Expired"),"ACTION NEEDED",IF(AND(B199="Yes",E199="Not Started"),"ACTION NEEDED",IF(AND(E199="In Hand",H199&lt;&gt;"",H199-TODAY()&lt;=30,H199-TODAY()&gt;=0),"EXPIRING SOON",""))))</f>
        <v/>
      </c>
      <c r="M199" s="13" t="str">
        <f aca="false">IF(A199="","",MAX(F199+0,G199+0))</f>
        <v/>
      </c>
      <c r="N199" s="0" t="str">
        <f aca="true">IF(A199="","",IF(OR(E199="In Hand",E199="Rejected"),"",TODAY()-M199))</f>
        <v/>
      </c>
    </row>
    <row r="200" customFormat="false" ht="15" hidden="false" customHeight="false" outlineLevel="0" collapsed="false">
      <c r="J200" s="0" t="str">
        <f aca="true">IF(A200="","",IF(OR(E200="Rejected",E200="Expired"),"ACTION NEEDED",IF(AND(B200="Yes",E200="Not Started"),"ACTION NEEDED",IF(AND(E200="In Hand",H200&lt;&gt;"",H200-TODAY()&lt;=30,H200-TODAY()&gt;=0),"EXPIRING SOON",""))))</f>
        <v/>
      </c>
      <c r="M200" s="13" t="str">
        <f aca="false">IF(A200="","",MAX(F200+0,G200+0))</f>
        <v/>
      </c>
      <c r="N200" s="0" t="str">
        <f aca="true">IF(A200="","",IF(OR(E200="In Hand",E200="Rejected"),"",TODAY()-M200))</f>
        <v/>
      </c>
    </row>
    <row r="201" customFormat="false" ht="15" hidden="false" customHeight="false" outlineLevel="0" collapsed="false">
      <c r="J201" s="0" t="str">
        <f aca="true">IF(A201="","",IF(OR(E201="Rejected",E201="Expired"),"ACTION NEEDED",IF(AND(B201="Yes",E201="Not Started"),"ACTION NEEDED",IF(AND(E201="In Hand",H201&lt;&gt;"",H201-TODAY()&lt;=30,H201-TODAY()&gt;=0),"EXPIRING SOON",""))))</f>
        <v/>
      </c>
      <c r="M201" s="13" t="str">
        <f aca="false">IF(A201="","",MAX(F201+0,G201+0))</f>
        <v/>
      </c>
      <c r="N201" s="0" t="str">
        <f aca="true">IF(A201="","",IF(OR(E201="In Hand",E201="Rejected"),"",TODAY()-M201))</f>
        <v/>
      </c>
    </row>
    <row r="202" customFormat="false" ht="15" hidden="false" customHeight="false" outlineLevel="0" collapsed="false">
      <c r="J202" s="0" t="str">
        <f aca="true">IF(A202="","",IF(OR(E202="Rejected",E202="Expired"),"ACTION NEEDED",IF(AND(B202="Yes",E202="Not Started"),"ACTION NEEDED",IF(AND(E202="In Hand",H202&lt;&gt;"",H202-TODAY()&lt;=30,H202-TODAY()&gt;=0),"EXPIRING SOON",""))))</f>
        <v/>
      </c>
      <c r="M202" s="13" t="str">
        <f aca="false">IF(A202="","",MAX(F202+0,G202+0))</f>
        <v/>
      </c>
      <c r="N202" s="0" t="str">
        <f aca="true">IF(A202="","",IF(OR(E202="In Hand",E202="Rejected"),"",TODAY()-M202))</f>
        <v/>
      </c>
    </row>
    <row r="203" customFormat="false" ht="15" hidden="false" customHeight="false" outlineLevel="0" collapsed="false">
      <c r="J203" s="0" t="str">
        <f aca="true">IF(A203="","",IF(OR(E203="Rejected",E203="Expired"),"ACTION NEEDED",IF(AND(B203="Yes",E203="Not Started"),"ACTION NEEDED",IF(AND(E203="In Hand",H203&lt;&gt;"",H203-TODAY()&lt;=30,H203-TODAY()&gt;=0),"EXPIRING SOON",""))))</f>
        <v/>
      </c>
      <c r="M203" s="13" t="str">
        <f aca="false">IF(A203="","",MAX(F203+0,G203+0))</f>
        <v/>
      </c>
      <c r="N203" s="0" t="str">
        <f aca="true">IF(A203="","",IF(OR(E203="In Hand",E203="Rejected"),"",TODAY()-M203))</f>
        <v/>
      </c>
    </row>
    <row r="204" customFormat="false" ht="15" hidden="false" customHeight="false" outlineLevel="0" collapsed="false">
      <c r="J204" s="0" t="str">
        <f aca="true">IF(A204="","",IF(OR(E204="Rejected",E204="Expired"),"ACTION NEEDED",IF(AND(B204="Yes",E204="Not Started"),"ACTION NEEDED",IF(AND(E204="In Hand",H204&lt;&gt;"",H204-TODAY()&lt;=30,H204-TODAY()&gt;=0),"EXPIRING SOON",""))))</f>
        <v/>
      </c>
      <c r="M204" s="13" t="str">
        <f aca="false">IF(A204="","",MAX(F204+0,G204+0))</f>
        <v/>
      </c>
      <c r="N204" s="0" t="str">
        <f aca="true">IF(A204="","",IF(OR(E204="In Hand",E204="Rejected"),"",TODAY()-M204))</f>
        <v/>
      </c>
    </row>
    <row r="205" customFormat="false" ht="15" hidden="false" customHeight="false" outlineLevel="0" collapsed="false">
      <c r="J205" s="0" t="str">
        <f aca="true">IF(A205="","",IF(OR(E205="Rejected",E205="Expired"),"ACTION NEEDED",IF(AND(B205="Yes",E205="Not Started"),"ACTION NEEDED",IF(AND(E205="In Hand",H205&lt;&gt;"",H205-TODAY()&lt;=30,H205-TODAY()&gt;=0),"EXPIRING SOON",""))))</f>
        <v/>
      </c>
      <c r="M205" s="13" t="str">
        <f aca="false">IF(A205="","",MAX(F205+0,G205+0))</f>
        <v/>
      </c>
      <c r="N205" s="0" t="str">
        <f aca="true">IF(A205="","",IF(OR(E205="In Hand",E205="Rejected"),"",TODAY()-M205))</f>
        <v/>
      </c>
    </row>
    <row r="206" customFormat="false" ht="15" hidden="false" customHeight="false" outlineLevel="0" collapsed="false">
      <c r="J206" s="0" t="str">
        <f aca="true">IF(A206="","",IF(OR(E206="Rejected",E206="Expired"),"ACTION NEEDED",IF(AND(B206="Yes",E206="Not Started"),"ACTION NEEDED",IF(AND(E206="In Hand",H206&lt;&gt;"",H206-TODAY()&lt;=30,H206-TODAY()&gt;=0),"EXPIRING SOON",""))))</f>
        <v/>
      </c>
      <c r="M206" s="13" t="str">
        <f aca="false">IF(A206="","",MAX(F206+0,G206+0))</f>
        <v/>
      </c>
      <c r="N206" s="0" t="str">
        <f aca="true">IF(A206="","",IF(OR(E206="In Hand",E206="Rejected"),"",TODAY()-M206))</f>
        <v/>
      </c>
    </row>
    <row r="207" customFormat="false" ht="15" hidden="false" customHeight="false" outlineLevel="0" collapsed="false">
      <c r="J207" s="0" t="str">
        <f aca="true">IF(A207="","",IF(OR(E207="Rejected",E207="Expired"),"ACTION NEEDED",IF(AND(B207="Yes",E207="Not Started"),"ACTION NEEDED",IF(AND(E207="In Hand",H207&lt;&gt;"",H207-TODAY()&lt;=30,H207-TODAY()&gt;=0),"EXPIRING SOON",""))))</f>
        <v/>
      </c>
      <c r="M207" s="13" t="str">
        <f aca="false">IF(A207="","",MAX(F207+0,G207+0))</f>
        <v/>
      </c>
      <c r="N207" s="0" t="str">
        <f aca="true">IF(A207="","",IF(OR(E207="In Hand",E207="Rejected"),"",TODAY()-M207))</f>
        <v/>
      </c>
    </row>
    <row r="208" customFormat="false" ht="15" hidden="false" customHeight="false" outlineLevel="0" collapsed="false">
      <c r="J208" s="0" t="str">
        <f aca="true">IF(A208="","",IF(OR(E208="Rejected",E208="Expired"),"ACTION NEEDED",IF(AND(B208="Yes",E208="Not Started"),"ACTION NEEDED",IF(AND(E208="In Hand",H208&lt;&gt;"",H208-TODAY()&lt;=30,H208-TODAY()&gt;=0),"EXPIRING SOON",""))))</f>
        <v/>
      </c>
      <c r="M208" s="13" t="str">
        <f aca="false">IF(A208="","",MAX(F208+0,G208+0))</f>
        <v/>
      </c>
      <c r="N208" s="0" t="str">
        <f aca="true">IF(A208="","",IF(OR(E208="In Hand",E208="Rejected"),"",TODAY()-M208))</f>
        <v/>
      </c>
    </row>
    <row r="209" customFormat="false" ht="15" hidden="false" customHeight="false" outlineLevel="0" collapsed="false">
      <c r="J209" s="0" t="str">
        <f aca="true">IF(A209="","",IF(OR(E209="Rejected",E209="Expired"),"ACTION NEEDED",IF(AND(B209="Yes",E209="Not Started"),"ACTION NEEDED",IF(AND(E209="In Hand",H209&lt;&gt;"",H209-TODAY()&lt;=30,H209-TODAY()&gt;=0),"EXPIRING SOON",""))))</f>
        <v/>
      </c>
      <c r="M209" s="13" t="str">
        <f aca="false">IF(A209="","",MAX(F209+0,G209+0))</f>
        <v/>
      </c>
      <c r="N209" s="0" t="str">
        <f aca="true">IF(A209="","",IF(OR(E209="In Hand",E209="Rejected"),"",TODAY()-M209))</f>
        <v/>
      </c>
    </row>
    <row r="210" customFormat="false" ht="15" hidden="false" customHeight="false" outlineLevel="0" collapsed="false">
      <c r="J210" s="0" t="str">
        <f aca="true">IF(A210="","",IF(OR(E210="Rejected",E210="Expired"),"ACTION NEEDED",IF(AND(B210="Yes",E210="Not Started"),"ACTION NEEDED",IF(AND(E210="In Hand",H210&lt;&gt;"",H210-TODAY()&lt;=30,H210-TODAY()&gt;=0),"EXPIRING SOON",""))))</f>
        <v/>
      </c>
      <c r="M210" s="13" t="str">
        <f aca="false">IF(A210="","",MAX(F210+0,G210+0))</f>
        <v/>
      </c>
      <c r="N210" s="0" t="str">
        <f aca="true">IF(A210="","",IF(OR(E210="In Hand",E210="Rejected"),"",TODAY()-M210))</f>
        <v/>
      </c>
    </row>
    <row r="211" customFormat="false" ht="15" hidden="false" customHeight="false" outlineLevel="0" collapsed="false">
      <c r="J211" s="0" t="str">
        <f aca="true">IF(A211="","",IF(OR(E211="Rejected",E211="Expired"),"ACTION NEEDED",IF(AND(B211="Yes",E211="Not Started"),"ACTION NEEDED",IF(AND(E211="In Hand",H211&lt;&gt;"",H211-TODAY()&lt;=30,H211-TODAY()&gt;=0),"EXPIRING SOON",""))))</f>
        <v/>
      </c>
      <c r="M211" s="13" t="str">
        <f aca="false">IF(A211="","",MAX(F211+0,G211+0))</f>
        <v/>
      </c>
      <c r="N211" s="0" t="str">
        <f aca="true">IF(A211="","",IF(OR(E211="In Hand",E211="Rejected"),"",TODAY()-M211))</f>
        <v/>
      </c>
    </row>
    <row r="212" customFormat="false" ht="15" hidden="false" customHeight="false" outlineLevel="0" collapsed="false">
      <c r="J212" s="0" t="str">
        <f aca="true">IF(A212="","",IF(OR(E212="Rejected",E212="Expired"),"ACTION NEEDED",IF(AND(B212="Yes",E212="Not Started"),"ACTION NEEDED",IF(AND(E212="In Hand",H212&lt;&gt;"",H212-TODAY()&lt;=30,H212-TODAY()&gt;=0),"EXPIRING SOON",""))))</f>
        <v/>
      </c>
      <c r="M212" s="13" t="str">
        <f aca="false">IF(A212="","",MAX(F212+0,G212+0))</f>
        <v/>
      </c>
      <c r="N212" s="0" t="str">
        <f aca="true">IF(A212="","",IF(OR(E212="In Hand",E212="Rejected"),"",TODAY()-M212))</f>
        <v/>
      </c>
    </row>
    <row r="213" customFormat="false" ht="15" hidden="false" customHeight="false" outlineLevel="0" collapsed="false">
      <c r="J213" s="0" t="str">
        <f aca="true">IF(A213="","",IF(OR(E213="Rejected",E213="Expired"),"ACTION NEEDED",IF(AND(B213="Yes",E213="Not Started"),"ACTION NEEDED",IF(AND(E213="In Hand",H213&lt;&gt;"",H213-TODAY()&lt;=30,H213-TODAY()&gt;=0),"EXPIRING SOON",""))))</f>
        <v/>
      </c>
      <c r="M213" s="13" t="str">
        <f aca="false">IF(A213="","",MAX(F213+0,G213+0))</f>
        <v/>
      </c>
      <c r="N213" s="0" t="str">
        <f aca="true">IF(A213="","",IF(OR(E213="In Hand",E213="Rejected"),"",TODAY()-M213))</f>
        <v/>
      </c>
    </row>
    <row r="214" customFormat="false" ht="15" hidden="false" customHeight="false" outlineLevel="0" collapsed="false">
      <c r="J214" s="0" t="str">
        <f aca="true">IF(A214="","",IF(OR(E214="Rejected",E214="Expired"),"ACTION NEEDED",IF(AND(B214="Yes",E214="Not Started"),"ACTION NEEDED",IF(AND(E214="In Hand",H214&lt;&gt;"",H214-TODAY()&lt;=30,H214-TODAY()&gt;=0),"EXPIRING SOON",""))))</f>
        <v/>
      </c>
      <c r="M214" s="13" t="str">
        <f aca="false">IF(A214="","",MAX(F214+0,G214+0))</f>
        <v/>
      </c>
      <c r="N214" s="0" t="str">
        <f aca="true">IF(A214="","",IF(OR(E214="In Hand",E214="Rejected"),"",TODAY()-M214))</f>
        <v/>
      </c>
    </row>
    <row r="215" customFormat="false" ht="15" hidden="false" customHeight="false" outlineLevel="0" collapsed="false">
      <c r="J215" s="0" t="str">
        <f aca="true">IF(A215="","",IF(OR(E215="Rejected",E215="Expired"),"ACTION NEEDED",IF(AND(B215="Yes",E215="Not Started"),"ACTION NEEDED",IF(AND(E215="In Hand",H215&lt;&gt;"",H215-TODAY()&lt;=30,H215-TODAY()&gt;=0),"EXPIRING SOON",""))))</f>
        <v/>
      </c>
      <c r="M215" s="13" t="str">
        <f aca="false">IF(A215="","",MAX(F215+0,G215+0))</f>
        <v/>
      </c>
      <c r="N215" s="0" t="str">
        <f aca="true">IF(A215="","",IF(OR(E215="In Hand",E215="Rejected"),"",TODAY()-M215))</f>
        <v/>
      </c>
    </row>
    <row r="216" customFormat="false" ht="15" hidden="false" customHeight="false" outlineLevel="0" collapsed="false">
      <c r="J216" s="0" t="str">
        <f aca="true">IF(A216="","",IF(OR(E216="Rejected",E216="Expired"),"ACTION NEEDED",IF(AND(B216="Yes",E216="Not Started"),"ACTION NEEDED",IF(AND(E216="In Hand",H216&lt;&gt;"",H216-TODAY()&lt;=30,H216-TODAY()&gt;=0),"EXPIRING SOON",""))))</f>
        <v/>
      </c>
      <c r="M216" s="13" t="str">
        <f aca="false">IF(A216="","",MAX(F216+0,G216+0))</f>
        <v/>
      </c>
      <c r="N216" s="0" t="str">
        <f aca="true">IF(A216="","",IF(OR(E216="In Hand",E216="Rejected"),"",TODAY()-M216))</f>
        <v/>
      </c>
    </row>
    <row r="217" customFormat="false" ht="15" hidden="false" customHeight="false" outlineLevel="0" collapsed="false">
      <c r="J217" s="0" t="str">
        <f aca="true">IF(A217="","",IF(OR(E217="Rejected",E217="Expired"),"ACTION NEEDED",IF(AND(B217="Yes",E217="Not Started"),"ACTION NEEDED",IF(AND(E217="In Hand",H217&lt;&gt;"",H217-TODAY()&lt;=30,H217-TODAY()&gt;=0),"EXPIRING SOON",""))))</f>
        <v/>
      </c>
      <c r="M217" s="13" t="str">
        <f aca="false">IF(A217="","",MAX(F217+0,G217+0))</f>
        <v/>
      </c>
      <c r="N217" s="0" t="str">
        <f aca="true">IF(A217="","",IF(OR(E217="In Hand",E217="Rejected"),"",TODAY()-M217))</f>
        <v/>
      </c>
    </row>
    <row r="218" customFormat="false" ht="15" hidden="false" customHeight="false" outlineLevel="0" collapsed="false">
      <c r="J218" s="0" t="str">
        <f aca="true">IF(A218="","",IF(OR(E218="Rejected",E218="Expired"),"ACTION NEEDED",IF(AND(B218="Yes",E218="Not Started"),"ACTION NEEDED",IF(AND(E218="In Hand",H218&lt;&gt;"",H218-TODAY()&lt;=30,H218-TODAY()&gt;=0),"EXPIRING SOON",""))))</f>
        <v/>
      </c>
      <c r="M218" s="13" t="str">
        <f aca="false">IF(A218="","",MAX(F218+0,G218+0))</f>
        <v/>
      </c>
      <c r="N218" s="0" t="str">
        <f aca="true">IF(A218="","",IF(OR(E218="In Hand",E218="Rejected"),"",TODAY()-M218))</f>
        <v/>
      </c>
    </row>
    <row r="219" customFormat="false" ht="15" hidden="false" customHeight="false" outlineLevel="0" collapsed="false">
      <c r="J219" s="0" t="str">
        <f aca="true">IF(A219="","",IF(OR(E219="Rejected",E219="Expired"),"ACTION NEEDED",IF(AND(B219="Yes",E219="Not Started"),"ACTION NEEDED",IF(AND(E219="In Hand",H219&lt;&gt;"",H219-TODAY()&lt;=30,H219-TODAY()&gt;=0),"EXPIRING SOON",""))))</f>
        <v/>
      </c>
      <c r="M219" s="13" t="str">
        <f aca="false">IF(A219="","",MAX(F219+0,G219+0))</f>
        <v/>
      </c>
      <c r="N219" s="0" t="str">
        <f aca="true">IF(A219="","",IF(OR(E219="In Hand",E219="Rejected"),"",TODAY()-M219))</f>
        <v/>
      </c>
    </row>
    <row r="220" customFormat="false" ht="15" hidden="false" customHeight="false" outlineLevel="0" collapsed="false">
      <c r="J220" s="0" t="str">
        <f aca="true">IF(A220="","",IF(OR(E220="Rejected",E220="Expired"),"ACTION NEEDED",IF(AND(B220="Yes",E220="Not Started"),"ACTION NEEDED",IF(AND(E220="In Hand",H220&lt;&gt;"",H220-TODAY()&lt;=30,H220-TODAY()&gt;=0),"EXPIRING SOON",""))))</f>
        <v/>
      </c>
      <c r="M220" s="13" t="str">
        <f aca="false">IF(A220="","",MAX(F220+0,G220+0))</f>
        <v/>
      </c>
      <c r="N220" s="0" t="str">
        <f aca="true">IF(A220="","",IF(OR(E220="In Hand",E220="Rejected"),"",TODAY()-M220))</f>
        <v/>
      </c>
    </row>
    <row r="221" customFormat="false" ht="15" hidden="false" customHeight="false" outlineLevel="0" collapsed="false">
      <c r="J221" s="0" t="str">
        <f aca="true">IF(A221="","",IF(OR(E221="Rejected",E221="Expired"),"ACTION NEEDED",IF(AND(B221="Yes",E221="Not Started"),"ACTION NEEDED",IF(AND(E221="In Hand",H221&lt;&gt;"",H221-TODAY()&lt;=30,H221-TODAY()&gt;=0),"EXPIRING SOON",""))))</f>
        <v/>
      </c>
      <c r="M221" s="13" t="str">
        <f aca="false">IF(A221="","",MAX(F221+0,G221+0))</f>
        <v/>
      </c>
      <c r="N221" s="0" t="str">
        <f aca="true">IF(A221="","",IF(OR(E221="In Hand",E221="Rejected"),"",TODAY()-M221))</f>
        <v/>
      </c>
    </row>
    <row r="222" customFormat="false" ht="15" hidden="false" customHeight="false" outlineLevel="0" collapsed="false">
      <c r="J222" s="0" t="str">
        <f aca="true">IF(A222="","",IF(OR(E222="Rejected",E222="Expired"),"ACTION NEEDED",IF(AND(B222="Yes",E222="Not Started"),"ACTION NEEDED",IF(AND(E222="In Hand",H222&lt;&gt;"",H222-TODAY()&lt;=30,H222-TODAY()&gt;=0),"EXPIRING SOON",""))))</f>
        <v/>
      </c>
      <c r="M222" s="13" t="str">
        <f aca="false">IF(A222="","",MAX(F222+0,G222+0))</f>
        <v/>
      </c>
      <c r="N222" s="0" t="str">
        <f aca="true">IF(A222="","",IF(OR(E222="In Hand",E222="Rejected"),"",TODAY()-M222))</f>
        <v/>
      </c>
    </row>
    <row r="223" customFormat="false" ht="15" hidden="false" customHeight="false" outlineLevel="0" collapsed="false">
      <c r="J223" s="0" t="str">
        <f aca="true">IF(A223="","",IF(OR(E223="Rejected",E223="Expired"),"ACTION NEEDED",IF(AND(B223="Yes",E223="Not Started"),"ACTION NEEDED",IF(AND(E223="In Hand",H223&lt;&gt;"",H223-TODAY()&lt;=30,H223-TODAY()&gt;=0),"EXPIRING SOON",""))))</f>
        <v/>
      </c>
      <c r="M223" s="13" t="str">
        <f aca="false">IF(A223="","",MAX(F223+0,G223+0))</f>
        <v/>
      </c>
      <c r="N223" s="0" t="str">
        <f aca="true">IF(A223="","",IF(OR(E223="In Hand",E223="Rejected"),"",TODAY()-M223))</f>
        <v/>
      </c>
    </row>
    <row r="224" customFormat="false" ht="15" hidden="false" customHeight="false" outlineLevel="0" collapsed="false">
      <c r="J224" s="0" t="str">
        <f aca="true">IF(A224="","",IF(OR(E224="Rejected",E224="Expired"),"ACTION NEEDED",IF(AND(B224="Yes",E224="Not Started"),"ACTION NEEDED",IF(AND(E224="In Hand",H224&lt;&gt;"",H224-TODAY()&lt;=30,H224-TODAY()&gt;=0),"EXPIRING SOON",""))))</f>
        <v/>
      </c>
      <c r="M224" s="13" t="str">
        <f aca="false">IF(A224="","",MAX(F224+0,G224+0))</f>
        <v/>
      </c>
      <c r="N224" s="0" t="str">
        <f aca="true">IF(A224="","",IF(OR(E224="In Hand",E224="Rejected"),"",TODAY()-M224))</f>
        <v/>
      </c>
    </row>
    <row r="225" customFormat="false" ht="15" hidden="false" customHeight="false" outlineLevel="0" collapsed="false">
      <c r="J225" s="0" t="str">
        <f aca="true">IF(A225="","",IF(OR(E225="Rejected",E225="Expired"),"ACTION NEEDED",IF(AND(B225="Yes",E225="Not Started"),"ACTION NEEDED",IF(AND(E225="In Hand",H225&lt;&gt;"",H225-TODAY()&lt;=30,H225-TODAY()&gt;=0),"EXPIRING SOON",""))))</f>
        <v/>
      </c>
      <c r="M225" s="13" t="str">
        <f aca="false">IF(A225="","",MAX(F225+0,G225+0))</f>
        <v/>
      </c>
      <c r="N225" s="0" t="str">
        <f aca="true">IF(A225="","",IF(OR(E225="In Hand",E225="Rejected"),"",TODAY()-M225))</f>
        <v/>
      </c>
    </row>
    <row r="226" customFormat="false" ht="15" hidden="false" customHeight="false" outlineLevel="0" collapsed="false">
      <c r="J226" s="0" t="str">
        <f aca="true">IF(A226="","",IF(OR(E226="Rejected",E226="Expired"),"ACTION NEEDED",IF(AND(B226="Yes",E226="Not Started"),"ACTION NEEDED",IF(AND(E226="In Hand",H226&lt;&gt;"",H226-TODAY()&lt;=30,H226-TODAY()&gt;=0),"EXPIRING SOON",""))))</f>
        <v/>
      </c>
      <c r="M226" s="13" t="str">
        <f aca="false">IF(A226="","",MAX(F226+0,G226+0))</f>
        <v/>
      </c>
      <c r="N226" s="0" t="str">
        <f aca="true">IF(A226="","",IF(OR(E226="In Hand",E226="Rejected"),"",TODAY()-M226))</f>
        <v/>
      </c>
    </row>
    <row r="227" customFormat="false" ht="15" hidden="false" customHeight="false" outlineLevel="0" collapsed="false">
      <c r="J227" s="0" t="str">
        <f aca="true">IF(A227="","",IF(OR(E227="Rejected",E227="Expired"),"ACTION NEEDED",IF(AND(B227="Yes",E227="Not Started"),"ACTION NEEDED",IF(AND(E227="In Hand",H227&lt;&gt;"",H227-TODAY()&lt;=30,H227-TODAY()&gt;=0),"EXPIRING SOON",""))))</f>
        <v/>
      </c>
      <c r="M227" s="13" t="str">
        <f aca="false">IF(A227="","",MAX(F227+0,G227+0))</f>
        <v/>
      </c>
      <c r="N227" s="0" t="str">
        <f aca="true">IF(A227="","",IF(OR(E227="In Hand",E227="Rejected"),"",TODAY()-M227))</f>
        <v/>
      </c>
    </row>
    <row r="228" customFormat="false" ht="15" hidden="false" customHeight="false" outlineLevel="0" collapsed="false">
      <c r="J228" s="0" t="str">
        <f aca="true">IF(A228="","",IF(OR(E228="Rejected",E228="Expired"),"ACTION NEEDED",IF(AND(B228="Yes",E228="Not Started"),"ACTION NEEDED",IF(AND(E228="In Hand",H228&lt;&gt;"",H228-TODAY()&lt;=30,H228-TODAY()&gt;=0),"EXPIRING SOON",""))))</f>
        <v/>
      </c>
      <c r="M228" s="13" t="str">
        <f aca="false">IF(A228="","",MAX(F228+0,G228+0))</f>
        <v/>
      </c>
      <c r="N228" s="0" t="str">
        <f aca="true">IF(A228="","",IF(OR(E228="In Hand",E228="Rejected"),"",TODAY()-M228))</f>
        <v/>
      </c>
    </row>
    <row r="229" customFormat="false" ht="15" hidden="false" customHeight="false" outlineLevel="0" collapsed="false">
      <c r="J229" s="0" t="str">
        <f aca="true">IF(A229="","",IF(OR(E229="Rejected",E229="Expired"),"ACTION NEEDED",IF(AND(B229="Yes",E229="Not Started"),"ACTION NEEDED",IF(AND(E229="In Hand",H229&lt;&gt;"",H229-TODAY()&lt;=30,H229-TODAY()&gt;=0),"EXPIRING SOON",""))))</f>
        <v/>
      </c>
      <c r="M229" s="13" t="str">
        <f aca="false">IF(A229="","",MAX(F229+0,G229+0))</f>
        <v/>
      </c>
      <c r="N229" s="0" t="str">
        <f aca="true">IF(A229="","",IF(OR(E229="In Hand",E229="Rejected"),"",TODAY()-M229))</f>
        <v/>
      </c>
    </row>
    <row r="230" customFormat="false" ht="15" hidden="false" customHeight="false" outlineLevel="0" collapsed="false">
      <c r="J230" s="0" t="str">
        <f aca="true">IF(A230="","",IF(OR(E230="Rejected",E230="Expired"),"ACTION NEEDED",IF(AND(B230="Yes",E230="Not Started"),"ACTION NEEDED",IF(AND(E230="In Hand",H230&lt;&gt;"",H230-TODAY()&lt;=30,H230-TODAY()&gt;=0),"EXPIRING SOON",""))))</f>
        <v/>
      </c>
      <c r="M230" s="13" t="str">
        <f aca="false">IF(A230="","",MAX(F230+0,G230+0))</f>
        <v/>
      </c>
      <c r="N230" s="0" t="str">
        <f aca="true">IF(A230="","",IF(OR(E230="In Hand",E230="Rejected"),"",TODAY()-M230))</f>
        <v/>
      </c>
    </row>
    <row r="231" customFormat="false" ht="15" hidden="false" customHeight="false" outlineLevel="0" collapsed="false">
      <c r="J231" s="0" t="str">
        <f aca="true">IF(A231="","",IF(OR(E231="Rejected",E231="Expired"),"ACTION NEEDED",IF(AND(B231="Yes",E231="Not Started"),"ACTION NEEDED",IF(AND(E231="In Hand",H231&lt;&gt;"",H231-TODAY()&lt;=30,H231-TODAY()&gt;=0),"EXPIRING SOON",""))))</f>
        <v/>
      </c>
      <c r="M231" s="13" t="str">
        <f aca="false">IF(A231="","",MAX(F231+0,G231+0))</f>
        <v/>
      </c>
      <c r="N231" s="0" t="str">
        <f aca="true">IF(A231="","",IF(OR(E231="In Hand",E231="Rejected"),"",TODAY()-M231))</f>
        <v/>
      </c>
    </row>
    <row r="232" customFormat="false" ht="15" hidden="false" customHeight="false" outlineLevel="0" collapsed="false">
      <c r="J232" s="0" t="str">
        <f aca="true">IF(A232="","",IF(OR(E232="Rejected",E232="Expired"),"ACTION NEEDED",IF(AND(B232="Yes",E232="Not Started"),"ACTION NEEDED",IF(AND(E232="In Hand",H232&lt;&gt;"",H232-TODAY()&lt;=30,H232-TODAY()&gt;=0),"EXPIRING SOON",""))))</f>
        <v/>
      </c>
      <c r="M232" s="13" t="str">
        <f aca="false">IF(A232="","",MAX(F232+0,G232+0))</f>
        <v/>
      </c>
      <c r="N232" s="0" t="str">
        <f aca="true">IF(A232="","",IF(OR(E232="In Hand",E232="Rejected"),"",TODAY()-M232))</f>
        <v/>
      </c>
    </row>
    <row r="233" customFormat="false" ht="15" hidden="false" customHeight="false" outlineLevel="0" collapsed="false">
      <c r="J233" s="0" t="str">
        <f aca="true">IF(A233="","",IF(OR(E233="Rejected",E233="Expired"),"ACTION NEEDED",IF(AND(B233="Yes",E233="Not Started"),"ACTION NEEDED",IF(AND(E233="In Hand",H233&lt;&gt;"",H233-TODAY()&lt;=30,H233-TODAY()&gt;=0),"EXPIRING SOON",""))))</f>
        <v/>
      </c>
      <c r="M233" s="13" t="str">
        <f aca="false">IF(A233="","",MAX(F233+0,G233+0))</f>
        <v/>
      </c>
      <c r="N233" s="0" t="str">
        <f aca="true">IF(A233="","",IF(OR(E233="In Hand",E233="Rejected"),"",TODAY()-M233))</f>
        <v/>
      </c>
    </row>
    <row r="234" customFormat="false" ht="15" hidden="false" customHeight="false" outlineLevel="0" collapsed="false">
      <c r="J234" s="0" t="str">
        <f aca="true">IF(A234="","",IF(OR(E234="Rejected",E234="Expired"),"ACTION NEEDED",IF(AND(B234="Yes",E234="Not Started"),"ACTION NEEDED",IF(AND(E234="In Hand",H234&lt;&gt;"",H234-TODAY()&lt;=30,H234-TODAY()&gt;=0),"EXPIRING SOON",""))))</f>
        <v/>
      </c>
      <c r="M234" s="13" t="str">
        <f aca="false">IF(A234="","",MAX(F234+0,G234+0))</f>
        <v/>
      </c>
      <c r="N234" s="0" t="str">
        <f aca="true">IF(A234="","",IF(OR(E234="In Hand",E234="Rejected"),"",TODAY()-M234))</f>
        <v/>
      </c>
    </row>
    <row r="235" customFormat="false" ht="15" hidden="false" customHeight="false" outlineLevel="0" collapsed="false">
      <c r="J235" s="0" t="str">
        <f aca="true">IF(A235="","",IF(OR(E235="Rejected",E235="Expired"),"ACTION NEEDED",IF(AND(B235="Yes",E235="Not Started"),"ACTION NEEDED",IF(AND(E235="In Hand",H235&lt;&gt;"",H235-TODAY()&lt;=30,H235-TODAY()&gt;=0),"EXPIRING SOON",""))))</f>
        <v/>
      </c>
      <c r="M235" s="13" t="str">
        <f aca="false">IF(A235="","",MAX(F235+0,G235+0))</f>
        <v/>
      </c>
      <c r="N235" s="0" t="str">
        <f aca="true">IF(A235="","",IF(OR(E235="In Hand",E235="Rejected"),"",TODAY()-M235))</f>
        <v/>
      </c>
    </row>
    <row r="236" customFormat="false" ht="15" hidden="false" customHeight="false" outlineLevel="0" collapsed="false">
      <c r="J236" s="0" t="str">
        <f aca="true">IF(A236="","",IF(OR(E236="Rejected",E236="Expired"),"ACTION NEEDED",IF(AND(B236="Yes",E236="Not Started"),"ACTION NEEDED",IF(AND(E236="In Hand",H236&lt;&gt;"",H236-TODAY()&lt;=30,H236-TODAY()&gt;=0),"EXPIRING SOON",""))))</f>
        <v/>
      </c>
      <c r="M236" s="13" t="str">
        <f aca="false">IF(A236="","",MAX(F236+0,G236+0))</f>
        <v/>
      </c>
      <c r="N236" s="0" t="str">
        <f aca="true">IF(A236="","",IF(OR(E236="In Hand",E236="Rejected"),"",TODAY()-M236))</f>
        <v/>
      </c>
    </row>
    <row r="237" customFormat="false" ht="15" hidden="false" customHeight="false" outlineLevel="0" collapsed="false">
      <c r="J237" s="0" t="str">
        <f aca="true">IF(A237="","",IF(OR(E237="Rejected",E237="Expired"),"ACTION NEEDED",IF(AND(B237="Yes",E237="Not Started"),"ACTION NEEDED",IF(AND(E237="In Hand",H237&lt;&gt;"",H237-TODAY()&lt;=30,H237-TODAY()&gt;=0),"EXPIRING SOON",""))))</f>
        <v/>
      </c>
      <c r="M237" s="13" t="str">
        <f aca="false">IF(A237="","",MAX(F237+0,G237+0))</f>
        <v/>
      </c>
      <c r="N237" s="0" t="str">
        <f aca="true">IF(A237="","",IF(OR(E237="In Hand",E237="Rejected"),"",TODAY()-M237))</f>
        <v/>
      </c>
    </row>
    <row r="238" customFormat="false" ht="15" hidden="false" customHeight="false" outlineLevel="0" collapsed="false">
      <c r="J238" s="0" t="str">
        <f aca="true">IF(A238="","",IF(OR(E238="Rejected",E238="Expired"),"ACTION NEEDED",IF(AND(B238="Yes",E238="Not Started"),"ACTION NEEDED",IF(AND(E238="In Hand",H238&lt;&gt;"",H238-TODAY()&lt;=30,H238-TODAY()&gt;=0),"EXPIRING SOON",""))))</f>
        <v/>
      </c>
      <c r="M238" s="13" t="str">
        <f aca="false">IF(A238="","",MAX(F238+0,G238+0))</f>
        <v/>
      </c>
      <c r="N238" s="0" t="str">
        <f aca="true">IF(A238="","",IF(OR(E238="In Hand",E238="Rejected"),"",TODAY()-M238))</f>
        <v/>
      </c>
    </row>
    <row r="239" customFormat="false" ht="15" hidden="false" customHeight="false" outlineLevel="0" collapsed="false">
      <c r="J239" s="0" t="str">
        <f aca="true">IF(A239="","",IF(OR(E239="Rejected",E239="Expired"),"ACTION NEEDED",IF(AND(B239="Yes",E239="Not Started"),"ACTION NEEDED",IF(AND(E239="In Hand",H239&lt;&gt;"",H239-TODAY()&lt;=30,H239-TODAY()&gt;=0),"EXPIRING SOON",""))))</f>
        <v/>
      </c>
      <c r="M239" s="13" t="str">
        <f aca="false">IF(A239="","",MAX(F239+0,G239+0))</f>
        <v/>
      </c>
      <c r="N239" s="0" t="str">
        <f aca="true">IF(A239="","",IF(OR(E239="In Hand",E239="Rejected"),"",TODAY()-M239))</f>
        <v/>
      </c>
    </row>
    <row r="240" customFormat="false" ht="15" hidden="false" customHeight="false" outlineLevel="0" collapsed="false">
      <c r="J240" s="0" t="str">
        <f aca="true">IF(A240="","",IF(OR(E240="Rejected",E240="Expired"),"ACTION NEEDED",IF(AND(B240="Yes",E240="Not Started"),"ACTION NEEDED",IF(AND(E240="In Hand",H240&lt;&gt;"",H240-TODAY()&lt;=30,H240-TODAY()&gt;=0),"EXPIRING SOON",""))))</f>
        <v/>
      </c>
      <c r="M240" s="13" t="str">
        <f aca="false">IF(A240="","",MAX(F240+0,G240+0))</f>
        <v/>
      </c>
      <c r="N240" s="0" t="str">
        <f aca="true">IF(A240="","",IF(OR(E240="In Hand",E240="Rejected"),"",TODAY()-M240))</f>
        <v/>
      </c>
    </row>
    <row r="241" customFormat="false" ht="15" hidden="false" customHeight="false" outlineLevel="0" collapsed="false">
      <c r="J241" s="0" t="str">
        <f aca="true">IF(A241="","",IF(OR(E241="Rejected",E241="Expired"),"ACTION NEEDED",IF(AND(B241="Yes",E241="Not Started"),"ACTION NEEDED",IF(AND(E241="In Hand",H241&lt;&gt;"",H241-TODAY()&lt;=30,H241-TODAY()&gt;=0),"EXPIRING SOON",""))))</f>
        <v/>
      </c>
      <c r="M241" s="13" t="str">
        <f aca="false">IF(A241="","",MAX(F241+0,G241+0))</f>
        <v/>
      </c>
      <c r="N241" s="0" t="str">
        <f aca="true">IF(A241="","",IF(OR(E241="In Hand",E241="Rejected"),"",TODAY()-M241))</f>
        <v/>
      </c>
    </row>
    <row r="242" customFormat="false" ht="15" hidden="false" customHeight="false" outlineLevel="0" collapsed="false">
      <c r="J242" s="0" t="str">
        <f aca="true">IF(A242="","",IF(OR(E242="Rejected",E242="Expired"),"ACTION NEEDED",IF(AND(B242="Yes",E242="Not Started"),"ACTION NEEDED",IF(AND(E242="In Hand",H242&lt;&gt;"",H242-TODAY()&lt;=30,H242-TODAY()&gt;=0),"EXPIRING SOON",""))))</f>
        <v/>
      </c>
      <c r="M242" s="13" t="str">
        <f aca="false">IF(A242="","",MAX(F242+0,G242+0))</f>
        <v/>
      </c>
      <c r="N242" s="0" t="str">
        <f aca="true">IF(A242="","",IF(OR(E242="In Hand",E242="Rejected"),"",TODAY()-M242))</f>
        <v/>
      </c>
    </row>
    <row r="243" customFormat="false" ht="15" hidden="false" customHeight="false" outlineLevel="0" collapsed="false">
      <c r="J243" s="0" t="str">
        <f aca="true">IF(A243="","",IF(OR(E243="Rejected",E243="Expired"),"ACTION NEEDED",IF(AND(B243="Yes",E243="Not Started"),"ACTION NEEDED",IF(AND(E243="In Hand",H243&lt;&gt;"",H243-TODAY()&lt;=30,H243-TODAY()&gt;=0),"EXPIRING SOON",""))))</f>
        <v/>
      </c>
      <c r="M243" s="13" t="str">
        <f aca="false">IF(A243="","",MAX(F243+0,G243+0))</f>
        <v/>
      </c>
      <c r="N243" s="0" t="str">
        <f aca="true">IF(A243="","",IF(OR(E243="In Hand",E243="Rejected"),"",TODAY()-M243))</f>
        <v/>
      </c>
    </row>
    <row r="244" customFormat="false" ht="15" hidden="false" customHeight="false" outlineLevel="0" collapsed="false">
      <c r="J244" s="0" t="str">
        <f aca="true">IF(A244="","",IF(OR(E244="Rejected",E244="Expired"),"ACTION NEEDED",IF(AND(B244="Yes",E244="Not Started"),"ACTION NEEDED",IF(AND(E244="In Hand",H244&lt;&gt;"",H244-TODAY()&lt;=30,H244-TODAY()&gt;=0),"EXPIRING SOON",""))))</f>
        <v/>
      </c>
      <c r="M244" s="13" t="str">
        <f aca="false">IF(A244="","",MAX(F244+0,G244+0))</f>
        <v/>
      </c>
      <c r="N244" s="0" t="str">
        <f aca="true">IF(A244="","",IF(OR(E244="In Hand",E244="Rejected"),"",TODAY()-M244))</f>
        <v/>
      </c>
    </row>
    <row r="245" customFormat="false" ht="15" hidden="false" customHeight="false" outlineLevel="0" collapsed="false">
      <c r="J245" s="0" t="str">
        <f aca="true">IF(A245="","",IF(OR(E245="Rejected",E245="Expired"),"ACTION NEEDED",IF(AND(B245="Yes",E245="Not Started"),"ACTION NEEDED",IF(AND(E245="In Hand",H245&lt;&gt;"",H245-TODAY()&lt;=30,H245-TODAY()&gt;=0),"EXPIRING SOON",""))))</f>
        <v/>
      </c>
      <c r="M245" s="13" t="str">
        <f aca="false">IF(A245="","",MAX(F245+0,G245+0))</f>
        <v/>
      </c>
      <c r="N245" s="0" t="str">
        <f aca="true">IF(A245="","",IF(OR(E245="In Hand",E245="Rejected"),"",TODAY()-M245))</f>
        <v/>
      </c>
    </row>
    <row r="246" customFormat="false" ht="15" hidden="false" customHeight="false" outlineLevel="0" collapsed="false">
      <c r="J246" s="0" t="str">
        <f aca="true">IF(A246="","",IF(OR(E246="Rejected",E246="Expired"),"ACTION NEEDED",IF(AND(B246="Yes",E246="Not Started"),"ACTION NEEDED",IF(AND(E246="In Hand",H246&lt;&gt;"",H246-TODAY()&lt;=30,H246-TODAY()&gt;=0),"EXPIRING SOON",""))))</f>
        <v/>
      </c>
      <c r="M246" s="13" t="str">
        <f aca="false">IF(A246="","",MAX(F246+0,G246+0))</f>
        <v/>
      </c>
      <c r="N246" s="0" t="str">
        <f aca="true">IF(A246="","",IF(OR(E246="In Hand",E246="Rejected"),"",TODAY()-M246))</f>
        <v/>
      </c>
    </row>
    <row r="247" customFormat="false" ht="15" hidden="false" customHeight="false" outlineLevel="0" collapsed="false">
      <c r="J247" s="0" t="str">
        <f aca="true">IF(A247="","",IF(OR(E247="Rejected",E247="Expired"),"ACTION NEEDED",IF(AND(B247="Yes",E247="Not Started"),"ACTION NEEDED",IF(AND(E247="In Hand",H247&lt;&gt;"",H247-TODAY()&lt;=30,H247-TODAY()&gt;=0),"EXPIRING SOON",""))))</f>
        <v/>
      </c>
      <c r="M247" s="13" t="str">
        <f aca="false">IF(A247="","",MAX(F247+0,G247+0))</f>
        <v/>
      </c>
      <c r="N247" s="0" t="str">
        <f aca="true">IF(A247="","",IF(OR(E247="In Hand",E247="Rejected"),"",TODAY()-M247))</f>
        <v/>
      </c>
    </row>
    <row r="248" customFormat="false" ht="15" hidden="false" customHeight="false" outlineLevel="0" collapsed="false">
      <c r="J248" s="0" t="str">
        <f aca="true">IF(A248="","",IF(OR(E248="Rejected",E248="Expired"),"ACTION NEEDED",IF(AND(B248="Yes",E248="Not Started"),"ACTION NEEDED",IF(AND(E248="In Hand",H248&lt;&gt;"",H248-TODAY()&lt;=30,H248-TODAY()&gt;=0),"EXPIRING SOON",""))))</f>
        <v/>
      </c>
      <c r="M248" s="13" t="str">
        <f aca="false">IF(A248="","",MAX(F248+0,G248+0))</f>
        <v/>
      </c>
      <c r="N248" s="0" t="str">
        <f aca="true">IF(A248="","",IF(OR(E248="In Hand",E248="Rejected"),"",TODAY()-M248))</f>
        <v/>
      </c>
    </row>
    <row r="249" customFormat="false" ht="15" hidden="false" customHeight="false" outlineLevel="0" collapsed="false">
      <c r="J249" s="0" t="str">
        <f aca="true">IF(A249="","",IF(OR(E249="Rejected",E249="Expired"),"ACTION NEEDED",IF(AND(B249="Yes",E249="Not Started"),"ACTION NEEDED",IF(AND(E249="In Hand",H249&lt;&gt;"",H249-TODAY()&lt;=30,H249-TODAY()&gt;=0),"EXPIRING SOON",""))))</f>
        <v/>
      </c>
      <c r="M249" s="13" t="str">
        <f aca="false">IF(A249="","",MAX(F249+0,G249+0))</f>
        <v/>
      </c>
      <c r="N249" s="0" t="str">
        <f aca="true">IF(A249="","",IF(OR(E249="In Hand",E249="Rejected"),"",TODAY()-M249))</f>
        <v/>
      </c>
    </row>
    <row r="250" customFormat="false" ht="15" hidden="false" customHeight="false" outlineLevel="0" collapsed="false">
      <c r="J250" s="0" t="str">
        <f aca="true">IF(A250="","",IF(OR(E250="Rejected",E250="Expired"),"ACTION NEEDED",IF(AND(B250="Yes",E250="Not Started"),"ACTION NEEDED",IF(AND(E250="In Hand",H250&lt;&gt;"",H250-TODAY()&lt;=30,H250-TODAY()&gt;=0),"EXPIRING SOON",""))))</f>
        <v/>
      </c>
      <c r="M250" s="13" t="str">
        <f aca="false">IF(A250="","",MAX(F250+0,G250+0))</f>
        <v/>
      </c>
      <c r="N250" s="0" t="str">
        <f aca="true">IF(A250="","",IF(OR(E250="In Hand",E250="Rejected"),"",TODAY()-M250))</f>
        <v/>
      </c>
    </row>
    <row r="251" customFormat="false" ht="15" hidden="false" customHeight="false" outlineLevel="0" collapsed="false">
      <c r="J251" s="0" t="str">
        <f aca="true">IF(A251="","",IF(OR(E251="Rejected",E251="Expired"),"ACTION NEEDED",IF(AND(B251="Yes",E251="Not Started"),"ACTION NEEDED",IF(AND(E251="In Hand",H251&lt;&gt;"",H251-TODAY()&lt;=30,H251-TODAY()&gt;=0),"EXPIRING SOON",""))))</f>
        <v/>
      </c>
      <c r="M251" s="13" t="str">
        <f aca="false">IF(A251="","",MAX(F251+0,G251+0))</f>
        <v/>
      </c>
      <c r="N251" s="0" t="str">
        <f aca="true">IF(A251="","",IF(OR(E251="In Hand",E251="Rejected"),"",TODAY()-M251))</f>
        <v/>
      </c>
    </row>
    <row r="252" customFormat="false" ht="15" hidden="false" customHeight="false" outlineLevel="0" collapsed="false">
      <c r="J252" s="0" t="str">
        <f aca="true">IF(A252="","",IF(OR(E252="Rejected",E252="Expired"),"ACTION NEEDED",IF(AND(B252="Yes",E252="Not Started"),"ACTION NEEDED",IF(AND(E252="In Hand",H252&lt;&gt;"",H252-TODAY()&lt;=30,H252-TODAY()&gt;=0),"EXPIRING SOON",""))))</f>
        <v/>
      </c>
      <c r="M252" s="13" t="str">
        <f aca="false">IF(A252="","",MAX(F252+0,G252+0))</f>
        <v/>
      </c>
      <c r="N252" s="0" t="str">
        <f aca="true">IF(A252="","",IF(OR(E252="In Hand",E252="Rejected"),"",TODAY()-M252))</f>
        <v/>
      </c>
    </row>
    <row r="253" customFormat="false" ht="15" hidden="false" customHeight="false" outlineLevel="0" collapsed="false">
      <c r="J253" s="0" t="str">
        <f aca="true">IF(A253="","",IF(OR(E253="Rejected",E253="Expired"),"ACTION NEEDED",IF(AND(B253="Yes",E253="Not Started"),"ACTION NEEDED",IF(AND(E253="In Hand",H253&lt;&gt;"",H253-TODAY()&lt;=30,H253-TODAY()&gt;=0),"EXPIRING SOON",""))))</f>
        <v/>
      </c>
      <c r="M253" s="13" t="str">
        <f aca="false">IF(A253="","",MAX(F253+0,G253+0))</f>
        <v/>
      </c>
      <c r="N253" s="0" t="str">
        <f aca="true">IF(A253="","",IF(OR(E253="In Hand",E253="Rejected"),"",TODAY()-M253))</f>
        <v/>
      </c>
    </row>
    <row r="254" customFormat="false" ht="15" hidden="false" customHeight="false" outlineLevel="0" collapsed="false">
      <c r="J254" s="0" t="str">
        <f aca="true">IF(A254="","",IF(OR(E254="Rejected",E254="Expired"),"ACTION NEEDED",IF(AND(B254="Yes",E254="Not Started"),"ACTION NEEDED",IF(AND(E254="In Hand",H254&lt;&gt;"",H254-TODAY()&lt;=30,H254-TODAY()&gt;=0),"EXPIRING SOON",""))))</f>
        <v/>
      </c>
      <c r="M254" s="13" t="str">
        <f aca="false">IF(A254="","",MAX(F254+0,G254+0))</f>
        <v/>
      </c>
      <c r="N254" s="0" t="str">
        <f aca="true">IF(A254="","",IF(OR(E254="In Hand",E254="Rejected"),"",TODAY()-M254))</f>
        <v/>
      </c>
    </row>
    <row r="255" customFormat="false" ht="15" hidden="false" customHeight="false" outlineLevel="0" collapsed="false">
      <c r="J255" s="0" t="str">
        <f aca="true">IF(A255="","",IF(OR(E255="Rejected",E255="Expired"),"ACTION NEEDED",IF(AND(B255="Yes",E255="Not Started"),"ACTION NEEDED",IF(AND(E255="In Hand",H255&lt;&gt;"",H255-TODAY()&lt;=30,H255-TODAY()&gt;=0),"EXPIRING SOON",""))))</f>
        <v/>
      </c>
      <c r="M255" s="13" t="str">
        <f aca="false">IF(A255="","",MAX(F255+0,G255+0))</f>
        <v/>
      </c>
      <c r="N255" s="0" t="str">
        <f aca="true">IF(A255="","",IF(OR(E255="In Hand",E255="Rejected"),"",TODAY()-M255))</f>
        <v/>
      </c>
    </row>
    <row r="256" customFormat="false" ht="15" hidden="false" customHeight="false" outlineLevel="0" collapsed="false">
      <c r="J256" s="0" t="str">
        <f aca="true">IF(A256="","",IF(OR(E256="Rejected",E256="Expired"),"ACTION NEEDED",IF(AND(B256="Yes",E256="Not Started"),"ACTION NEEDED",IF(AND(E256="In Hand",H256&lt;&gt;"",H256-TODAY()&lt;=30,H256-TODAY()&gt;=0),"EXPIRING SOON",""))))</f>
        <v/>
      </c>
      <c r="M256" s="13" t="str">
        <f aca="false">IF(A256="","",MAX(F256+0,G256+0))</f>
        <v/>
      </c>
      <c r="N256" s="0" t="str">
        <f aca="true">IF(A256="","",IF(OR(E256="In Hand",E256="Rejected"),"",TODAY()-M256))</f>
        <v/>
      </c>
    </row>
    <row r="257" customFormat="false" ht="15" hidden="false" customHeight="false" outlineLevel="0" collapsed="false">
      <c r="J257" s="0" t="str">
        <f aca="true">IF(A257="","",IF(OR(E257="Rejected",E257="Expired"),"ACTION NEEDED",IF(AND(B257="Yes",E257="Not Started"),"ACTION NEEDED",IF(AND(E257="In Hand",H257&lt;&gt;"",H257-TODAY()&lt;=30,H257-TODAY()&gt;=0),"EXPIRING SOON",""))))</f>
        <v/>
      </c>
      <c r="M257" s="13" t="str">
        <f aca="false">IF(A257="","",MAX(F257+0,G257+0))</f>
        <v/>
      </c>
      <c r="N257" s="0" t="str">
        <f aca="true">IF(A257="","",IF(OR(E257="In Hand",E257="Rejected"),"",TODAY()-M257))</f>
        <v/>
      </c>
    </row>
    <row r="258" customFormat="false" ht="15" hidden="false" customHeight="false" outlineLevel="0" collapsed="false">
      <c r="J258" s="0" t="str">
        <f aca="true">IF(A258="","",IF(OR(E258="Rejected",E258="Expired"),"ACTION NEEDED",IF(AND(B258="Yes",E258="Not Started"),"ACTION NEEDED",IF(AND(E258="In Hand",H258&lt;&gt;"",H258-TODAY()&lt;=30,H258-TODAY()&gt;=0),"EXPIRING SOON",""))))</f>
        <v/>
      </c>
      <c r="M258" s="13" t="str">
        <f aca="false">IF(A258="","",MAX(F258+0,G258+0))</f>
        <v/>
      </c>
      <c r="N258" s="0" t="str">
        <f aca="true">IF(A258="","",IF(OR(E258="In Hand",E258="Rejected"),"",TODAY()-M258))</f>
        <v/>
      </c>
    </row>
    <row r="259" customFormat="false" ht="15" hidden="false" customHeight="false" outlineLevel="0" collapsed="false">
      <c r="J259" s="0" t="str">
        <f aca="true">IF(A259="","",IF(OR(E259="Rejected",E259="Expired"),"ACTION NEEDED",IF(AND(B259="Yes",E259="Not Started"),"ACTION NEEDED",IF(AND(E259="In Hand",H259&lt;&gt;"",H259-TODAY()&lt;=30,H259-TODAY()&gt;=0),"EXPIRING SOON",""))))</f>
        <v/>
      </c>
      <c r="M259" s="13" t="str">
        <f aca="false">IF(A259="","",MAX(F259+0,G259+0))</f>
        <v/>
      </c>
      <c r="N259" s="0" t="str">
        <f aca="true">IF(A259="","",IF(OR(E259="In Hand",E259="Rejected"),"",TODAY()-M259))</f>
        <v/>
      </c>
    </row>
    <row r="260" customFormat="false" ht="15" hidden="false" customHeight="false" outlineLevel="0" collapsed="false">
      <c r="J260" s="0" t="str">
        <f aca="true">IF(A260="","",IF(OR(E260="Rejected",E260="Expired"),"ACTION NEEDED",IF(AND(B260="Yes",E260="Not Started"),"ACTION NEEDED",IF(AND(E260="In Hand",H260&lt;&gt;"",H260-TODAY()&lt;=30,H260-TODAY()&gt;=0),"EXPIRING SOON",""))))</f>
        <v/>
      </c>
      <c r="M260" s="13" t="str">
        <f aca="false">IF(A260="","",MAX(F260+0,G260+0))</f>
        <v/>
      </c>
      <c r="N260" s="0" t="str">
        <f aca="true">IF(A260="","",IF(OR(E260="In Hand",E260="Rejected"),"",TODAY()-M260))</f>
        <v/>
      </c>
    </row>
    <row r="261" customFormat="false" ht="15" hidden="false" customHeight="false" outlineLevel="0" collapsed="false">
      <c r="J261" s="0" t="str">
        <f aca="true">IF(A261="","",IF(OR(E261="Rejected",E261="Expired"),"ACTION NEEDED",IF(AND(B261="Yes",E261="Not Started"),"ACTION NEEDED",IF(AND(E261="In Hand",H261&lt;&gt;"",H261-TODAY()&lt;=30,H261-TODAY()&gt;=0),"EXPIRING SOON",""))))</f>
        <v/>
      </c>
      <c r="M261" s="13" t="str">
        <f aca="false">IF(A261="","",MAX(F261+0,G261+0))</f>
        <v/>
      </c>
      <c r="N261" s="0" t="str">
        <f aca="true">IF(A261="","",IF(OR(E261="In Hand",E261="Rejected"),"",TODAY()-M261))</f>
        <v/>
      </c>
    </row>
    <row r="262" customFormat="false" ht="15" hidden="false" customHeight="false" outlineLevel="0" collapsed="false">
      <c r="J262" s="0" t="str">
        <f aca="true">IF(A262="","",IF(OR(E262="Rejected",E262="Expired"),"ACTION NEEDED",IF(AND(B262="Yes",E262="Not Started"),"ACTION NEEDED",IF(AND(E262="In Hand",H262&lt;&gt;"",H262-TODAY()&lt;=30,H262-TODAY()&gt;=0),"EXPIRING SOON",""))))</f>
        <v/>
      </c>
      <c r="M262" s="13" t="str">
        <f aca="false">IF(A262="","",MAX(F262+0,G262+0))</f>
        <v/>
      </c>
      <c r="N262" s="0" t="str">
        <f aca="true">IF(A262="","",IF(OR(E262="In Hand",E262="Rejected"),"",TODAY()-M262))</f>
        <v/>
      </c>
    </row>
    <row r="263" customFormat="false" ht="15" hidden="false" customHeight="false" outlineLevel="0" collapsed="false">
      <c r="J263" s="0" t="str">
        <f aca="true">IF(A263="","",IF(OR(E263="Rejected",E263="Expired"),"ACTION NEEDED",IF(AND(B263="Yes",E263="Not Started"),"ACTION NEEDED",IF(AND(E263="In Hand",H263&lt;&gt;"",H263-TODAY()&lt;=30,H263-TODAY()&gt;=0),"EXPIRING SOON",""))))</f>
        <v/>
      </c>
      <c r="M263" s="13" t="str">
        <f aca="false">IF(A263="","",MAX(F263+0,G263+0))</f>
        <v/>
      </c>
      <c r="N263" s="0" t="str">
        <f aca="true">IF(A263="","",IF(OR(E263="In Hand",E263="Rejected"),"",TODAY()-M263))</f>
        <v/>
      </c>
    </row>
    <row r="264" customFormat="false" ht="15" hidden="false" customHeight="false" outlineLevel="0" collapsed="false">
      <c r="J264" s="0" t="str">
        <f aca="true">IF(A264="","",IF(OR(E264="Rejected",E264="Expired"),"ACTION NEEDED",IF(AND(B264="Yes",E264="Not Started"),"ACTION NEEDED",IF(AND(E264="In Hand",H264&lt;&gt;"",H264-TODAY()&lt;=30,H264-TODAY()&gt;=0),"EXPIRING SOON",""))))</f>
        <v/>
      </c>
      <c r="M264" s="13" t="str">
        <f aca="false">IF(A264="","",MAX(F264+0,G264+0))</f>
        <v/>
      </c>
      <c r="N264" s="0" t="str">
        <f aca="true">IF(A264="","",IF(OR(E264="In Hand",E264="Rejected"),"",TODAY()-M264))</f>
        <v/>
      </c>
    </row>
    <row r="265" customFormat="false" ht="15" hidden="false" customHeight="false" outlineLevel="0" collapsed="false">
      <c r="J265" s="0" t="str">
        <f aca="true">IF(A265="","",IF(OR(E265="Rejected",E265="Expired"),"ACTION NEEDED",IF(AND(B265="Yes",E265="Not Started"),"ACTION NEEDED",IF(AND(E265="In Hand",H265&lt;&gt;"",H265-TODAY()&lt;=30,H265-TODAY()&gt;=0),"EXPIRING SOON",""))))</f>
        <v/>
      </c>
      <c r="M265" s="13" t="str">
        <f aca="false">IF(A265="","",MAX(F265+0,G265+0))</f>
        <v/>
      </c>
      <c r="N265" s="0" t="str">
        <f aca="true">IF(A265="","",IF(OR(E265="In Hand",E265="Rejected"),"",TODAY()-M265))</f>
        <v/>
      </c>
    </row>
    <row r="266" customFormat="false" ht="15" hidden="false" customHeight="false" outlineLevel="0" collapsed="false">
      <c r="J266" s="0" t="str">
        <f aca="true">IF(A266="","",IF(OR(E266="Rejected",E266="Expired"),"ACTION NEEDED",IF(AND(B266="Yes",E266="Not Started"),"ACTION NEEDED",IF(AND(E266="In Hand",H266&lt;&gt;"",H266-TODAY()&lt;=30,H266-TODAY()&gt;=0),"EXPIRING SOON",""))))</f>
        <v/>
      </c>
      <c r="M266" s="13" t="str">
        <f aca="false">IF(A266="","",MAX(F266+0,G266+0))</f>
        <v/>
      </c>
      <c r="N266" s="0" t="str">
        <f aca="true">IF(A266="","",IF(OR(E266="In Hand",E266="Rejected"),"",TODAY()-M266))</f>
        <v/>
      </c>
    </row>
    <row r="267" customFormat="false" ht="15" hidden="false" customHeight="false" outlineLevel="0" collapsed="false">
      <c r="J267" s="0" t="str">
        <f aca="true">IF(A267="","",IF(OR(E267="Rejected",E267="Expired"),"ACTION NEEDED",IF(AND(B267="Yes",E267="Not Started"),"ACTION NEEDED",IF(AND(E267="In Hand",H267&lt;&gt;"",H267-TODAY()&lt;=30,H267-TODAY()&gt;=0),"EXPIRING SOON",""))))</f>
        <v/>
      </c>
      <c r="M267" s="13" t="str">
        <f aca="false">IF(A267="","",MAX(F267+0,G267+0))</f>
        <v/>
      </c>
      <c r="N267" s="0" t="str">
        <f aca="true">IF(A267="","",IF(OR(E267="In Hand",E267="Rejected"),"",TODAY()-M267))</f>
        <v/>
      </c>
    </row>
    <row r="268" customFormat="false" ht="15" hidden="false" customHeight="false" outlineLevel="0" collapsed="false">
      <c r="J268" s="0" t="str">
        <f aca="true">IF(A268="","",IF(OR(E268="Rejected",E268="Expired"),"ACTION NEEDED",IF(AND(B268="Yes",E268="Not Started"),"ACTION NEEDED",IF(AND(E268="In Hand",H268&lt;&gt;"",H268-TODAY()&lt;=30,H268-TODAY()&gt;=0),"EXPIRING SOON",""))))</f>
        <v/>
      </c>
      <c r="M268" s="13" t="str">
        <f aca="false">IF(A268="","",MAX(F268+0,G268+0))</f>
        <v/>
      </c>
      <c r="N268" s="0" t="str">
        <f aca="true">IF(A268="","",IF(OR(E268="In Hand",E268="Rejected"),"",TODAY()-M268))</f>
        <v/>
      </c>
    </row>
    <row r="269" customFormat="false" ht="15" hidden="false" customHeight="false" outlineLevel="0" collapsed="false">
      <c r="J269" s="0" t="str">
        <f aca="true">IF(A269="","",IF(OR(E269="Rejected",E269="Expired"),"ACTION NEEDED",IF(AND(B269="Yes",E269="Not Started"),"ACTION NEEDED",IF(AND(E269="In Hand",H269&lt;&gt;"",H269-TODAY()&lt;=30,H269-TODAY()&gt;=0),"EXPIRING SOON",""))))</f>
        <v/>
      </c>
      <c r="M269" s="13" t="str">
        <f aca="false">IF(A269="","",MAX(F269+0,G269+0))</f>
        <v/>
      </c>
      <c r="N269" s="0" t="str">
        <f aca="true">IF(A269="","",IF(OR(E269="In Hand",E269="Rejected"),"",TODAY()-M269))</f>
        <v/>
      </c>
    </row>
    <row r="270" customFormat="false" ht="15" hidden="false" customHeight="false" outlineLevel="0" collapsed="false">
      <c r="J270" s="0" t="str">
        <f aca="true">IF(A270="","",IF(OR(E270="Rejected",E270="Expired"),"ACTION NEEDED",IF(AND(B270="Yes",E270="Not Started"),"ACTION NEEDED",IF(AND(E270="In Hand",H270&lt;&gt;"",H270-TODAY()&lt;=30,H270-TODAY()&gt;=0),"EXPIRING SOON",""))))</f>
        <v/>
      </c>
      <c r="M270" s="13" t="str">
        <f aca="false">IF(A270="","",MAX(F270+0,G270+0))</f>
        <v/>
      </c>
      <c r="N270" s="0" t="str">
        <f aca="true">IF(A270="","",IF(OR(E270="In Hand",E270="Rejected"),"",TODAY()-M270))</f>
        <v/>
      </c>
    </row>
    <row r="271" customFormat="false" ht="15" hidden="false" customHeight="false" outlineLevel="0" collapsed="false">
      <c r="J271" s="0" t="str">
        <f aca="true">IF(A271="","",IF(OR(E271="Rejected",E271="Expired"),"ACTION NEEDED",IF(AND(B271="Yes",E271="Not Started"),"ACTION NEEDED",IF(AND(E271="In Hand",H271&lt;&gt;"",H271-TODAY()&lt;=30,H271-TODAY()&gt;=0),"EXPIRING SOON",""))))</f>
        <v/>
      </c>
      <c r="M271" s="13" t="str">
        <f aca="false">IF(A271="","",MAX(F271+0,G271+0))</f>
        <v/>
      </c>
      <c r="N271" s="0" t="str">
        <f aca="true">IF(A271="","",IF(OR(E271="In Hand",E271="Rejected"),"",TODAY()-M271))</f>
        <v/>
      </c>
    </row>
    <row r="272" customFormat="false" ht="15" hidden="false" customHeight="false" outlineLevel="0" collapsed="false">
      <c r="J272" s="0" t="str">
        <f aca="true">IF(A272="","",IF(OR(E272="Rejected",E272="Expired"),"ACTION NEEDED",IF(AND(B272="Yes",E272="Not Started"),"ACTION NEEDED",IF(AND(E272="In Hand",H272&lt;&gt;"",H272-TODAY()&lt;=30,H272-TODAY()&gt;=0),"EXPIRING SOON",""))))</f>
        <v/>
      </c>
      <c r="M272" s="13" t="str">
        <f aca="false">IF(A272="","",MAX(F272+0,G272+0))</f>
        <v/>
      </c>
      <c r="N272" s="0" t="str">
        <f aca="true">IF(A272="","",IF(OR(E272="In Hand",E272="Rejected"),"",TODAY()-M272))</f>
        <v/>
      </c>
    </row>
    <row r="273" customFormat="false" ht="15" hidden="false" customHeight="false" outlineLevel="0" collapsed="false">
      <c r="J273" s="0" t="str">
        <f aca="true">IF(A273="","",IF(OR(E273="Rejected",E273="Expired"),"ACTION NEEDED",IF(AND(B273="Yes",E273="Not Started"),"ACTION NEEDED",IF(AND(E273="In Hand",H273&lt;&gt;"",H273-TODAY()&lt;=30,H273-TODAY()&gt;=0),"EXPIRING SOON",""))))</f>
        <v/>
      </c>
      <c r="M273" s="13" t="str">
        <f aca="false">IF(A273="","",MAX(F273+0,G273+0))</f>
        <v/>
      </c>
      <c r="N273" s="0" t="str">
        <f aca="true">IF(A273="","",IF(OR(E273="In Hand",E273="Rejected"),"",TODAY()-M273))</f>
        <v/>
      </c>
    </row>
    <row r="274" customFormat="false" ht="15" hidden="false" customHeight="false" outlineLevel="0" collapsed="false">
      <c r="J274" s="0" t="str">
        <f aca="true">IF(A274="","",IF(OR(E274="Rejected",E274="Expired"),"ACTION NEEDED",IF(AND(B274="Yes",E274="Not Started"),"ACTION NEEDED",IF(AND(E274="In Hand",H274&lt;&gt;"",H274-TODAY()&lt;=30,H274-TODAY()&gt;=0),"EXPIRING SOON",""))))</f>
        <v/>
      </c>
      <c r="M274" s="13" t="str">
        <f aca="false">IF(A274="","",MAX(F274+0,G274+0))</f>
        <v/>
      </c>
      <c r="N274" s="0" t="str">
        <f aca="true">IF(A274="","",IF(OR(E274="In Hand",E274="Rejected"),"",TODAY()-M274))</f>
        <v/>
      </c>
    </row>
    <row r="275" customFormat="false" ht="15" hidden="false" customHeight="false" outlineLevel="0" collapsed="false">
      <c r="J275" s="0" t="str">
        <f aca="true">IF(A275="","",IF(OR(E275="Rejected",E275="Expired"),"ACTION NEEDED",IF(AND(B275="Yes",E275="Not Started"),"ACTION NEEDED",IF(AND(E275="In Hand",H275&lt;&gt;"",H275-TODAY()&lt;=30,H275-TODAY()&gt;=0),"EXPIRING SOON",""))))</f>
        <v/>
      </c>
      <c r="M275" s="13" t="str">
        <f aca="false">IF(A275="","",MAX(F275+0,G275+0))</f>
        <v/>
      </c>
      <c r="N275" s="0" t="str">
        <f aca="true">IF(A275="","",IF(OR(E275="In Hand",E275="Rejected"),"",TODAY()-M275))</f>
        <v/>
      </c>
    </row>
    <row r="276" customFormat="false" ht="15" hidden="false" customHeight="false" outlineLevel="0" collapsed="false">
      <c r="J276" s="0" t="str">
        <f aca="true">IF(A276="","",IF(OR(E276="Rejected",E276="Expired"),"ACTION NEEDED",IF(AND(B276="Yes",E276="Not Started"),"ACTION NEEDED",IF(AND(E276="In Hand",H276&lt;&gt;"",H276-TODAY()&lt;=30,H276-TODAY()&gt;=0),"EXPIRING SOON",""))))</f>
        <v/>
      </c>
      <c r="M276" s="13" t="str">
        <f aca="false">IF(A276="","",MAX(F276+0,G276+0))</f>
        <v/>
      </c>
      <c r="N276" s="0" t="str">
        <f aca="true">IF(A276="","",IF(OR(E276="In Hand",E276="Rejected"),"",TODAY()-M276))</f>
        <v/>
      </c>
    </row>
    <row r="277" customFormat="false" ht="15" hidden="false" customHeight="false" outlineLevel="0" collapsed="false">
      <c r="J277" s="0" t="str">
        <f aca="true">IF(A277="","",IF(OR(E277="Rejected",E277="Expired"),"ACTION NEEDED",IF(AND(B277="Yes",E277="Not Started"),"ACTION NEEDED",IF(AND(E277="In Hand",H277&lt;&gt;"",H277-TODAY()&lt;=30,H277-TODAY()&gt;=0),"EXPIRING SOON",""))))</f>
        <v/>
      </c>
      <c r="M277" s="13" t="str">
        <f aca="false">IF(A277="","",MAX(F277+0,G277+0))</f>
        <v/>
      </c>
      <c r="N277" s="0" t="str">
        <f aca="true">IF(A277="","",IF(OR(E277="In Hand",E277="Rejected"),"",TODAY()-M277))</f>
        <v/>
      </c>
    </row>
    <row r="278" customFormat="false" ht="15" hidden="false" customHeight="false" outlineLevel="0" collapsed="false">
      <c r="J278" s="0" t="str">
        <f aca="true">IF(A278="","",IF(OR(E278="Rejected",E278="Expired"),"ACTION NEEDED",IF(AND(B278="Yes",E278="Not Started"),"ACTION NEEDED",IF(AND(E278="In Hand",H278&lt;&gt;"",H278-TODAY()&lt;=30,H278-TODAY()&gt;=0),"EXPIRING SOON",""))))</f>
        <v/>
      </c>
      <c r="M278" s="13" t="str">
        <f aca="false">IF(A278="","",MAX(F278+0,G278+0))</f>
        <v/>
      </c>
      <c r="N278" s="0" t="str">
        <f aca="true">IF(A278="","",IF(OR(E278="In Hand",E278="Rejected"),"",TODAY()-M278))</f>
        <v/>
      </c>
    </row>
    <row r="279" customFormat="false" ht="15" hidden="false" customHeight="false" outlineLevel="0" collapsed="false">
      <c r="J279" s="0" t="str">
        <f aca="true">IF(A279="","",IF(OR(E279="Rejected",E279="Expired"),"ACTION NEEDED",IF(AND(B279="Yes",E279="Not Started"),"ACTION NEEDED",IF(AND(E279="In Hand",H279&lt;&gt;"",H279-TODAY()&lt;=30,H279-TODAY()&gt;=0),"EXPIRING SOON",""))))</f>
        <v/>
      </c>
      <c r="M279" s="13" t="str">
        <f aca="false">IF(A279="","",MAX(F279+0,G279+0))</f>
        <v/>
      </c>
      <c r="N279" s="0" t="str">
        <f aca="true">IF(A279="","",IF(OR(E279="In Hand",E279="Rejected"),"",TODAY()-M279))</f>
        <v/>
      </c>
    </row>
    <row r="280" customFormat="false" ht="15" hidden="false" customHeight="false" outlineLevel="0" collapsed="false">
      <c r="J280" s="0" t="str">
        <f aca="true">IF(A280="","",IF(OR(E280="Rejected",E280="Expired"),"ACTION NEEDED",IF(AND(B280="Yes",E280="Not Started"),"ACTION NEEDED",IF(AND(E280="In Hand",H280&lt;&gt;"",H280-TODAY()&lt;=30,H280-TODAY()&gt;=0),"EXPIRING SOON",""))))</f>
        <v/>
      </c>
      <c r="M280" s="13" t="str">
        <f aca="false">IF(A280="","",MAX(F280+0,G280+0))</f>
        <v/>
      </c>
      <c r="N280" s="0" t="str">
        <f aca="true">IF(A280="","",IF(OR(E280="In Hand",E280="Rejected"),"",TODAY()-M280))</f>
        <v/>
      </c>
    </row>
    <row r="281" customFormat="false" ht="15" hidden="false" customHeight="false" outlineLevel="0" collapsed="false">
      <c r="J281" s="0" t="str">
        <f aca="true">IF(A281="","",IF(OR(E281="Rejected",E281="Expired"),"ACTION NEEDED",IF(AND(B281="Yes",E281="Not Started"),"ACTION NEEDED",IF(AND(E281="In Hand",H281&lt;&gt;"",H281-TODAY()&lt;=30,H281-TODAY()&gt;=0),"EXPIRING SOON",""))))</f>
        <v/>
      </c>
      <c r="M281" s="13" t="str">
        <f aca="false">IF(A281="","",MAX(F281+0,G281+0))</f>
        <v/>
      </c>
      <c r="N281" s="0" t="str">
        <f aca="true">IF(A281="","",IF(OR(E281="In Hand",E281="Rejected"),"",TODAY()-M281))</f>
        <v/>
      </c>
    </row>
    <row r="282" customFormat="false" ht="15" hidden="false" customHeight="false" outlineLevel="0" collapsed="false">
      <c r="J282" s="0" t="str">
        <f aca="true">IF(A282="","",IF(OR(E282="Rejected",E282="Expired"),"ACTION NEEDED",IF(AND(B282="Yes",E282="Not Started"),"ACTION NEEDED",IF(AND(E282="In Hand",H282&lt;&gt;"",H282-TODAY()&lt;=30,H282-TODAY()&gt;=0),"EXPIRING SOON",""))))</f>
        <v/>
      </c>
      <c r="M282" s="13" t="str">
        <f aca="false">IF(A282="","",MAX(F282+0,G282+0))</f>
        <v/>
      </c>
      <c r="N282" s="0" t="str">
        <f aca="true">IF(A282="","",IF(OR(E282="In Hand",E282="Rejected"),"",TODAY()-M282))</f>
        <v/>
      </c>
    </row>
    <row r="283" customFormat="false" ht="15" hidden="false" customHeight="false" outlineLevel="0" collapsed="false">
      <c r="J283" s="0" t="str">
        <f aca="true">IF(A283="","",IF(OR(E283="Rejected",E283="Expired"),"ACTION NEEDED",IF(AND(B283="Yes",E283="Not Started"),"ACTION NEEDED",IF(AND(E283="In Hand",H283&lt;&gt;"",H283-TODAY()&lt;=30,H283-TODAY()&gt;=0),"EXPIRING SOON",""))))</f>
        <v/>
      </c>
      <c r="M283" s="13" t="str">
        <f aca="false">IF(A283="","",MAX(F283+0,G283+0))</f>
        <v/>
      </c>
      <c r="N283" s="0" t="str">
        <f aca="true">IF(A283="","",IF(OR(E283="In Hand",E283="Rejected"),"",TODAY()-M283))</f>
        <v/>
      </c>
    </row>
    <row r="284" customFormat="false" ht="15" hidden="false" customHeight="false" outlineLevel="0" collapsed="false">
      <c r="J284" s="0" t="str">
        <f aca="true">IF(A284="","",IF(OR(E284="Rejected",E284="Expired"),"ACTION NEEDED",IF(AND(B284="Yes",E284="Not Started"),"ACTION NEEDED",IF(AND(E284="In Hand",H284&lt;&gt;"",H284-TODAY()&lt;=30,H284-TODAY()&gt;=0),"EXPIRING SOON",""))))</f>
        <v/>
      </c>
      <c r="M284" s="13" t="str">
        <f aca="false">IF(A284="","",MAX(F284+0,G284+0))</f>
        <v/>
      </c>
      <c r="N284" s="0" t="str">
        <f aca="true">IF(A284="","",IF(OR(E284="In Hand",E284="Rejected"),"",TODAY()-M284))</f>
        <v/>
      </c>
    </row>
    <row r="285" customFormat="false" ht="15" hidden="false" customHeight="false" outlineLevel="0" collapsed="false">
      <c r="J285" s="0" t="str">
        <f aca="true">IF(A285="","",IF(OR(E285="Rejected",E285="Expired"),"ACTION NEEDED",IF(AND(B285="Yes",E285="Not Started"),"ACTION NEEDED",IF(AND(E285="In Hand",H285&lt;&gt;"",H285-TODAY()&lt;=30,H285-TODAY()&gt;=0),"EXPIRING SOON",""))))</f>
        <v/>
      </c>
      <c r="M285" s="13" t="str">
        <f aca="false">IF(A285="","",MAX(F285+0,G285+0))</f>
        <v/>
      </c>
      <c r="N285" s="0" t="str">
        <f aca="true">IF(A285="","",IF(OR(E285="In Hand",E285="Rejected"),"",TODAY()-M285))</f>
        <v/>
      </c>
    </row>
    <row r="286" customFormat="false" ht="15" hidden="false" customHeight="false" outlineLevel="0" collapsed="false">
      <c r="J286" s="0" t="str">
        <f aca="true">IF(A286="","",IF(OR(E286="Rejected",E286="Expired"),"ACTION NEEDED",IF(AND(B286="Yes",E286="Not Started"),"ACTION NEEDED",IF(AND(E286="In Hand",H286&lt;&gt;"",H286-TODAY()&lt;=30,H286-TODAY()&gt;=0),"EXPIRING SOON",""))))</f>
        <v/>
      </c>
      <c r="M286" s="13" t="str">
        <f aca="false">IF(A286="","",MAX(F286+0,G286+0))</f>
        <v/>
      </c>
      <c r="N286" s="0" t="str">
        <f aca="true">IF(A286="","",IF(OR(E286="In Hand",E286="Rejected"),"",TODAY()-M286))</f>
        <v/>
      </c>
    </row>
    <row r="287" customFormat="false" ht="15" hidden="false" customHeight="false" outlineLevel="0" collapsed="false">
      <c r="J287" s="0" t="str">
        <f aca="true">IF(A287="","",IF(OR(E287="Rejected",E287="Expired"),"ACTION NEEDED",IF(AND(B287="Yes",E287="Not Started"),"ACTION NEEDED",IF(AND(E287="In Hand",H287&lt;&gt;"",H287-TODAY()&lt;=30,H287-TODAY()&gt;=0),"EXPIRING SOON",""))))</f>
        <v/>
      </c>
      <c r="M287" s="13" t="str">
        <f aca="false">IF(A287="","",MAX(F287+0,G287+0))</f>
        <v/>
      </c>
      <c r="N287" s="0" t="str">
        <f aca="true">IF(A287="","",IF(OR(E287="In Hand",E287="Rejected"),"",TODAY()-M287))</f>
        <v/>
      </c>
    </row>
    <row r="288" customFormat="false" ht="15" hidden="false" customHeight="false" outlineLevel="0" collapsed="false">
      <c r="J288" s="0" t="str">
        <f aca="true">IF(A288="","",IF(OR(E288="Rejected",E288="Expired"),"ACTION NEEDED",IF(AND(B288="Yes",E288="Not Started"),"ACTION NEEDED",IF(AND(E288="In Hand",H288&lt;&gt;"",H288-TODAY()&lt;=30,H288-TODAY()&gt;=0),"EXPIRING SOON",""))))</f>
        <v/>
      </c>
      <c r="M288" s="13" t="str">
        <f aca="false">IF(A288="","",MAX(F288+0,G288+0))</f>
        <v/>
      </c>
      <c r="N288" s="0" t="str">
        <f aca="true">IF(A288="","",IF(OR(E288="In Hand",E288="Rejected"),"",TODAY()-M288))</f>
        <v/>
      </c>
    </row>
    <row r="289" customFormat="false" ht="15" hidden="false" customHeight="false" outlineLevel="0" collapsed="false">
      <c r="J289" s="0" t="str">
        <f aca="true">IF(A289="","",IF(OR(E289="Rejected",E289="Expired"),"ACTION NEEDED",IF(AND(B289="Yes",E289="Not Started"),"ACTION NEEDED",IF(AND(E289="In Hand",H289&lt;&gt;"",H289-TODAY()&lt;=30,H289-TODAY()&gt;=0),"EXPIRING SOON",""))))</f>
        <v/>
      </c>
      <c r="M289" s="13" t="str">
        <f aca="false">IF(A289="","",MAX(F289+0,G289+0))</f>
        <v/>
      </c>
      <c r="N289" s="0" t="str">
        <f aca="true">IF(A289="","",IF(OR(E289="In Hand",E289="Rejected"),"",TODAY()-M289))</f>
        <v/>
      </c>
    </row>
    <row r="290" customFormat="false" ht="15" hidden="false" customHeight="false" outlineLevel="0" collapsed="false">
      <c r="J290" s="0" t="str">
        <f aca="true">IF(A290="","",IF(OR(E290="Rejected",E290="Expired"),"ACTION NEEDED",IF(AND(B290="Yes",E290="Not Started"),"ACTION NEEDED",IF(AND(E290="In Hand",H290&lt;&gt;"",H290-TODAY()&lt;=30,H290-TODAY()&gt;=0),"EXPIRING SOON",""))))</f>
        <v/>
      </c>
      <c r="M290" s="13" t="str">
        <f aca="false">IF(A290="","",MAX(F290+0,G290+0))</f>
        <v/>
      </c>
      <c r="N290" s="0" t="str">
        <f aca="true">IF(A290="","",IF(OR(E290="In Hand",E290="Rejected"),"",TODAY()-M290))</f>
        <v/>
      </c>
    </row>
    <row r="291" customFormat="false" ht="15" hidden="false" customHeight="false" outlineLevel="0" collapsed="false">
      <c r="J291" s="0" t="str">
        <f aca="true">IF(A291="","",IF(OR(E291="Rejected",E291="Expired"),"ACTION NEEDED",IF(AND(B291="Yes",E291="Not Started"),"ACTION NEEDED",IF(AND(E291="In Hand",H291&lt;&gt;"",H291-TODAY()&lt;=30,H291-TODAY()&gt;=0),"EXPIRING SOON",""))))</f>
        <v/>
      </c>
      <c r="M291" s="13" t="str">
        <f aca="false">IF(A291="","",MAX(F291+0,G291+0))</f>
        <v/>
      </c>
      <c r="N291" s="0" t="str">
        <f aca="true">IF(A291="","",IF(OR(E291="In Hand",E291="Rejected"),"",TODAY()-M291))</f>
        <v/>
      </c>
    </row>
    <row r="292" customFormat="false" ht="15" hidden="false" customHeight="false" outlineLevel="0" collapsed="false">
      <c r="J292" s="0" t="str">
        <f aca="true">IF(A292="","",IF(OR(E292="Rejected",E292="Expired"),"ACTION NEEDED",IF(AND(B292="Yes",E292="Not Started"),"ACTION NEEDED",IF(AND(E292="In Hand",H292&lt;&gt;"",H292-TODAY()&lt;=30,H292-TODAY()&gt;=0),"EXPIRING SOON",""))))</f>
        <v/>
      </c>
      <c r="M292" s="13" t="str">
        <f aca="false">IF(A292="","",MAX(F292+0,G292+0))</f>
        <v/>
      </c>
      <c r="N292" s="0" t="str">
        <f aca="true">IF(A292="","",IF(OR(E292="In Hand",E292="Rejected"),"",TODAY()-M292))</f>
        <v/>
      </c>
    </row>
    <row r="293" customFormat="false" ht="15" hidden="false" customHeight="false" outlineLevel="0" collapsed="false">
      <c r="J293" s="0" t="str">
        <f aca="true">IF(A293="","",IF(OR(E293="Rejected",E293="Expired"),"ACTION NEEDED",IF(AND(B293="Yes",E293="Not Started"),"ACTION NEEDED",IF(AND(E293="In Hand",H293&lt;&gt;"",H293-TODAY()&lt;=30,H293-TODAY()&gt;=0),"EXPIRING SOON",""))))</f>
        <v/>
      </c>
      <c r="M293" s="13" t="str">
        <f aca="false">IF(A293="","",MAX(F293+0,G293+0))</f>
        <v/>
      </c>
      <c r="N293" s="0" t="str">
        <f aca="true">IF(A293="","",IF(OR(E293="In Hand",E293="Rejected"),"",TODAY()-M293))</f>
        <v/>
      </c>
    </row>
    <row r="294" customFormat="false" ht="15" hidden="false" customHeight="false" outlineLevel="0" collapsed="false">
      <c r="J294" s="0" t="str">
        <f aca="true">IF(A294="","",IF(OR(E294="Rejected",E294="Expired"),"ACTION NEEDED",IF(AND(B294="Yes",E294="Not Started"),"ACTION NEEDED",IF(AND(E294="In Hand",H294&lt;&gt;"",H294-TODAY()&lt;=30,H294-TODAY()&gt;=0),"EXPIRING SOON",""))))</f>
        <v/>
      </c>
      <c r="M294" s="13" t="str">
        <f aca="false">IF(A294="","",MAX(F294+0,G294+0))</f>
        <v/>
      </c>
      <c r="N294" s="0" t="str">
        <f aca="true">IF(A294="","",IF(OR(E294="In Hand",E294="Rejected"),"",TODAY()-M294))</f>
        <v/>
      </c>
    </row>
    <row r="295" customFormat="false" ht="15" hidden="false" customHeight="false" outlineLevel="0" collapsed="false">
      <c r="J295" s="0" t="str">
        <f aca="true">IF(A295="","",IF(OR(E295="Rejected",E295="Expired"),"ACTION NEEDED",IF(AND(B295="Yes",E295="Not Started"),"ACTION NEEDED",IF(AND(E295="In Hand",H295&lt;&gt;"",H295-TODAY()&lt;=30,H295-TODAY()&gt;=0),"EXPIRING SOON",""))))</f>
        <v/>
      </c>
      <c r="M295" s="13" t="str">
        <f aca="false">IF(A295="","",MAX(F295+0,G295+0))</f>
        <v/>
      </c>
      <c r="N295" s="0" t="str">
        <f aca="true">IF(A295="","",IF(OR(E295="In Hand",E295="Rejected"),"",TODAY()-M295))</f>
        <v/>
      </c>
    </row>
    <row r="296" customFormat="false" ht="15" hidden="false" customHeight="false" outlineLevel="0" collapsed="false">
      <c r="J296" s="0" t="str">
        <f aca="true">IF(A296="","",IF(OR(E296="Rejected",E296="Expired"),"ACTION NEEDED",IF(AND(B296="Yes",E296="Not Started"),"ACTION NEEDED",IF(AND(E296="In Hand",H296&lt;&gt;"",H296-TODAY()&lt;=30,H296-TODAY()&gt;=0),"EXPIRING SOON",""))))</f>
        <v/>
      </c>
      <c r="M296" s="13" t="str">
        <f aca="false">IF(A296="","",MAX(F296+0,G296+0))</f>
        <v/>
      </c>
      <c r="N296" s="0" t="str">
        <f aca="true">IF(A296="","",IF(OR(E296="In Hand",E296="Rejected"),"",TODAY()-M296))</f>
        <v/>
      </c>
    </row>
    <row r="297" customFormat="false" ht="15" hidden="false" customHeight="false" outlineLevel="0" collapsed="false">
      <c r="J297" s="0" t="str">
        <f aca="true">IF(A297="","",IF(OR(E297="Rejected",E297="Expired"),"ACTION NEEDED",IF(AND(B297="Yes",E297="Not Started"),"ACTION NEEDED",IF(AND(E297="In Hand",H297&lt;&gt;"",H297-TODAY()&lt;=30,H297-TODAY()&gt;=0),"EXPIRING SOON",""))))</f>
        <v/>
      </c>
      <c r="M297" s="13" t="str">
        <f aca="false">IF(A297="","",MAX(F297+0,G297+0))</f>
        <v/>
      </c>
      <c r="N297" s="0" t="str">
        <f aca="true">IF(A297="","",IF(OR(E297="In Hand",E297="Rejected"),"",TODAY()-M297))</f>
        <v/>
      </c>
    </row>
    <row r="298" customFormat="false" ht="15" hidden="false" customHeight="false" outlineLevel="0" collapsed="false">
      <c r="J298" s="0" t="str">
        <f aca="true">IF(A298="","",IF(OR(E298="Rejected",E298="Expired"),"ACTION NEEDED",IF(AND(B298="Yes",E298="Not Started"),"ACTION NEEDED",IF(AND(E298="In Hand",H298&lt;&gt;"",H298-TODAY()&lt;=30,H298-TODAY()&gt;=0),"EXPIRING SOON",""))))</f>
        <v/>
      </c>
      <c r="M298" s="13" t="str">
        <f aca="false">IF(A298="","",MAX(F298+0,G298+0))</f>
        <v/>
      </c>
      <c r="N298" s="0" t="str">
        <f aca="true">IF(A298="","",IF(OR(E298="In Hand",E298="Rejected"),"",TODAY()-M298))</f>
        <v/>
      </c>
    </row>
    <row r="299" customFormat="false" ht="15" hidden="false" customHeight="false" outlineLevel="0" collapsed="false">
      <c r="J299" s="0" t="str">
        <f aca="true">IF(A299="","",IF(OR(E299="Rejected",E299="Expired"),"ACTION NEEDED",IF(AND(B299="Yes",E299="Not Started"),"ACTION NEEDED",IF(AND(E299="In Hand",H299&lt;&gt;"",H299-TODAY()&lt;=30,H299-TODAY()&gt;=0),"EXPIRING SOON",""))))</f>
        <v/>
      </c>
      <c r="M299" s="13" t="str">
        <f aca="false">IF(A299="","",MAX(F299+0,G299+0))</f>
        <v/>
      </c>
      <c r="N299" s="0" t="str">
        <f aca="true">IF(A299="","",IF(OR(E299="In Hand",E299="Rejected"),"",TODAY()-M299))</f>
        <v/>
      </c>
    </row>
    <row r="300" customFormat="false" ht="15" hidden="false" customHeight="false" outlineLevel="0" collapsed="false">
      <c r="J300" s="0" t="str">
        <f aca="true">IF(A300="","",IF(OR(E300="Rejected",E300="Expired"),"ACTION NEEDED",IF(AND(B300="Yes",E300="Not Started"),"ACTION NEEDED",IF(AND(E300="In Hand",H300&lt;&gt;"",H300-TODAY()&lt;=30,H300-TODAY()&gt;=0),"EXPIRING SOON",""))))</f>
        <v/>
      </c>
      <c r="M300" s="13" t="str">
        <f aca="false">IF(A300="","",MAX(F300+0,G300+0))</f>
        <v/>
      </c>
      <c r="N300" s="0" t="str">
        <f aca="true">IF(A300="","",IF(OR(E300="In Hand",E300="Rejected"),"",TODAY()-M300))</f>
        <v/>
      </c>
    </row>
    <row r="301" customFormat="false" ht="15" hidden="false" customHeight="false" outlineLevel="0" collapsed="false">
      <c r="J301" s="0" t="str">
        <f aca="true">IF(A301="","",IF(OR(E301="Rejected",E301="Expired"),"ACTION NEEDED",IF(AND(B301="Yes",E301="Not Started"),"ACTION NEEDED",IF(AND(E301="In Hand",H301&lt;&gt;"",H301-TODAY()&lt;=30,H301-TODAY()&gt;=0),"EXPIRING SOON",""))))</f>
        <v/>
      </c>
      <c r="M301" s="13" t="str">
        <f aca="false">IF(A301="","",MAX(F301+0,G301+0))</f>
        <v/>
      </c>
      <c r="N301" s="0" t="str">
        <f aca="true">IF(A301="","",IF(OR(E301="In Hand",E301="Rejected"),"",TODAY()-M301))</f>
        <v/>
      </c>
    </row>
    <row r="302" customFormat="false" ht="15" hidden="false" customHeight="false" outlineLevel="0" collapsed="false">
      <c r="J302" s="0" t="str">
        <f aca="true">IF(A302="","",IF(OR(E302="Rejected",E302="Expired"),"ACTION NEEDED",IF(AND(B302="Yes",E302="Not Started"),"ACTION NEEDED",IF(AND(E302="In Hand",H302&lt;&gt;"",H302-TODAY()&lt;=30,H302-TODAY()&gt;=0),"EXPIRING SOON",""))))</f>
        <v/>
      </c>
      <c r="M302" s="13" t="str">
        <f aca="false">IF(A302="","",MAX(F302+0,G302+0))</f>
        <v/>
      </c>
      <c r="N302" s="0" t="str">
        <f aca="true">IF(A302="","",IF(OR(E302="In Hand",E302="Rejected"),"",TODAY()-M302))</f>
        <v/>
      </c>
    </row>
    <row r="303" customFormat="false" ht="15" hidden="false" customHeight="false" outlineLevel="0" collapsed="false">
      <c r="J303" s="0" t="str">
        <f aca="true">IF(A303="","",IF(OR(E303="Rejected",E303="Expired"),"ACTION NEEDED",IF(AND(B303="Yes",E303="Not Started"),"ACTION NEEDED",IF(AND(E303="In Hand",H303&lt;&gt;"",H303-TODAY()&lt;=30,H303-TODAY()&gt;=0),"EXPIRING SOON",""))))</f>
        <v/>
      </c>
      <c r="M303" s="13" t="str">
        <f aca="false">IF(A303="","",MAX(F303+0,G303+0))</f>
        <v/>
      </c>
      <c r="N303" s="0" t="str">
        <f aca="true">IF(A303="","",IF(OR(E303="In Hand",E303="Rejected"),"",TODAY()-M303))</f>
        <v/>
      </c>
    </row>
    <row r="308" customFormat="false" ht="15" hidden="false" customHeight="false" outlineLevel="0" collapsed="false">
      <c r="A308" s="3" t="s">
        <v>480</v>
      </c>
    </row>
  </sheetData>
  <conditionalFormatting sqref="J6:J304">
    <cfRule type="cellIs" priority="2" operator="equal" aboveAverage="0" equalAverage="0" bottom="0" percent="0" rank="0" text="" dxfId="1">
      <formula>"ACTION NEEDED"</formula>
    </cfRule>
    <cfRule type="cellIs" priority="3" operator="equal" aboveAverage="0" equalAverage="0" bottom="0" percent="0" rank="0" text="" dxfId="1">
      <formula>"EXPIRING SOON"</formula>
    </cfRule>
  </conditionalFormatting>
  <conditionalFormatting sqref="N6:N304">
    <cfRule type="cellIs" priority="4" operator="greaterThanOrEqual" aboveAverage="0" equalAverage="0" bottom="0" percent="0" rank="0" text="" dxfId="0">
      <formula>14</formula>
    </cfRule>
  </conditionalFormatting>
  <dataValidations count="3">
    <dataValidation allowBlank="true" errorStyle="stop" operator="between" showDropDown="false" showErrorMessage="false" showInputMessage="false" sqref="B6:B500" type="list">
      <formula1>"Yes,No,TBD"</formula1>
      <formula2>0</formula2>
    </dataValidation>
    <dataValidation allowBlank="true" errorStyle="stop" operator="between" showDropDown="false" showErrorMessage="false" showInputMessage="false" sqref="E6:E500" type="list">
      <formula1>"Not Started,Applied,Under Review,In Hand,Rejected,Expired"</formula1>
      <formula2>0</formula2>
    </dataValidation>
    <dataValidation allowBlank="true" errorStyle="stop" operator="between" showDropDown="false" showErrorMessage="false" showInputMessage="false" sqref="L6:L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2:X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1" min="10" style="0" width="13"/>
    <col collapsed="false" customWidth="true" hidden="false" outlineLevel="0" max="12" min="12" style="0" width="22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20"/>
    <col collapsed="false" customWidth="true" hidden="false" outlineLevel="0" max="19" min="18" style="0" width="14"/>
    <col collapsed="false" customWidth="true" hidden="false" outlineLevel="0" max="20" min="20" style="0" width="3"/>
    <col collapsed="false" customWidth="true" hidden="false" outlineLevel="0" max="21" min="21" style="0" width="18"/>
    <col collapsed="false" customWidth="true" hidden="false" outlineLevel="0" max="22" min="22" style="0" width="10"/>
    <col collapsed="false" customWidth="true" hidden="false" outlineLevel="0" max="23" min="23" style="0" width="20"/>
    <col collapsed="false" customWidth="true" hidden="false" outlineLevel="0" max="24" min="24" style="0" width="10"/>
  </cols>
  <sheetData>
    <row r="2" customFormat="false" ht="15" hidden="false" customHeight="false" outlineLevel="0" collapsed="false">
      <c r="B2" s="12" t="s">
        <v>459</v>
      </c>
      <c r="C2" s="0" t="str">
        <f aca="false">IF('Project Info'!C5="","",'Project Info'!C5)</f>
        <v/>
      </c>
      <c r="U2" s="4" t="s">
        <v>481</v>
      </c>
      <c r="V2" s="24" t="n">
        <f aca="false">SUMPRODUCT((A6:A304&lt;&gt;"")*1)</f>
        <v>1</v>
      </c>
      <c r="W2" s="4" t="s">
        <v>482</v>
      </c>
      <c r="X2" s="24" t="n">
        <f aca="false">COUNTIF(M6:M304,"OVERDUE")</f>
        <v>0</v>
      </c>
    </row>
    <row r="3" customFormat="false" ht="15" hidden="false" customHeight="false" outlineLevel="0" collapsed="false">
      <c r="B3" s="12" t="s">
        <v>483</v>
      </c>
      <c r="C3" s="0" t="str">
        <f aca="false">IF('Project Info'!C7="","",'Project Info'!C7)</f>
        <v/>
      </c>
      <c r="U3" s="4" t="s">
        <v>484</v>
      </c>
      <c r="V3" s="24" t="n">
        <f aca="false">COUNTIF(F6:F304,"Not Ordered")</f>
        <v>0</v>
      </c>
      <c r="W3" s="4" t="s">
        <v>485</v>
      </c>
      <c r="X3" s="24" t="n">
        <f aca="false">COUNTIF(F6:F304,"Received")</f>
        <v>0</v>
      </c>
    </row>
    <row r="5" customFormat="false" ht="31.5" hidden="false" customHeight="true" outlineLevel="0" collapsed="false">
      <c r="A5" s="19" t="s">
        <v>486</v>
      </c>
      <c r="B5" s="19" t="s">
        <v>487</v>
      </c>
      <c r="C5" s="19" t="s">
        <v>234</v>
      </c>
      <c r="D5" s="19" t="s">
        <v>488</v>
      </c>
      <c r="E5" s="19" t="s">
        <v>321</v>
      </c>
      <c r="F5" s="19" t="s">
        <v>489</v>
      </c>
      <c r="G5" s="19" t="s">
        <v>490</v>
      </c>
      <c r="H5" s="19" t="s">
        <v>491</v>
      </c>
      <c r="I5" s="19" t="s">
        <v>492</v>
      </c>
      <c r="J5" s="19" t="s">
        <v>493</v>
      </c>
      <c r="K5" s="19" t="s">
        <v>213</v>
      </c>
      <c r="L5" s="19" t="s">
        <v>471</v>
      </c>
      <c r="M5" s="19" t="s">
        <v>472</v>
      </c>
      <c r="N5" s="19" t="s">
        <v>214</v>
      </c>
      <c r="O5" s="19" t="s">
        <v>215</v>
      </c>
      <c r="P5" s="19" t="s">
        <v>494</v>
      </c>
      <c r="Q5" s="19" t="s">
        <v>495</v>
      </c>
      <c r="R5" s="19" t="s">
        <v>218</v>
      </c>
      <c r="S5" s="19" t="s">
        <v>219</v>
      </c>
    </row>
    <row r="6" customFormat="false" ht="15" hidden="false" customHeight="false" outlineLevel="0" collapsed="false">
      <c r="A6" s="20" t="s">
        <v>496</v>
      </c>
      <c r="B6" s="20" t="s">
        <v>497</v>
      </c>
      <c r="C6" s="20" t="s">
        <v>498</v>
      </c>
      <c r="D6" s="20" t="s">
        <v>499</v>
      </c>
      <c r="E6" s="20" t="s">
        <v>384</v>
      </c>
      <c r="F6" s="20" t="s">
        <v>500</v>
      </c>
      <c r="G6" s="20" t="s">
        <v>501</v>
      </c>
      <c r="H6" s="20" t="s">
        <v>502</v>
      </c>
      <c r="I6" s="20" t="s">
        <v>503</v>
      </c>
      <c r="J6" s="20"/>
      <c r="K6" s="20"/>
      <c r="L6" s="20" t="s">
        <v>504</v>
      </c>
      <c r="M6" s="22" t="str">
        <f aca="true">IF(A6="","",IF(AND(F6&lt;&gt;"Received",F6&lt;&gt;"Cancelled",I6&lt;&gt;"",TODAY()&gt;I6),"OVERDUE",""))</f>
        <v/>
      </c>
      <c r="N6" s="20" t="s">
        <v>505</v>
      </c>
      <c r="O6" s="20" t="s">
        <v>252</v>
      </c>
      <c r="P6" s="20" t="s">
        <v>506</v>
      </c>
      <c r="Q6" s="20" t="s">
        <v>507</v>
      </c>
      <c r="R6" s="23" t="n">
        <f aca="false">IF(A6="","",MAX(H6+0,J6+0))</f>
        <v>46245</v>
      </c>
      <c r="S6" s="22" t="n">
        <f aca="true">IF(A6="","",IF(OR(F6="Received",F6="Cancelled"),"",TODAY()-R6))</f>
        <v>48</v>
      </c>
    </row>
    <row r="7" customFormat="false" ht="15" hidden="false" customHeight="false" outlineLevel="0" collapsed="false">
      <c r="M7" s="0" t="str">
        <f aca="true">IF(A7="","",IF(AND(F7&lt;&gt;"Received",F7&lt;&gt;"Cancelled",I7&lt;&gt;"",TODAY()&gt;I7),"OVERDUE",""))</f>
        <v/>
      </c>
      <c r="R7" s="13" t="str">
        <f aca="false">IF(A7="","",MAX(H7+0,J7+0))</f>
        <v/>
      </c>
      <c r="S7" s="0" t="str">
        <f aca="true">IF(A7="","",IF(OR(F7="Received",F7="Cancelled"),"",TODAY()-R7))</f>
        <v/>
      </c>
    </row>
    <row r="8" customFormat="false" ht="15" hidden="false" customHeight="false" outlineLevel="0" collapsed="false">
      <c r="M8" s="0" t="str">
        <f aca="true">IF(A8="","",IF(AND(F8&lt;&gt;"Received",F8&lt;&gt;"Cancelled",I8&lt;&gt;"",TODAY()&gt;I8),"OVERDUE",""))</f>
        <v/>
      </c>
      <c r="R8" s="13" t="str">
        <f aca="false">IF(A8="","",MAX(H8+0,J8+0))</f>
        <v/>
      </c>
      <c r="S8" s="0" t="str">
        <f aca="true">IF(A8="","",IF(OR(F8="Received",F8="Cancelled"),"",TODAY()-R8))</f>
        <v/>
      </c>
    </row>
    <row r="9" customFormat="false" ht="15" hidden="false" customHeight="false" outlineLevel="0" collapsed="false">
      <c r="M9" s="0" t="str">
        <f aca="true">IF(A9="","",IF(AND(F9&lt;&gt;"Received",F9&lt;&gt;"Cancelled",I9&lt;&gt;"",TODAY()&gt;I9),"OVERDUE",""))</f>
        <v/>
      </c>
      <c r="R9" s="13" t="str">
        <f aca="false">IF(A9="","",MAX(H9+0,J9+0))</f>
        <v/>
      </c>
      <c r="S9" s="0" t="str">
        <f aca="true">IF(A9="","",IF(OR(F9="Received",F9="Cancelled"),"",TODAY()-R9))</f>
        <v/>
      </c>
    </row>
    <row r="10" customFormat="false" ht="15" hidden="false" customHeight="false" outlineLevel="0" collapsed="false">
      <c r="M10" s="0" t="str">
        <f aca="true">IF(A10="","",IF(AND(F10&lt;&gt;"Received",F10&lt;&gt;"Cancelled",I10&lt;&gt;"",TODAY()&gt;I10),"OVERDUE",""))</f>
        <v/>
      </c>
      <c r="R10" s="13" t="str">
        <f aca="false">IF(A10="","",MAX(H10+0,J10+0))</f>
        <v/>
      </c>
      <c r="S10" s="0" t="str">
        <f aca="true">IF(A10="","",IF(OR(F10="Received",F10="Cancelled"),"",TODAY()-R10))</f>
        <v/>
      </c>
    </row>
    <row r="11" customFormat="false" ht="15" hidden="false" customHeight="false" outlineLevel="0" collapsed="false">
      <c r="M11" s="0" t="str">
        <f aca="true">IF(A11="","",IF(AND(F11&lt;&gt;"Received",F11&lt;&gt;"Cancelled",I11&lt;&gt;"",TODAY()&gt;I11),"OVERDUE",""))</f>
        <v/>
      </c>
      <c r="R11" s="13" t="str">
        <f aca="false">IF(A11="","",MAX(H11+0,J11+0))</f>
        <v/>
      </c>
      <c r="S11" s="0" t="str">
        <f aca="true">IF(A11="","",IF(OR(F11="Received",F11="Cancelled"),"",TODAY()-R11))</f>
        <v/>
      </c>
    </row>
    <row r="12" customFormat="false" ht="15" hidden="false" customHeight="false" outlineLevel="0" collapsed="false">
      <c r="M12" s="0" t="str">
        <f aca="true">IF(A12="","",IF(AND(F12&lt;&gt;"Received",F12&lt;&gt;"Cancelled",I12&lt;&gt;"",TODAY()&gt;I12),"OVERDUE",""))</f>
        <v/>
      </c>
      <c r="R12" s="13" t="str">
        <f aca="false">IF(A12="","",MAX(H12+0,J12+0))</f>
        <v/>
      </c>
      <c r="S12" s="0" t="str">
        <f aca="true">IF(A12="","",IF(OR(F12="Received",F12="Cancelled"),"",TODAY()-R12))</f>
        <v/>
      </c>
    </row>
    <row r="13" customFormat="false" ht="15" hidden="false" customHeight="false" outlineLevel="0" collapsed="false">
      <c r="M13" s="0" t="str">
        <f aca="true">IF(A13="","",IF(AND(F13&lt;&gt;"Received",F13&lt;&gt;"Cancelled",I13&lt;&gt;"",TODAY()&gt;I13),"OVERDUE",""))</f>
        <v/>
      </c>
      <c r="R13" s="13" t="str">
        <f aca="false">IF(A13="","",MAX(H13+0,J13+0))</f>
        <v/>
      </c>
      <c r="S13" s="0" t="str">
        <f aca="true">IF(A13="","",IF(OR(F13="Received",F13="Cancelled"),"",TODAY()-R13))</f>
        <v/>
      </c>
    </row>
    <row r="14" customFormat="false" ht="15" hidden="false" customHeight="false" outlineLevel="0" collapsed="false">
      <c r="M14" s="0" t="str">
        <f aca="true">IF(A14="","",IF(AND(F14&lt;&gt;"Received",F14&lt;&gt;"Cancelled",I14&lt;&gt;"",TODAY()&gt;I14),"OVERDUE",""))</f>
        <v/>
      </c>
      <c r="R14" s="13" t="str">
        <f aca="false">IF(A14="","",MAX(H14+0,J14+0))</f>
        <v/>
      </c>
      <c r="S14" s="0" t="str">
        <f aca="true">IF(A14="","",IF(OR(F14="Received",F14="Cancelled"),"",TODAY()-R14))</f>
        <v/>
      </c>
    </row>
    <row r="15" customFormat="false" ht="15" hidden="false" customHeight="false" outlineLevel="0" collapsed="false">
      <c r="M15" s="0" t="str">
        <f aca="true">IF(A15="","",IF(AND(F15&lt;&gt;"Received",F15&lt;&gt;"Cancelled",I15&lt;&gt;"",TODAY()&gt;I15),"OVERDUE",""))</f>
        <v/>
      </c>
      <c r="R15" s="13" t="str">
        <f aca="false">IF(A15="","",MAX(H15+0,J15+0))</f>
        <v/>
      </c>
      <c r="S15" s="0" t="str">
        <f aca="true">IF(A15="","",IF(OR(F15="Received",F15="Cancelled"),"",TODAY()-R15))</f>
        <v/>
      </c>
    </row>
    <row r="16" customFormat="false" ht="15" hidden="false" customHeight="false" outlineLevel="0" collapsed="false">
      <c r="M16" s="0" t="str">
        <f aca="true">IF(A16="","",IF(AND(F16&lt;&gt;"Received",F16&lt;&gt;"Cancelled",I16&lt;&gt;"",TODAY()&gt;I16),"OVERDUE",""))</f>
        <v/>
      </c>
      <c r="R16" s="13" t="str">
        <f aca="false">IF(A16="","",MAX(H16+0,J16+0))</f>
        <v/>
      </c>
      <c r="S16" s="0" t="str">
        <f aca="true">IF(A16="","",IF(OR(F16="Received",F16="Cancelled"),"",TODAY()-R16))</f>
        <v/>
      </c>
    </row>
    <row r="17" customFormat="false" ht="15" hidden="false" customHeight="false" outlineLevel="0" collapsed="false">
      <c r="M17" s="0" t="str">
        <f aca="true">IF(A17="","",IF(AND(F17&lt;&gt;"Received",F17&lt;&gt;"Cancelled",I17&lt;&gt;"",TODAY()&gt;I17),"OVERDUE",""))</f>
        <v/>
      </c>
      <c r="R17" s="13" t="str">
        <f aca="false">IF(A17="","",MAX(H17+0,J17+0))</f>
        <v/>
      </c>
      <c r="S17" s="0" t="str">
        <f aca="true">IF(A17="","",IF(OR(F17="Received",F17="Cancelled"),"",TODAY()-R17))</f>
        <v/>
      </c>
    </row>
    <row r="18" customFormat="false" ht="15" hidden="false" customHeight="false" outlineLevel="0" collapsed="false">
      <c r="M18" s="0" t="str">
        <f aca="true">IF(A18="","",IF(AND(F18&lt;&gt;"Received",F18&lt;&gt;"Cancelled",I18&lt;&gt;"",TODAY()&gt;I18),"OVERDUE",""))</f>
        <v/>
      </c>
      <c r="R18" s="13" t="str">
        <f aca="false">IF(A18="","",MAX(H18+0,J18+0))</f>
        <v/>
      </c>
      <c r="S18" s="0" t="str">
        <f aca="true">IF(A18="","",IF(OR(F18="Received",F18="Cancelled"),"",TODAY()-R18))</f>
        <v/>
      </c>
    </row>
    <row r="19" customFormat="false" ht="15" hidden="false" customHeight="false" outlineLevel="0" collapsed="false">
      <c r="M19" s="0" t="str">
        <f aca="true">IF(A19="","",IF(AND(F19&lt;&gt;"Received",F19&lt;&gt;"Cancelled",I19&lt;&gt;"",TODAY()&gt;I19),"OVERDUE",""))</f>
        <v/>
      </c>
      <c r="R19" s="13" t="str">
        <f aca="false">IF(A19="","",MAX(H19+0,J19+0))</f>
        <v/>
      </c>
      <c r="S19" s="0" t="str">
        <f aca="true">IF(A19="","",IF(OR(F19="Received",F19="Cancelled"),"",TODAY()-R19))</f>
        <v/>
      </c>
    </row>
    <row r="20" customFormat="false" ht="15" hidden="false" customHeight="false" outlineLevel="0" collapsed="false">
      <c r="M20" s="0" t="str">
        <f aca="true">IF(A20="","",IF(AND(F20&lt;&gt;"Received",F20&lt;&gt;"Cancelled",I20&lt;&gt;"",TODAY()&gt;I20),"OVERDUE",""))</f>
        <v/>
      </c>
      <c r="R20" s="13" t="str">
        <f aca="false">IF(A20="","",MAX(H20+0,J20+0))</f>
        <v/>
      </c>
      <c r="S20" s="0" t="str">
        <f aca="true">IF(A20="","",IF(OR(F20="Received",F20="Cancelled"),"",TODAY()-R20))</f>
        <v/>
      </c>
    </row>
    <row r="21" customFormat="false" ht="15" hidden="false" customHeight="false" outlineLevel="0" collapsed="false">
      <c r="M21" s="0" t="str">
        <f aca="true">IF(A21="","",IF(AND(F21&lt;&gt;"Received",F21&lt;&gt;"Cancelled",I21&lt;&gt;"",TODAY()&gt;I21),"OVERDUE",""))</f>
        <v/>
      </c>
      <c r="R21" s="13" t="str">
        <f aca="false">IF(A21="","",MAX(H21+0,J21+0))</f>
        <v/>
      </c>
      <c r="S21" s="0" t="str">
        <f aca="true">IF(A21="","",IF(OR(F21="Received",F21="Cancelled"),"",TODAY()-R21))</f>
        <v/>
      </c>
    </row>
    <row r="22" customFormat="false" ht="15" hidden="false" customHeight="false" outlineLevel="0" collapsed="false">
      <c r="M22" s="0" t="str">
        <f aca="true">IF(A22="","",IF(AND(F22&lt;&gt;"Received",F22&lt;&gt;"Cancelled",I22&lt;&gt;"",TODAY()&gt;I22),"OVERDUE",""))</f>
        <v/>
      </c>
      <c r="R22" s="13" t="str">
        <f aca="false">IF(A22="","",MAX(H22+0,J22+0))</f>
        <v/>
      </c>
      <c r="S22" s="0" t="str">
        <f aca="true">IF(A22="","",IF(OR(F22="Received",F22="Cancelled"),"",TODAY()-R22))</f>
        <v/>
      </c>
    </row>
    <row r="23" customFormat="false" ht="15" hidden="false" customHeight="false" outlineLevel="0" collapsed="false">
      <c r="M23" s="0" t="str">
        <f aca="true">IF(A23="","",IF(AND(F23&lt;&gt;"Received",F23&lt;&gt;"Cancelled",I23&lt;&gt;"",TODAY()&gt;I23),"OVERDUE",""))</f>
        <v/>
      </c>
      <c r="R23" s="13" t="str">
        <f aca="false">IF(A23="","",MAX(H23+0,J23+0))</f>
        <v/>
      </c>
      <c r="S23" s="0" t="str">
        <f aca="true">IF(A23="","",IF(OR(F23="Received",F23="Cancelled"),"",TODAY()-R23))</f>
        <v/>
      </c>
    </row>
    <row r="24" customFormat="false" ht="15" hidden="false" customHeight="false" outlineLevel="0" collapsed="false">
      <c r="M24" s="0" t="str">
        <f aca="true">IF(A24="","",IF(AND(F24&lt;&gt;"Received",F24&lt;&gt;"Cancelled",I24&lt;&gt;"",TODAY()&gt;I24),"OVERDUE",""))</f>
        <v/>
      </c>
      <c r="R24" s="13" t="str">
        <f aca="false">IF(A24="","",MAX(H24+0,J24+0))</f>
        <v/>
      </c>
      <c r="S24" s="0" t="str">
        <f aca="true">IF(A24="","",IF(OR(F24="Received",F24="Cancelled"),"",TODAY()-R24))</f>
        <v/>
      </c>
    </row>
    <row r="25" customFormat="false" ht="15" hidden="false" customHeight="false" outlineLevel="0" collapsed="false">
      <c r="M25" s="0" t="str">
        <f aca="true">IF(A25="","",IF(AND(F25&lt;&gt;"Received",F25&lt;&gt;"Cancelled",I25&lt;&gt;"",TODAY()&gt;I25),"OVERDUE",""))</f>
        <v/>
      </c>
      <c r="R25" s="13" t="str">
        <f aca="false">IF(A25="","",MAX(H25+0,J25+0))</f>
        <v/>
      </c>
      <c r="S25" s="0" t="str">
        <f aca="true">IF(A25="","",IF(OR(F25="Received",F25="Cancelled"),"",TODAY()-R25))</f>
        <v/>
      </c>
    </row>
    <row r="26" customFormat="false" ht="15" hidden="false" customHeight="false" outlineLevel="0" collapsed="false">
      <c r="M26" s="0" t="str">
        <f aca="true">IF(A26="","",IF(AND(F26&lt;&gt;"Received",F26&lt;&gt;"Cancelled",I26&lt;&gt;"",TODAY()&gt;I26),"OVERDUE",""))</f>
        <v/>
      </c>
      <c r="R26" s="13" t="str">
        <f aca="false">IF(A26="","",MAX(H26+0,J26+0))</f>
        <v/>
      </c>
      <c r="S26" s="0" t="str">
        <f aca="true">IF(A26="","",IF(OR(F26="Received",F26="Cancelled"),"",TODAY()-R26))</f>
        <v/>
      </c>
    </row>
    <row r="27" customFormat="false" ht="15" hidden="false" customHeight="false" outlineLevel="0" collapsed="false">
      <c r="M27" s="0" t="str">
        <f aca="true">IF(A27="","",IF(AND(F27&lt;&gt;"Received",F27&lt;&gt;"Cancelled",I27&lt;&gt;"",TODAY()&gt;I27),"OVERDUE",""))</f>
        <v/>
      </c>
      <c r="R27" s="13" t="str">
        <f aca="false">IF(A27="","",MAX(H27+0,J27+0))</f>
        <v/>
      </c>
      <c r="S27" s="0" t="str">
        <f aca="true">IF(A27="","",IF(OR(F27="Received",F27="Cancelled"),"",TODAY()-R27))</f>
        <v/>
      </c>
    </row>
    <row r="28" customFormat="false" ht="15" hidden="false" customHeight="false" outlineLevel="0" collapsed="false">
      <c r="M28" s="0" t="str">
        <f aca="true">IF(A28="","",IF(AND(F28&lt;&gt;"Received",F28&lt;&gt;"Cancelled",I28&lt;&gt;"",TODAY()&gt;I28),"OVERDUE",""))</f>
        <v/>
      </c>
      <c r="R28" s="13" t="str">
        <f aca="false">IF(A28="","",MAX(H28+0,J28+0))</f>
        <v/>
      </c>
      <c r="S28" s="0" t="str">
        <f aca="true">IF(A28="","",IF(OR(F28="Received",F28="Cancelled"),"",TODAY()-R28))</f>
        <v/>
      </c>
    </row>
    <row r="29" customFormat="false" ht="15" hidden="false" customHeight="false" outlineLevel="0" collapsed="false">
      <c r="M29" s="0" t="str">
        <f aca="true">IF(A29="","",IF(AND(F29&lt;&gt;"Received",F29&lt;&gt;"Cancelled",I29&lt;&gt;"",TODAY()&gt;I29),"OVERDUE",""))</f>
        <v/>
      </c>
      <c r="R29" s="13" t="str">
        <f aca="false">IF(A29="","",MAX(H29+0,J29+0))</f>
        <v/>
      </c>
      <c r="S29" s="0" t="str">
        <f aca="true">IF(A29="","",IF(OR(F29="Received",F29="Cancelled"),"",TODAY()-R29))</f>
        <v/>
      </c>
    </row>
    <row r="30" customFormat="false" ht="15" hidden="false" customHeight="false" outlineLevel="0" collapsed="false">
      <c r="M30" s="0" t="str">
        <f aca="true">IF(A30="","",IF(AND(F30&lt;&gt;"Received",F30&lt;&gt;"Cancelled",I30&lt;&gt;"",TODAY()&gt;I30),"OVERDUE",""))</f>
        <v/>
      </c>
      <c r="R30" s="13" t="str">
        <f aca="false">IF(A30="","",MAX(H30+0,J30+0))</f>
        <v/>
      </c>
      <c r="S30" s="0" t="str">
        <f aca="true">IF(A30="","",IF(OR(F30="Received",F30="Cancelled"),"",TODAY()-R30))</f>
        <v/>
      </c>
    </row>
    <row r="31" customFormat="false" ht="15" hidden="false" customHeight="false" outlineLevel="0" collapsed="false">
      <c r="M31" s="0" t="str">
        <f aca="true">IF(A31="","",IF(AND(F31&lt;&gt;"Received",F31&lt;&gt;"Cancelled",I31&lt;&gt;"",TODAY()&gt;I31),"OVERDUE",""))</f>
        <v/>
      </c>
      <c r="R31" s="13" t="str">
        <f aca="false">IF(A31="","",MAX(H31+0,J31+0))</f>
        <v/>
      </c>
      <c r="S31" s="0" t="str">
        <f aca="true">IF(A31="","",IF(OR(F31="Received",F31="Cancelled"),"",TODAY()-R31))</f>
        <v/>
      </c>
    </row>
    <row r="32" customFormat="false" ht="15" hidden="false" customHeight="false" outlineLevel="0" collapsed="false">
      <c r="M32" s="0" t="str">
        <f aca="true">IF(A32="","",IF(AND(F32&lt;&gt;"Received",F32&lt;&gt;"Cancelled",I32&lt;&gt;"",TODAY()&gt;I32),"OVERDUE",""))</f>
        <v/>
      </c>
      <c r="R32" s="13" t="str">
        <f aca="false">IF(A32="","",MAX(H32+0,J32+0))</f>
        <v/>
      </c>
      <c r="S32" s="0" t="str">
        <f aca="true">IF(A32="","",IF(OR(F32="Received",F32="Cancelled"),"",TODAY()-R32))</f>
        <v/>
      </c>
    </row>
    <row r="33" customFormat="false" ht="15" hidden="false" customHeight="false" outlineLevel="0" collapsed="false">
      <c r="M33" s="0" t="str">
        <f aca="true">IF(A33="","",IF(AND(F33&lt;&gt;"Received",F33&lt;&gt;"Cancelled",I33&lt;&gt;"",TODAY()&gt;I33),"OVERDUE",""))</f>
        <v/>
      </c>
      <c r="R33" s="13" t="str">
        <f aca="false">IF(A33="","",MAX(H33+0,J33+0))</f>
        <v/>
      </c>
      <c r="S33" s="0" t="str">
        <f aca="true">IF(A33="","",IF(OR(F33="Received",F33="Cancelled"),"",TODAY()-R33))</f>
        <v/>
      </c>
    </row>
    <row r="34" customFormat="false" ht="15" hidden="false" customHeight="false" outlineLevel="0" collapsed="false">
      <c r="M34" s="0" t="str">
        <f aca="true">IF(A34="","",IF(AND(F34&lt;&gt;"Received",F34&lt;&gt;"Cancelled",I34&lt;&gt;"",TODAY()&gt;I34),"OVERDUE",""))</f>
        <v/>
      </c>
      <c r="R34" s="13" t="str">
        <f aca="false">IF(A34="","",MAX(H34+0,J34+0))</f>
        <v/>
      </c>
      <c r="S34" s="0" t="str">
        <f aca="true">IF(A34="","",IF(OR(F34="Received",F34="Cancelled"),"",TODAY()-R34))</f>
        <v/>
      </c>
    </row>
    <row r="35" customFormat="false" ht="15" hidden="false" customHeight="false" outlineLevel="0" collapsed="false">
      <c r="M35" s="0" t="str">
        <f aca="true">IF(A35="","",IF(AND(F35&lt;&gt;"Received",F35&lt;&gt;"Cancelled",I35&lt;&gt;"",TODAY()&gt;I35),"OVERDUE",""))</f>
        <v/>
      </c>
      <c r="R35" s="13" t="str">
        <f aca="false">IF(A35="","",MAX(H35+0,J35+0))</f>
        <v/>
      </c>
      <c r="S35" s="0" t="str">
        <f aca="true">IF(A35="","",IF(OR(F35="Received",F35="Cancelled"),"",TODAY()-R35))</f>
        <v/>
      </c>
    </row>
    <row r="36" customFormat="false" ht="15" hidden="false" customHeight="false" outlineLevel="0" collapsed="false">
      <c r="M36" s="0" t="str">
        <f aca="true">IF(A36="","",IF(AND(F36&lt;&gt;"Received",F36&lt;&gt;"Cancelled",I36&lt;&gt;"",TODAY()&gt;I36),"OVERDUE",""))</f>
        <v/>
      </c>
      <c r="R36" s="13" t="str">
        <f aca="false">IF(A36="","",MAX(H36+0,J36+0))</f>
        <v/>
      </c>
      <c r="S36" s="0" t="str">
        <f aca="true">IF(A36="","",IF(OR(F36="Received",F36="Cancelled"),"",TODAY()-R36))</f>
        <v/>
      </c>
    </row>
    <row r="37" customFormat="false" ht="15" hidden="false" customHeight="false" outlineLevel="0" collapsed="false">
      <c r="M37" s="0" t="str">
        <f aca="true">IF(A37="","",IF(AND(F37&lt;&gt;"Received",F37&lt;&gt;"Cancelled",I37&lt;&gt;"",TODAY()&gt;I37),"OVERDUE",""))</f>
        <v/>
      </c>
      <c r="R37" s="13" t="str">
        <f aca="false">IF(A37="","",MAX(H37+0,J37+0))</f>
        <v/>
      </c>
      <c r="S37" s="0" t="str">
        <f aca="true">IF(A37="","",IF(OR(F37="Received",F37="Cancelled"),"",TODAY()-R37))</f>
        <v/>
      </c>
    </row>
    <row r="38" customFormat="false" ht="15" hidden="false" customHeight="false" outlineLevel="0" collapsed="false">
      <c r="M38" s="0" t="str">
        <f aca="true">IF(A38="","",IF(AND(F38&lt;&gt;"Received",F38&lt;&gt;"Cancelled",I38&lt;&gt;"",TODAY()&gt;I38),"OVERDUE",""))</f>
        <v/>
      </c>
      <c r="R38" s="13" t="str">
        <f aca="false">IF(A38="","",MAX(H38+0,J38+0))</f>
        <v/>
      </c>
      <c r="S38" s="0" t="str">
        <f aca="true">IF(A38="","",IF(OR(F38="Received",F38="Cancelled"),"",TODAY()-R38))</f>
        <v/>
      </c>
    </row>
    <row r="39" customFormat="false" ht="15" hidden="false" customHeight="false" outlineLevel="0" collapsed="false">
      <c r="M39" s="0" t="str">
        <f aca="true">IF(A39="","",IF(AND(F39&lt;&gt;"Received",F39&lt;&gt;"Cancelled",I39&lt;&gt;"",TODAY()&gt;I39),"OVERDUE",""))</f>
        <v/>
      </c>
      <c r="R39" s="13" t="str">
        <f aca="false">IF(A39="","",MAX(H39+0,J39+0))</f>
        <v/>
      </c>
      <c r="S39" s="0" t="str">
        <f aca="true">IF(A39="","",IF(OR(F39="Received",F39="Cancelled"),"",TODAY()-R39))</f>
        <v/>
      </c>
    </row>
    <row r="40" customFormat="false" ht="15" hidden="false" customHeight="false" outlineLevel="0" collapsed="false">
      <c r="M40" s="0" t="str">
        <f aca="true">IF(A40="","",IF(AND(F40&lt;&gt;"Received",F40&lt;&gt;"Cancelled",I40&lt;&gt;"",TODAY()&gt;I40),"OVERDUE",""))</f>
        <v/>
      </c>
      <c r="R40" s="13" t="str">
        <f aca="false">IF(A40="","",MAX(H40+0,J40+0))</f>
        <v/>
      </c>
      <c r="S40" s="0" t="str">
        <f aca="true">IF(A40="","",IF(OR(F40="Received",F40="Cancelled"),"",TODAY()-R40))</f>
        <v/>
      </c>
    </row>
    <row r="41" customFormat="false" ht="15" hidden="false" customHeight="false" outlineLevel="0" collapsed="false">
      <c r="M41" s="0" t="str">
        <f aca="true">IF(A41="","",IF(AND(F41&lt;&gt;"Received",F41&lt;&gt;"Cancelled",I41&lt;&gt;"",TODAY()&gt;I41),"OVERDUE",""))</f>
        <v/>
      </c>
      <c r="R41" s="13" t="str">
        <f aca="false">IF(A41="","",MAX(H41+0,J41+0))</f>
        <v/>
      </c>
      <c r="S41" s="0" t="str">
        <f aca="true">IF(A41="","",IF(OR(F41="Received",F41="Cancelled"),"",TODAY()-R41))</f>
        <v/>
      </c>
    </row>
    <row r="42" customFormat="false" ht="15" hidden="false" customHeight="false" outlineLevel="0" collapsed="false">
      <c r="M42" s="0" t="str">
        <f aca="true">IF(A42="","",IF(AND(F42&lt;&gt;"Received",F42&lt;&gt;"Cancelled",I42&lt;&gt;"",TODAY()&gt;I42),"OVERDUE",""))</f>
        <v/>
      </c>
      <c r="R42" s="13" t="str">
        <f aca="false">IF(A42="","",MAX(H42+0,J42+0))</f>
        <v/>
      </c>
      <c r="S42" s="0" t="str">
        <f aca="true">IF(A42="","",IF(OR(F42="Received",F42="Cancelled"),"",TODAY()-R42))</f>
        <v/>
      </c>
    </row>
    <row r="43" customFormat="false" ht="15" hidden="false" customHeight="false" outlineLevel="0" collapsed="false">
      <c r="M43" s="0" t="str">
        <f aca="true">IF(A43="","",IF(AND(F43&lt;&gt;"Received",F43&lt;&gt;"Cancelled",I43&lt;&gt;"",TODAY()&gt;I43),"OVERDUE",""))</f>
        <v/>
      </c>
      <c r="R43" s="13" t="str">
        <f aca="false">IF(A43="","",MAX(H43+0,J43+0))</f>
        <v/>
      </c>
      <c r="S43" s="0" t="str">
        <f aca="true">IF(A43="","",IF(OR(F43="Received",F43="Cancelled"),"",TODAY()-R43))</f>
        <v/>
      </c>
    </row>
    <row r="44" customFormat="false" ht="15" hidden="false" customHeight="false" outlineLevel="0" collapsed="false">
      <c r="M44" s="0" t="str">
        <f aca="true">IF(A44="","",IF(AND(F44&lt;&gt;"Received",F44&lt;&gt;"Cancelled",I44&lt;&gt;"",TODAY()&gt;I44),"OVERDUE",""))</f>
        <v/>
      </c>
      <c r="R44" s="13" t="str">
        <f aca="false">IF(A44="","",MAX(H44+0,J44+0))</f>
        <v/>
      </c>
      <c r="S44" s="0" t="str">
        <f aca="true">IF(A44="","",IF(OR(F44="Received",F44="Cancelled"),"",TODAY()-R44))</f>
        <v/>
      </c>
    </row>
    <row r="45" customFormat="false" ht="15" hidden="false" customHeight="false" outlineLevel="0" collapsed="false">
      <c r="M45" s="0" t="str">
        <f aca="true">IF(A45="","",IF(AND(F45&lt;&gt;"Received",F45&lt;&gt;"Cancelled",I45&lt;&gt;"",TODAY()&gt;I45),"OVERDUE",""))</f>
        <v/>
      </c>
      <c r="R45" s="13" t="str">
        <f aca="false">IF(A45="","",MAX(H45+0,J45+0))</f>
        <v/>
      </c>
      <c r="S45" s="0" t="str">
        <f aca="true">IF(A45="","",IF(OR(F45="Received",F45="Cancelled"),"",TODAY()-R45))</f>
        <v/>
      </c>
    </row>
    <row r="46" customFormat="false" ht="15" hidden="false" customHeight="false" outlineLevel="0" collapsed="false">
      <c r="M46" s="0" t="str">
        <f aca="true">IF(A46="","",IF(AND(F46&lt;&gt;"Received",F46&lt;&gt;"Cancelled",I46&lt;&gt;"",TODAY()&gt;I46),"OVERDUE",""))</f>
        <v/>
      </c>
      <c r="R46" s="13" t="str">
        <f aca="false">IF(A46="","",MAX(H46+0,J46+0))</f>
        <v/>
      </c>
      <c r="S46" s="0" t="str">
        <f aca="true">IF(A46="","",IF(OR(F46="Received",F46="Cancelled"),"",TODAY()-R46))</f>
        <v/>
      </c>
    </row>
    <row r="47" customFormat="false" ht="15" hidden="false" customHeight="false" outlineLevel="0" collapsed="false">
      <c r="M47" s="0" t="str">
        <f aca="true">IF(A47="","",IF(AND(F47&lt;&gt;"Received",F47&lt;&gt;"Cancelled",I47&lt;&gt;"",TODAY()&gt;I47),"OVERDUE",""))</f>
        <v/>
      </c>
      <c r="R47" s="13" t="str">
        <f aca="false">IF(A47="","",MAX(H47+0,J47+0))</f>
        <v/>
      </c>
      <c r="S47" s="0" t="str">
        <f aca="true">IF(A47="","",IF(OR(F47="Received",F47="Cancelled"),"",TODAY()-R47))</f>
        <v/>
      </c>
    </row>
    <row r="48" customFormat="false" ht="15" hidden="false" customHeight="false" outlineLevel="0" collapsed="false">
      <c r="M48" s="0" t="str">
        <f aca="true">IF(A48="","",IF(AND(F48&lt;&gt;"Received",F48&lt;&gt;"Cancelled",I48&lt;&gt;"",TODAY()&gt;I48),"OVERDUE",""))</f>
        <v/>
      </c>
      <c r="R48" s="13" t="str">
        <f aca="false">IF(A48="","",MAX(H48+0,J48+0))</f>
        <v/>
      </c>
      <c r="S48" s="0" t="str">
        <f aca="true">IF(A48="","",IF(OR(F48="Received",F48="Cancelled"),"",TODAY()-R48))</f>
        <v/>
      </c>
    </row>
    <row r="49" customFormat="false" ht="15" hidden="false" customHeight="false" outlineLevel="0" collapsed="false">
      <c r="M49" s="0" t="str">
        <f aca="true">IF(A49="","",IF(AND(F49&lt;&gt;"Received",F49&lt;&gt;"Cancelled",I49&lt;&gt;"",TODAY()&gt;I49),"OVERDUE",""))</f>
        <v/>
      </c>
      <c r="R49" s="13" t="str">
        <f aca="false">IF(A49="","",MAX(H49+0,J49+0))</f>
        <v/>
      </c>
      <c r="S49" s="0" t="str">
        <f aca="true">IF(A49="","",IF(OR(F49="Received",F49="Cancelled"),"",TODAY()-R49))</f>
        <v/>
      </c>
    </row>
    <row r="50" customFormat="false" ht="15" hidden="false" customHeight="false" outlineLevel="0" collapsed="false">
      <c r="M50" s="0" t="str">
        <f aca="true">IF(A50="","",IF(AND(F50&lt;&gt;"Received",F50&lt;&gt;"Cancelled",I50&lt;&gt;"",TODAY()&gt;I50),"OVERDUE",""))</f>
        <v/>
      </c>
      <c r="R50" s="13" t="str">
        <f aca="false">IF(A50="","",MAX(H50+0,J50+0))</f>
        <v/>
      </c>
      <c r="S50" s="0" t="str">
        <f aca="true">IF(A50="","",IF(OR(F50="Received",F50="Cancelled"),"",TODAY()-R50))</f>
        <v/>
      </c>
    </row>
    <row r="51" customFormat="false" ht="15" hidden="false" customHeight="false" outlineLevel="0" collapsed="false">
      <c r="M51" s="0" t="str">
        <f aca="true">IF(A51="","",IF(AND(F51&lt;&gt;"Received",F51&lt;&gt;"Cancelled",I51&lt;&gt;"",TODAY()&gt;I51),"OVERDUE",""))</f>
        <v/>
      </c>
      <c r="R51" s="13" t="str">
        <f aca="false">IF(A51="","",MAX(H51+0,J51+0))</f>
        <v/>
      </c>
      <c r="S51" s="0" t="str">
        <f aca="true">IF(A51="","",IF(OR(F51="Received",F51="Cancelled"),"",TODAY()-R51))</f>
        <v/>
      </c>
    </row>
    <row r="52" customFormat="false" ht="15" hidden="false" customHeight="false" outlineLevel="0" collapsed="false">
      <c r="M52" s="0" t="str">
        <f aca="true">IF(A52="","",IF(AND(F52&lt;&gt;"Received",F52&lt;&gt;"Cancelled",I52&lt;&gt;"",TODAY()&gt;I52),"OVERDUE",""))</f>
        <v/>
      </c>
      <c r="R52" s="13" t="str">
        <f aca="false">IF(A52="","",MAX(H52+0,J52+0))</f>
        <v/>
      </c>
      <c r="S52" s="0" t="str">
        <f aca="true">IF(A52="","",IF(OR(F52="Received",F52="Cancelled"),"",TODAY()-R52))</f>
        <v/>
      </c>
    </row>
    <row r="53" customFormat="false" ht="15" hidden="false" customHeight="false" outlineLevel="0" collapsed="false">
      <c r="M53" s="0" t="str">
        <f aca="true">IF(A53="","",IF(AND(F53&lt;&gt;"Received",F53&lt;&gt;"Cancelled",I53&lt;&gt;"",TODAY()&gt;I53),"OVERDUE",""))</f>
        <v/>
      </c>
      <c r="R53" s="13" t="str">
        <f aca="false">IF(A53="","",MAX(H53+0,J53+0))</f>
        <v/>
      </c>
      <c r="S53" s="0" t="str">
        <f aca="true">IF(A53="","",IF(OR(F53="Received",F53="Cancelled"),"",TODAY()-R53))</f>
        <v/>
      </c>
    </row>
    <row r="54" customFormat="false" ht="15" hidden="false" customHeight="false" outlineLevel="0" collapsed="false">
      <c r="M54" s="0" t="str">
        <f aca="true">IF(A54="","",IF(AND(F54&lt;&gt;"Received",F54&lt;&gt;"Cancelled",I54&lt;&gt;"",TODAY()&gt;I54),"OVERDUE",""))</f>
        <v/>
      </c>
      <c r="R54" s="13" t="str">
        <f aca="false">IF(A54="","",MAX(H54+0,J54+0))</f>
        <v/>
      </c>
      <c r="S54" s="0" t="str">
        <f aca="true">IF(A54="","",IF(OR(F54="Received",F54="Cancelled"),"",TODAY()-R54))</f>
        <v/>
      </c>
    </row>
    <row r="55" customFormat="false" ht="15" hidden="false" customHeight="false" outlineLevel="0" collapsed="false">
      <c r="M55" s="0" t="str">
        <f aca="true">IF(A55="","",IF(AND(F55&lt;&gt;"Received",F55&lt;&gt;"Cancelled",I55&lt;&gt;"",TODAY()&gt;I55),"OVERDUE",""))</f>
        <v/>
      </c>
      <c r="R55" s="13" t="str">
        <f aca="false">IF(A55="","",MAX(H55+0,J55+0))</f>
        <v/>
      </c>
      <c r="S55" s="0" t="str">
        <f aca="true">IF(A55="","",IF(OR(F55="Received",F55="Cancelled"),"",TODAY()-R55))</f>
        <v/>
      </c>
    </row>
    <row r="56" customFormat="false" ht="15" hidden="false" customHeight="false" outlineLevel="0" collapsed="false">
      <c r="M56" s="0" t="str">
        <f aca="true">IF(A56="","",IF(AND(F56&lt;&gt;"Received",F56&lt;&gt;"Cancelled",I56&lt;&gt;"",TODAY()&gt;I56),"OVERDUE",""))</f>
        <v/>
      </c>
      <c r="R56" s="13" t="str">
        <f aca="false">IF(A56="","",MAX(H56+0,J56+0))</f>
        <v/>
      </c>
      <c r="S56" s="0" t="str">
        <f aca="true">IF(A56="","",IF(OR(F56="Received",F56="Cancelled"),"",TODAY()-R56))</f>
        <v/>
      </c>
    </row>
    <row r="57" customFormat="false" ht="15" hidden="false" customHeight="false" outlineLevel="0" collapsed="false">
      <c r="M57" s="0" t="str">
        <f aca="true">IF(A57="","",IF(AND(F57&lt;&gt;"Received",F57&lt;&gt;"Cancelled",I57&lt;&gt;"",TODAY()&gt;I57),"OVERDUE",""))</f>
        <v/>
      </c>
      <c r="R57" s="13" t="str">
        <f aca="false">IF(A57="","",MAX(H57+0,J57+0))</f>
        <v/>
      </c>
      <c r="S57" s="0" t="str">
        <f aca="true">IF(A57="","",IF(OR(F57="Received",F57="Cancelled"),"",TODAY()-R57))</f>
        <v/>
      </c>
    </row>
    <row r="58" customFormat="false" ht="15" hidden="false" customHeight="false" outlineLevel="0" collapsed="false">
      <c r="M58" s="0" t="str">
        <f aca="true">IF(A58="","",IF(AND(F58&lt;&gt;"Received",F58&lt;&gt;"Cancelled",I58&lt;&gt;"",TODAY()&gt;I58),"OVERDUE",""))</f>
        <v/>
      </c>
      <c r="R58" s="13" t="str">
        <f aca="false">IF(A58="","",MAX(H58+0,J58+0))</f>
        <v/>
      </c>
      <c r="S58" s="0" t="str">
        <f aca="true">IF(A58="","",IF(OR(F58="Received",F58="Cancelled"),"",TODAY()-R58))</f>
        <v/>
      </c>
    </row>
    <row r="59" customFormat="false" ht="15" hidden="false" customHeight="false" outlineLevel="0" collapsed="false">
      <c r="M59" s="0" t="str">
        <f aca="true">IF(A59="","",IF(AND(F59&lt;&gt;"Received",F59&lt;&gt;"Cancelled",I59&lt;&gt;"",TODAY()&gt;I59),"OVERDUE",""))</f>
        <v/>
      </c>
      <c r="R59" s="13" t="str">
        <f aca="false">IF(A59="","",MAX(H59+0,J59+0))</f>
        <v/>
      </c>
      <c r="S59" s="0" t="str">
        <f aca="true">IF(A59="","",IF(OR(F59="Received",F59="Cancelled"),"",TODAY()-R59))</f>
        <v/>
      </c>
    </row>
    <row r="60" customFormat="false" ht="15" hidden="false" customHeight="false" outlineLevel="0" collapsed="false">
      <c r="M60" s="0" t="str">
        <f aca="true">IF(A60="","",IF(AND(F60&lt;&gt;"Received",F60&lt;&gt;"Cancelled",I60&lt;&gt;"",TODAY()&gt;I60),"OVERDUE",""))</f>
        <v/>
      </c>
      <c r="R60" s="13" t="str">
        <f aca="false">IF(A60="","",MAX(H60+0,J60+0))</f>
        <v/>
      </c>
      <c r="S60" s="0" t="str">
        <f aca="true">IF(A60="","",IF(OR(F60="Received",F60="Cancelled"),"",TODAY()-R60))</f>
        <v/>
      </c>
    </row>
    <row r="61" customFormat="false" ht="15" hidden="false" customHeight="false" outlineLevel="0" collapsed="false">
      <c r="M61" s="0" t="str">
        <f aca="true">IF(A61="","",IF(AND(F61&lt;&gt;"Received",F61&lt;&gt;"Cancelled",I61&lt;&gt;"",TODAY()&gt;I61),"OVERDUE",""))</f>
        <v/>
      </c>
      <c r="R61" s="13" t="str">
        <f aca="false">IF(A61="","",MAX(H61+0,J61+0))</f>
        <v/>
      </c>
      <c r="S61" s="0" t="str">
        <f aca="true">IF(A61="","",IF(OR(F61="Received",F61="Cancelled"),"",TODAY()-R61))</f>
        <v/>
      </c>
    </row>
    <row r="62" customFormat="false" ht="15" hidden="false" customHeight="false" outlineLevel="0" collapsed="false">
      <c r="M62" s="0" t="str">
        <f aca="true">IF(A62="","",IF(AND(F62&lt;&gt;"Received",F62&lt;&gt;"Cancelled",I62&lt;&gt;"",TODAY()&gt;I62),"OVERDUE",""))</f>
        <v/>
      </c>
      <c r="R62" s="13" t="str">
        <f aca="false">IF(A62="","",MAX(H62+0,J62+0))</f>
        <v/>
      </c>
      <c r="S62" s="0" t="str">
        <f aca="true">IF(A62="","",IF(OR(F62="Received",F62="Cancelled"),"",TODAY()-R62))</f>
        <v/>
      </c>
    </row>
    <row r="63" customFormat="false" ht="15" hidden="false" customHeight="false" outlineLevel="0" collapsed="false">
      <c r="M63" s="0" t="str">
        <f aca="true">IF(A63="","",IF(AND(F63&lt;&gt;"Received",F63&lt;&gt;"Cancelled",I63&lt;&gt;"",TODAY()&gt;I63),"OVERDUE",""))</f>
        <v/>
      </c>
      <c r="R63" s="13" t="str">
        <f aca="false">IF(A63="","",MAX(H63+0,J63+0))</f>
        <v/>
      </c>
      <c r="S63" s="0" t="str">
        <f aca="true">IF(A63="","",IF(OR(F63="Received",F63="Cancelled"),"",TODAY()-R63))</f>
        <v/>
      </c>
    </row>
    <row r="64" customFormat="false" ht="15" hidden="false" customHeight="false" outlineLevel="0" collapsed="false">
      <c r="M64" s="0" t="str">
        <f aca="true">IF(A64="","",IF(AND(F64&lt;&gt;"Received",F64&lt;&gt;"Cancelled",I64&lt;&gt;"",TODAY()&gt;I64),"OVERDUE",""))</f>
        <v/>
      </c>
      <c r="R64" s="13" t="str">
        <f aca="false">IF(A64="","",MAX(H64+0,J64+0))</f>
        <v/>
      </c>
      <c r="S64" s="0" t="str">
        <f aca="true">IF(A64="","",IF(OR(F64="Received",F64="Cancelled"),"",TODAY()-R64))</f>
        <v/>
      </c>
    </row>
    <row r="65" customFormat="false" ht="15" hidden="false" customHeight="false" outlineLevel="0" collapsed="false">
      <c r="M65" s="0" t="str">
        <f aca="true">IF(A65="","",IF(AND(F65&lt;&gt;"Received",F65&lt;&gt;"Cancelled",I65&lt;&gt;"",TODAY()&gt;I65),"OVERDUE",""))</f>
        <v/>
      </c>
      <c r="R65" s="13" t="str">
        <f aca="false">IF(A65="","",MAX(H65+0,J65+0))</f>
        <v/>
      </c>
      <c r="S65" s="0" t="str">
        <f aca="true">IF(A65="","",IF(OR(F65="Received",F65="Cancelled"),"",TODAY()-R65))</f>
        <v/>
      </c>
    </row>
    <row r="66" customFormat="false" ht="15" hidden="false" customHeight="false" outlineLevel="0" collapsed="false">
      <c r="M66" s="0" t="str">
        <f aca="true">IF(A66="","",IF(AND(F66&lt;&gt;"Received",F66&lt;&gt;"Cancelled",I66&lt;&gt;"",TODAY()&gt;I66),"OVERDUE",""))</f>
        <v/>
      </c>
      <c r="R66" s="13" t="str">
        <f aca="false">IF(A66="","",MAX(H66+0,J66+0))</f>
        <v/>
      </c>
      <c r="S66" s="0" t="str">
        <f aca="true">IF(A66="","",IF(OR(F66="Received",F66="Cancelled"),"",TODAY()-R66))</f>
        <v/>
      </c>
    </row>
    <row r="67" customFormat="false" ht="15" hidden="false" customHeight="false" outlineLevel="0" collapsed="false">
      <c r="M67" s="0" t="str">
        <f aca="true">IF(A67="","",IF(AND(F67&lt;&gt;"Received",F67&lt;&gt;"Cancelled",I67&lt;&gt;"",TODAY()&gt;I67),"OVERDUE",""))</f>
        <v/>
      </c>
      <c r="R67" s="13" t="str">
        <f aca="false">IF(A67="","",MAX(H67+0,J67+0))</f>
        <v/>
      </c>
      <c r="S67" s="0" t="str">
        <f aca="true">IF(A67="","",IF(OR(F67="Received",F67="Cancelled"),"",TODAY()-R67))</f>
        <v/>
      </c>
    </row>
    <row r="68" customFormat="false" ht="15" hidden="false" customHeight="false" outlineLevel="0" collapsed="false">
      <c r="M68" s="0" t="str">
        <f aca="true">IF(A68="","",IF(AND(F68&lt;&gt;"Received",F68&lt;&gt;"Cancelled",I68&lt;&gt;"",TODAY()&gt;I68),"OVERDUE",""))</f>
        <v/>
      </c>
      <c r="R68" s="13" t="str">
        <f aca="false">IF(A68="","",MAX(H68+0,J68+0))</f>
        <v/>
      </c>
      <c r="S68" s="0" t="str">
        <f aca="true">IF(A68="","",IF(OR(F68="Received",F68="Cancelled"),"",TODAY()-R68))</f>
        <v/>
      </c>
    </row>
    <row r="69" customFormat="false" ht="15" hidden="false" customHeight="false" outlineLevel="0" collapsed="false">
      <c r="M69" s="0" t="str">
        <f aca="true">IF(A69="","",IF(AND(F69&lt;&gt;"Received",F69&lt;&gt;"Cancelled",I69&lt;&gt;"",TODAY()&gt;I69),"OVERDUE",""))</f>
        <v/>
      </c>
      <c r="R69" s="13" t="str">
        <f aca="false">IF(A69="","",MAX(H69+0,J69+0))</f>
        <v/>
      </c>
      <c r="S69" s="0" t="str">
        <f aca="true">IF(A69="","",IF(OR(F69="Received",F69="Cancelled"),"",TODAY()-R69))</f>
        <v/>
      </c>
    </row>
    <row r="70" customFormat="false" ht="15" hidden="false" customHeight="false" outlineLevel="0" collapsed="false">
      <c r="M70" s="0" t="str">
        <f aca="true">IF(A70="","",IF(AND(F70&lt;&gt;"Received",F70&lt;&gt;"Cancelled",I70&lt;&gt;"",TODAY()&gt;I70),"OVERDUE",""))</f>
        <v/>
      </c>
      <c r="R70" s="13" t="str">
        <f aca="false">IF(A70="","",MAX(H70+0,J70+0))</f>
        <v/>
      </c>
      <c r="S70" s="0" t="str">
        <f aca="true">IF(A70="","",IF(OR(F70="Received",F70="Cancelled"),"",TODAY()-R70))</f>
        <v/>
      </c>
    </row>
    <row r="71" customFormat="false" ht="15" hidden="false" customHeight="false" outlineLevel="0" collapsed="false">
      <c r="M71" s="0" t="str">
        <f aca="true">IF(A71="","",IF(AND(F71&lt;&gt;"Received",F71&lt;&gt;"Cancelled",I71&lt;&gt;"",TODAY()&gt;I71),"OVERDUE",""))</f>
        <v/>
      </c>
      <c r="R71" s="13" t="str">
        <f aca="false">IF(A71="","",MAX(H71+0,J71+0))</f>
        <v/>
      </c>
      <c r="S71" s="0" t="str">
        <f aca="true">IF(A71="","",IF(OR(F71="Received",F71="Cancelled"),"",TODAY()-R71))</f>
        <v/>
      </c>
    </row>
    <row r="72" customFormat="false" ht="15" hidden="false" customHeight="false" outlineLevel="0" collapsed="false">
      <c r="M72" s="0" t="str">
        <f aca="true">IF(A72="","",IF(AND(F72&lt;&gt;"Received",F72&lt;&gt;"Cancelled",I72&lt;&gt;"",TODAY()&gt;I72),"OVERDUE",""))</f>
        <v/>
      </c>
      <c r="R72" s="13" t="str">
        <f aca="false">IF(A72="","",MAX(H72+0,J72+0))</f>
        <v/>
      </c>
      <c r="S72" s="0" t="str">
        <f aca="true">IF(A72="","",IF(OR(F72="Received",F72="Cancelled"),"",TODAY()-R72))</f>
        <v/>
      </c>
    </row>
    <row r="73" customFormat="false" ht="15" hidden="false" customHeight="false" outlineLevel="0" collapsed="false">
      <c r="M73" s="0" t="str">
        <f aca="true">IF(A73="","",IF(AND(F73&lt;&gt;"Received",F73&lt;&gt;"Cancelled",I73&lt;&gt;"",TODAY()&gt;I73),"OVERDUE",""))</f>
        <v/>
      </c>
      <c r="R73" s="13" t="str">
        <f aca="false">IF(A73="","",MAX(H73+0,J73+0))</f>
        <v/>
      </c>
      <c r="S73" s="0" t="str">
        <f aca="true">IF(A73="","",IF(OR(F73="Received",F73="Cancelled"),"",TODAY()-R73))</f>
        <v/>
      </c>
    </row>
    <row r="74" customFormat="false" ht="15" hidden="false" customHeight="false" outlineLevel="0" collapsed="false">
      <c r="M74" s="0" t="str">
        <f aca="true">IF(A74="","",IF(AND(F74&lt;&gt;"Received",F74&lt;&gt;"Cancelled",I74&lt;&gt;"",TODAY()&gt;I74),"OVERDUE",""))</f>
        <v/>
      </c>
      <c r="R74" s="13" t="str">
        <f aca="false">IF(A74="","",MAX(H74+0,J74+0))</f>
        <v/>
      </c>
      <c r="S74" s="0" t="str">
        <f aca="true">IF(A74="","",IF(OR(F74="Received",F74="Cancelled"),"",TODAY()-R74))</f>
        <v/>
      </c>
    </row>
    <row r="75" customFormat="false" ht="15" hidden="false" customHeight="false" outlineLevel="0" collapsed="false">
      <c r="M75" s="0" t="str">
        <f aca="true">IF(A75="","",IF(AND(F75&lt;&gt;"Received",F75&lt;&gt;"Cancelled",I75&lt;&gt;"",TODAY()&gt;I75),"OVERDUE",""))</f>
        <v/>
      </c>
      <c r="R75" s="13" t="str">
        <f aca="false">IF(A75="","",MAX(H75+0,J75+0))</f>
        <v/>
      </c>
      <c r="S75" s="0" t="str">
        <f aca="true">IF(A75="","",IF(OR(F75="Received",F75="Cancelled"),"",TODAY()-R75))</f>
        <v/>
      </c>
    </row>
    <row r="76" customFormat="false" ht="15" hidden="false" customHeight="false" outlineLevel="0" collapsed="false">
      <c r="M76" s="0" t="str">
        <f aca="true">IF(A76="","",IF(AND(F76&lt;&gt;"Received",F76&lt;&gt;"Cancelled",I76&lt;&gt;"",TODAY()&gt;I76),"OVERDUE",""))</f>
        <v/>
      </c>
      <c r="R76" s="13" t="str">
        <f aca="false">IF(A76="","",MAX(H76+0,J76+0))</f>
        <v/>
      </c>
      <c r="S76" s="0" t="str">
        <f aca="true">IF(A76="","",IF(OR(F76="Received",F76="Cancelled"),"",TODAY()-R76))</f>
        <v/>
      </c>
    </row>
    <row r="77" customFormat="false" ht="15" hidden="false" customHeight="false" outlineLevel="0" collapsed="false">
      <c r="M77" s="0" t="str">
        <f aca="true">IF(A77="","",IF(AND(F77&lt;&gt;"Received",F77&lt;&gt;"Cancelled",I77&lt;&gt;"",TODAY()&gt;I77),"OVERDUE",""))</f>
        <v/>
      </c>
      <c r="R77" s="13" t="str">
        <f aca="false">IF(A77="","",MAX(H77+0,J77+0))</f>
        <v/>
      </c>
      <c r="S77" s="0" t="str">
        <f aca="true">IF(A77="","",IF(OR(F77="Received",F77="Cancelled"),"",TODAY()-R77))</f>
        <v/>
      </c>
    </row>
    <row r="78" customFormat="false" ht="15" hidden="false" customHeight="false" outlineLevel="0" collapsed="false">
      <c r="M78" s="0" t="str">
        <f aca="true">IF(A78="","",IF(AND(F78&lt;&gt;"Received",F78&lt;&gt;"Cancelled",I78&lt;&gt;"",TODAY()&gt;I78),"OVERDUE",""))</f>
        <v/>
      </c>
      <c r="R78" s="13" t="str">
        <f aca="false">IF(A78="","",MAX(H78+0,J78+0))</f>
        <v/>
      </c>
      <c r="S78" s="0" t="str">
        <f aca="true">IF(A78="","",IF(OR(F78="Received",F78="Cancelled"),"",TODAY()-R78))</f>
        <v/>
      </c>
    </row>
    <row r="79" customFormat="false" ht="15" hidden="false" customHeight="false" outlineLevel="0" collapsed="false">
      <c r="M79" s="0" t="str">
        <f aca="true">IF(A79="","",IF(AND(F79&lt;&gt;"Received",F79&lt;&gt;"Cancelled",I79&lt;&gt;"",TODAY()&gt;I79),"OVERDUE",""))</f>
        <v/>
      </c>
      <c r="R79" s="13" t="str">
        <f aca="false">IF(A79="","",MAX(H79+0,J79+0))</f>
        <v/>
      </c>
      <c r="S79" s="0" t="str">
        <f aca="true">IF(A79="","",IF(OR(F79="Received",F79="Cancelled"),"",TODAY()-R79))</f>
        <v/>
      </c>
    </row>
    <row r="80" customFormat="false" ht="15" hidden="false" customHeight="false" outlineLevel="0" collapsed="false">
      <c r="M80" s="0" t="str">
        <f aca="true">IF(A80="","",IF(AND(F80&lt;&gt;"Received",F80&lt;&gt;"Cancelled",I80&lt;&gt;"",TODAY()&gt;I80),"OVERDUE",""))</f>
        <v/>
      </c>
      <c r="R80" s="13" t="str">
        <f aca="false">IF(A80="","",MAX(H80+0,J80+0))</f>
        <v/>
      </c>
      <c r="S80" s="0" t="str">
        <f aca="true">IF(A80="","",IF(OR(F80="Received",F80="Cancelled"),"",TODAY()-R80))</f>
        <v/>
      </c>
    </row>
    <row r="81" customFormat="false" ht="15" hidden="false" customHeight="false" outlineLevel="0" collapsed="false">
      <c r="M81" s="0" t="str">
        <f aca="true">IF(A81="","",IF(AND(F81&lt;&gt;"Received",F81&lt;&gt;"Cancelled",I81&lt;&gt;"",TODAY()&gt;I81),"OVERDUE",""))</f>
        <v/>
      </c>
      <c r="R81" s="13" t="str">
        <f aca="false">IF(A81="","",MAX(H81+0,J81+0))</f>
        <v/>
      </c>
      <c r="S81" s="0" t="str">
        <f aca="true">IF(A81="","",IF(OR(F81="Received",F81="Cancelled"),"",TODAY()-R81))</f>
        <v/>
      </c>
    </row>
    <row r="82" customFormat="false" ht="15" hidden="false" customHeight="false" outlineLevel="0" collapsed="false">
      <c r="M82" s="0" t="str">
        <f aca="true">IF(A82="","",IF(AND(F82&lt;&gt;"Received",F82&lt;&gt;"Cancelled",I82&lt;&gt;"",TODAY()&gt;I82),"OVERDUE",""))</f>
        <v/>
      </c>
      <c r="R82" s="13" t="str">
        <f aca="false">IF(A82="","",MAX(H82+0,J82+0))</f>
        <v/>
      </c>
      <c r="S82" s="0" t="str">
        <f aca="true">IF(A82="","",IF(OR(F82="Received",F82="Cancelled"),"",TODAY()-R82))</f>
        <v/>
      </c>
    </row>
    <row r="83" customFormat="false" ht="15" hidden="false" customHeight="false" outlineLevel="0" collapsed="false">
      <c r="M83" s="0" t="str">
        <f aca="true">IF(A83="","",IF(AND(F83&lt;&gt;"Received",F83&lt;&gt;"Cancelled",I83&lt;&gt;"",TODAY()&gt;I83),"OVERDUE",""))</f>
        <v/>
      </c>
      <c r="R83" s="13" t="str">
        <f aca="false">IF(A83="","",MAX(H83+0,J83+0))</f>
        <v/>
      </c>
      <c r="S83" s="0" t="str">
        <f aca="true">IF(A83="","",IF(OR(F83="Received",F83="Cancelled"),"",TODAY()-R83))</f>
        <v/>
      </c>
    </row>
    <row r="84" customFormat="false" ht="15" hidden="false" customHeight="false" outlineLevel="0" collapsed="false">
      <c r="M84" s="0" t="str">
        <f aca="true">IF(A84="","",IF(AND(F84&lt;&gt;"Received",F84&lt;&gt;"Cancelled",I84&lt;&gt;"",TODAY()&gt;I84),"OVERDUE",""))</f>
        <v/>
      </c>
      <c r="R84" s="13" t="str">
        <f aca="false">IF(A84="","",MAX(H84+0,J84+0))</f>
        <v/>
      </c>
      <c r="S84" s="0" t="str">
        <f aca="true">IF(A84="","",IF(OR(F84="Received",F84="Cancelled"),"",TODAY()-R84))</f>
        <v/>
      </c>
    </row>
    <row r="85" customFormat="false" ht="15" hidden="false" customHeight="false" outlineLevel="0" collapsed="false">
      <c r="M85" s="0" t="str">
        <f aca="true">IF(A85="","",IF(AND(F85&lt;&gt;"Received",F85&lt;&gt;"Cancelled",I85&lt;&gt;"",TODAY()&gt;I85),"OVERDUE",""))</f>
        <v/>
      </c>
      <c r="R85" s="13" t="str">
        <f aca="false">IF(A85="","",MAX(H85+0,J85+0))</f>
        <v/>
      </c>
      <c r="S85" s="0" t="str">
        <f aca="true">IF(A85="","",IF(OR(F85="Received",F85="Cancelled"),"",TODAY()-R85))</f>
        <v/>
      </c>
    </row>
    <row r="86" customFormat="false" ht="15" hidden="false" customHeight="false" outlineLevel="0" collapsed="false">
      <c r="M86" s="0" t="str">
        <f aca="true">IF(A86="","",IF(AND(F86&lt;&gt;"Received",F86&lt;&gt;"Cancelled",I86&lt;&gt;"",TODAY()&gt;I86),"OVERDUE",""))</f>
        <v/>
      </c>
      <c r="R86" s="13" t="str">
        <f aca="false">IF(A86="","",MAX(H86+0,J86+0))</f>
        <v/>
      </c>
      <c r="S86" s="0" t="str">
        <f aca="true">IF(A86="","",IF(OR(F86="Received",F86="Cancelled"),"",TODAY()-R86))</f>
        <v/>
      </c>
    </row>
    <row r="87" customFormat="false" ht="15" hidden="false" customHeight="false" outlineLevel="0" collapsed="false">
      <c r="M87" s="0" t="str">
        <f aca="true">IF(A87="","",IF(AND(F87&lt;&gt;"Received",F87&lt;&gt;"Cancelled",I87&lt;&gt;"",TODAY()&gt;I87),"OVERDUE",""))</f>
        <v/>
      </c>
      <c r="R87" s="13" t="str">
        <f aca="false">IF(A87="","",MAX(H87+0,J87+0))</f>
        <v/>
      </c>
      <c r="S87" s="0" t="str">
        <f aca="true">IF(A87="","",IF(OR(F87="Received",F87="Cancelled"),"",TODAY()-R87))</f>
        <v/>
      </c>
    </row>
    <row r="88" customFormat="false" ht="15" hidden="false" customHeight="false" outlineLevel="0" collapsed="false">
      <c r="M88" s="0" t="str">
        <f aca="true">IF(A88="","",IF(AND(F88&lt;&gt;"Received",F88&lt;&gt;"Cancelled",I88&lt;&gt;"",TODAY()&gt;I88),"OVERDUE",""))</f>
        <v/>
      </c>
      <c r="R88" s="13" t="str">
        <f aca="false">IF(A88="","",MAX(H88+0,J88+0))</f>
        <v/>
      </c>
      <c r="S88" s="0" t="str">
        <f aca="true">IF(A88="","",IF(OR(F88="Received",F88="Cancelled"),"",TODAY()-R88))</f>
        <v/>
      </c>
    </row>
    <row r="89" customFormat="false" ht="15" hidden="false" customHeight="false" outlineLevel="0" collapsed="false">
      <c r="M89" s="0" t="str">
        <f aca="true">IF(A89="","",IF(AND(F89&lt;&gt;"Received",F89&lt;&gt;"Cancelled",I89&lt;&gt;"",TODAY()&gt;I89),"OVERDUE",""))</f>
        <v/>
      </c>
      <c r="R89" s="13" t="str">
        <f aca="false">IF(A89="","",MAX(H89+0,J89+0))</f>
        <v/>
      </c>
      <c r="S89" s="0" t="str">
        <f aca="true">IF(A89="","",IF(OR(F89="Received",F89="Cancelled"),"",TODAY()-R89))</f>
        <v/>
      </c>
    </row>
    <row r="90" customFormat="false" ht="15" hidden="false" customHeight="false" outlineLevel="0" collapsed="false">
      <c r="M90" s="0" t="str">
        <f aca="true">IF(A90="","",IF(AND(F90&lt;&gt;"Received",F90&lt;&gt;"Cancelled",I90&lt;&gt;"",TODAY()&gt;I90),"OVERDUE",""))</f>
        <v/>
      </c>
      <c r="R90" s="13" t="str">
        <f aca="false">IF(A90="","",MAX(H90+0,J90+0))</f>
        <v/>
      </c>
      <c r="S90" s="0" t="str">
        <f aca="true">IF(A90="","",IF(OR(F90="Received",F90="Cancelled"),"",TODAY()-R90))</f>
        <v/>
      </c>
    </row>
    <row r="91" customFormat="false" ht="15" hidden="false" customHeight="false" outlineLevel="0" collapsed="false">
      <c r="M91" s="0" t="str">
        <f aca="true">IF(A91="","",IF(AND(F91&lt;&gt;"Received",F91&lt;&gt;"Cancelled",I91&lt;&gt;"",TODAY()&gt;I91),"OVERDUE",""))</f>
        <v/>
      </c>
      <c r="R91" s="13" t="str">
        <f aca="false">IF(A91="","",MAX(H91+0,J91+0))</f>
        <v/>
      </c>
      <c r="S91" s="0" t="str">
        <f aca="true">IF(A91="","",IF(OR(F91="Received",F91="Cancelled"),"",TODAY()-R91))</f>
        <v/>
      </c>
    </row>
    <row r="92" customFormat="false" ht="15" hidden="false" customHeight="false" outlineLevel="0" collapsed="false">
      <c r="M92" s="0" t="str">
        <f aca="true">IF(A92="","",IF(AND(F92&lt;&gt;"Received",F92&lt;&gt;"Cancelled",I92&lt;&gt;"",TODAY()&gt;I92),"OVERDUE",""))</f>
        <v/>
      </c>
      <c r="R92" s="13" t="str">
        <f aca="false">IF(A92="","",MAX(H92+0,J92+0))</f>
        <v/>
      </c>
      <c r="S92" s="0" t="str">
        <f aca="true">IF(A92="","",IF(OR(F92="Received",F92="Cancelled"),"",TODAY()-R92))</f>
        <v/>
      </c>
    </row>
    <row r="93" customFormat="false" ht="15" hidden="false" customHeight="false" outlineLevel="0" collapsed="false">
      <c r="M93" s="0" t="str">
        <f aca="true">IF(A93="","",IF(AND(F93&lt;&gt;"Received",F93&lt;&gt;"Cancelled",I93&lt;&gt;"",TODAY()&gt;I93),"OVERDUE",""))</f>
        <v/>
      </c>
      <c r="R93" s="13" t="str">
        <f aca="false">IF(A93="","",MAX(H93+0,J93+0))</f>
        <v/>
      </c>
      <c r="S93" s="0" t="str">
        <f aca="true">IF(A93="","",IF(OR(F93="Received",F93="Cancelled"),"",TODAY()-R93))</f>
        <v/>
      </c>
    </row>
    <row r="94" customFormat="false" ht="15" hidden="false" customHeight="false" outlineLevel="0" collapsed="false">
      <c r="M94" s="0" t="str">
        <f aca="true">IF(A94="","",IF(AND(F94&lt;&gt;"Received",F94&lt;&gt;"Cancelled",I94&lt;&gt;"",TODAY()&gt;I94),"OVERDUE",""))</f>
        <v/>
      </c>
      <c r="R94" s="13" t="str">
        <f aca="false">IF(A94="","",MAX(H94+0,J94+0))</f>
        <v/>
      </c>
      <c r="S94" s="0" t="str">
        <f aca="true">IF(A94="","",IF(OR(F94="Received",F94="Cancelled"),"",TODAY()-R94))</f>
        <v/>
      </c>
    </row>
    <row r="95" customFormat="false" ht="15" hidden="false" customHeight="false" outlineLevel="0" collapsed="false">
      <c r="M95" s="0" t="str">
        <f aca="true">IF(A95="","",IF(AND(F95&lt;&gt;"Received",F95&lt;&gt;"Cancelled",I95&lt;&gt;"",TODAY()&gt;I95),"OVERDUE",""))</f>
        <v/>
      </c>
      <c r="R95" s="13" t="str">
        <f aca="false">IF(A95="","",MAX(H95+0,J95+0))</f>
        <v/>
      </c>
      <c r="S95" s="0" t="str">
        <f aca="true">IF(A95="","",IF(OR(F95="Received",F95="Cancelled"),"",TODAY()-R95))</f>
        <v/>
      </c>
    </row>
    <row r="96" customFormat="false" ht="15" hidden="false" customHeight="false" outlineLevel="0" collapsed="false">
      <c r="M96" s="0" t="str">
        <f aca="true">IF(A96="","",IF(AND(F96&lt;&gt;"Received",F96&lt;&gt;"Cancelled",I96&lt;&gt;"",TODAY()&gt;I96),"OVERDUE",""))</f>
        <v/>
      </c>
      <c r="R96" s="13" t="str">
        <f aca="false">IF(A96="","",MAX(H96+0,J96+0))</f>
        <v/>
      </c>
      <c r="S96" s="0" t="str">
        <f aca="true">IF(A96="","",IF(OR(F96="Received",F96="Cancelled"),"",TODAY()-R96))</f>
        <v/>
      </c>
    </row>
    <row r="97" customFormat="false" ht="15" hidden="false" customHeight="false" outlineLevel="0" collapsed="false">
      <c r="M97" s="0" t="str">
        <f aca="true">IF(A97="","",IF(AND(F97&lt;&gt;"Received",F97&lt;&gt;"Cancelled",I97&lt;&gt;"",TODAY()&gt;I97),"OVERDUE",""))</f>
        <v/>
      </c>
      <c r="R97" s="13" t="str">
        <f aca="false">IF(A97="","",MAX(H97+0,J97+0))</f>
        <v/>
      </c>
      <c r="S97" s="0" t="str">
        <f aca="true">IF(A97="","",IF(OR(F97="Received",F97="Cancelled"),"",TODAY()-R97))</f>
        <v/>
      </c>
    </row>
    <row r="98" customFormat="false" ht="15" hidden="false" customHeight="false" outlineLevel="0" collapsed="false">
      <c r="M98" s="0" t="str">
        <f aca="true">IF(A98="","",IF(AND(F98&lt;&gt;"Received",F98&lt;&gt;"Cancelled",I98&lt;&gt;"",TODAY()&gt;I98),"OVERDUE",""))</f>
        <v/>
      </c>
      <c r="R98" s="13" t="str">
        <f aca="false">IF(A98="","",MAX(H98+0,J98+0))</f>
        <v/>
      </c>
      <c r="S98" s="0" t="str">
        <f aca="true">IF(A98="","",IF(OR(F98="Received",F98="Cancelled"),"",TODAY()-R98))</f>
        <v/>
      </c>
    </row>
    <row r="99" customFormat="false" ht="15" hidden="false" customHeight="false" outlineLevel="0" collapsed="false">
      <c r="M99" s="0" t="str">
        <f aca="true">IF(A99="","",IF(AND(F99&lt;&gt;"Received",F99&lt;&gt;"Cancelled",I99&lt;&gt;"",TODAY()&gt;I99),"OVERDUE",""))</f>
        <v/>
      </c>
      <c r="R99" s="13" t="str">
        <f aca="false">IF(A99="","",MAX(H99+0,J99+0))</f>
        <v/>
      </c>
      <c r="S99" s="0" t="str">
        <f aca="true">IF(A99="","",IF(OR(F99="Received",F99="Cancelled"),"",TODAY()-R99))</f>
        <v/>
      </c>
    </row>
    <row r="100" customFormat="false" ht="15" hidden="false" customHeight="false" outlineLevel="0" collapsed="false">
      <c r="M100" s="0" t="str">
        <f aca="true">IF(A100="","",IF(AND(F100&lt;&gt;"Received",F100&lt;&gt;"Cancelled",I100&lt;&gt;"",TODAY()&gt;I100),"OVERDUE",""))</f>
        <v/>
      </c>
      <c r="R100" s="13" t="str">
        <f aca="false">IF(A100="","",MAX(H100+0,J100+0))</f>
        <v/>
      </c>
      <c r="S100" s="0" t="str">
        <f aca="true">IF(A100="","",IF(OR(F100="Received",F100="Cancelled"),"",TODAY()-R100))</f>
        <v/>
      </c>
    </row>
    <row r="101" customFormat="false" ht="15" hidden="false" customHeight="false" outlineLevel="0" collapsed="false">
      <c r="M101" s="0" t="str">
        <f aca="true">IF(A101="","",IF(AND(F101&lt;&gt;"Received",F101&lt;&gt;"Cancelled",I101&lt;&gt;"",TODAY()&gt;I101),"OVERDUE",""))</f>
        <v/>
      </c>
      <c r="R101" s="13" t="str">
        <f aca="false">IF(A101="","",MAX(H101+0,J101+0))</f>
        <v/>
      </c>
      <c r="S101" s="0" t="str">
        <f aca="true">IF(A101="","",IF(OR(F101="Received",F101="Cancelled"),"",TODAY()-R101))</f>
        <v/>
      </c>
    </row>
    <row r="102" customFormat="false" ht="15" hidden="false" customHeight="false" outlineLevel="0" collapsed="false">
      <c r="M102" s="0" t="str">
        <f aca="true">IF(A102="","",IF(AND(F102&lt;&gt;"Received",F102&lt;&gt;"Cancelled",I102&lt;&gt;"",TODAY()&gt;I102),"OVERDUE",""))</f>
        <v/>
      </c>
      <c r="R102" s="13" t="str">
        <f aca="false">IF(A102="","",MAX(H102+0,J102+0))</f>
        <v/>
      </c>
      <c r="S102" s="0" t="str">
        <f aca="true">IF(A102="","",IF(OR(F102="Received",F102="Cancelled"),"",TODAY()-R102))</f>
        <v/>
      </c>
    </row>
    <row r="103" customFormat="false" ht="15" hidden="false" customHeight="false" outlineLevel="0" collapsed="false">
      <c r="M103" s="0" t="str">
        <f aca="true">IF(A103="","",IF(AND(F103&lt;&gt;"Received",F103&lt;&gt;"Cancelled",I103&lt;&gt;"",TODAY()&gt;I103),"OVERDUE",""))</f>
        <v/>
      </c>
      <c r="R103" s="13" t="str">
        <f aca="false">IF(A103="","",MAX(H103+0,J103+0))</f>
        <v/>
      </c>
      <c r="S103" s="0" t="str">
        <f aca="true">IF(A103="","",IF(OR(F103="Received",F103="Cancelled"),"",TODAY()-R103))</f>
        <v/>
      </c>
    </row>
    <row r="104" customFormat="false" ht="15" hidden="false" customHeight="false" outlineLevel="0" collapsed="false">
      <c r="M104" s="0" t="str">
        <f aca="true">IF(A104="","",IF(AND(F104&lt;&gt;"Received",F104&lt;&gt;"Cancelled",I104&lt;&gt;"",TODAY()&gt;I104),"OVERDUE",""))</f>
        <v/>
      </c>
      <c r="R104" s="13" t="str">
        <f aca="false">IF(A104="","",MAX(H104+0,J104+0))</f>
        <v/>
      </c>
      <c r="S104" s="0" t="str">
        <f aca="true">IF(A104="","",IF(OR(F104="Received",F104="Cancelled"),"",TODAY()-R104))</f>
        <v/>
      </c>
    </row>
    <row r="105" customFormat="false" ht="15" hidden="false" customHeight="false" outlineLevel="0" collapsed="false">
      <c r="M105" s="0" t="str">
        <f aca="true">IF(A105="","",IF(AND(F105&lt;&gt;"Received",F105&lt;&gt;"Cancelled",I105&lt;&gt;"",TODAY()&gt;I105),"OVERDUE",""))</f>
        <v/>
      </c>
      <c r="R105" s="13" t="str">
        <f aca="false">IF(A105="","",MAX(H105+0,J105+0))</f>
        <v/>
      </c>
      <c r="S105" s="0" t="str">
        <f aca="true">IF(A105="","",IF(OR(F105="Received",F105="Cancelled"),"",TODAY()-R105))</f>
        <v/>
      </c>
    </row>
    <row r="106" customFormat="false" ht="15" hidden="false" customHeight="false" outlineLevel="0" collapsed="false">
      <c r="M106" s="0" t="str">
        <f aca="true">IF(A106="","",IF(AND(F106&lt;&gt;"Received",F106&lt;&gt;"Cancelled",I106&lt;&gt;"",TODAY()&gt;I106),"OVERDUE",""))</f>
        <v/>
      </c>
      <c r="R106" s="13" t="str">
        <f aca="false">IF(A106="","",MAX(H106+0,J106+0))</f>
        <v/>
      </c>
      <c r="S106" s="0" t="str">
        <f aca="true">IF(A106="","",IF(OR(F106="Received",F106="Cancelled"),"",TODAY()-R106))</f>
        <v/>
      </c>
    </row>
    <row r="107" customFormat="false" ht="15" hidden="false" customHeight="false" outlineLevel="0" collapsed="false">
      <c r="M107" s="0" t="str">
        <f aca="true">IF(A107="","",IF(AND(F107&lt;&gt;"Received",F107&lt;&gt;"Cancelled",I107&lt;&gt;"",TODAY()&gt;I107),"OVERDUE",""))</f>
        <v/>
      </c>
      <c r="R107" s="13" t="str">
        <f aca="false">IF(A107="","",MAX(H107+0,J107+0))</f>
        <v/>
      </c>
      <c r="S107" s="0" t="str">
        <f aca="true">IF(A107="","",IF(OR(F107="Received",F107="Cancelled"),"",TODAY()-R107))</f>
        <v/>
      </c>
    </row>
    <row r="108" customFormat="false" ht="15" hidden="false" customHeight="false" outlineLevel="0" collapsed="false">
      <c r="M108" s="0" t="str">
        <f aca="true">IF(A108="","",IF(AND(F108&lt;&gt;"Received",F108&lt;&gt;"Cancelled",I108&lt;&gt;"",TODAY()&gt;I108),"OVERDUE",""))</f>
        <v/>
      </c>
      <c r="R108" s="13" t="str">
        <f aca="false">IF(A108="","",MAX(H108+0,J108+0))</f>
        <v/>
      </c>
      <c r="S108" s="0" t="str">
        <f aca="true">IF(A108="","",IF(OR(F108="Received",F108="Cancelled"),"",TODAY()-R108))</f>
        <v/>
      </c>
    </row>
    <row r="109" customFormat="false" ht="15" hidden="false" customHeight="false" outlineLevel="0" collapsed="false">
      <c r="M109" s="0" t="str">
        <f aca="true">IF(A109="","",IF(AND(F109&lt;&gt;"Received",F109&lt;&gt;"Cancelled",I109&lt;&gt;"",TODAY()&gt;I109),"OVERDUE",""))</f>
        <v/>
      </c>
      <c r="R109" s="13" t="str">
        <f aca="false">IF(A109="","",MAX(H109+0,J109+0))</f>
        <v/>
      </c>
      <c r="S109" s="0" t="str">
        <f aca="true">IF(A109="","",IF(OR(F109="Received",F109="Cancelled"),"",TODAY()-R109))</f>
        <v/>
      </c>
    </row>
    <row r="110" customFormat="false" ht="15" hidden="false" customHeight="false" outlineLevel="0" collapsed="false">
      <c r="M110" s="0" t="str">
        <f aca="true">IF(A110="","",IF(AND(F110&lt;&gt;"Received",F110&lt;&gt;"Cancelled",I110&lt;&gt;"",TODAY()&gt;I110),"OVERDUE",""))</f>
        <v/>
      </c>
      <c r="R110" s="13" t="str">
        <f aca="false">IF(A110="","",MAX(H110+0,J110+0))</f>
        <v/>
      </c>
      <c r="S110" s="0" t="str">
        <f aca="true">IF(A110="","",IF(OR(F110="Received",F110="Cancelled"),"",TODAY()-R110))</f>
        <v/>
      </c>
    </row>
    <row r="111" customFormat="false" ht="15" hidden="false" customHeight="false" outlineLevel="0" collapsed="false">
      <c r="M111" s="0" t="str">
        <f aca="true">IF(A111="","",IF(AND(F111&lt;&gt;"Received",F111&lt;&gt;"Cancelled",I111&lt;&gt;"",TODAY()&gt;I111),"OVERDUE",""))</f>
        <v/>
      </c>
      <c r="R111" s="13" t="str">
        <f aca="false">IF(A111="","",MAX(H111+0,J111+0))</f>
        <v/>
      </c>
      <c r="S111" s="0" t="str">
        <f aca="true">IF(A111="","",IF(OR(F111="Received",F111="Cancelled"),"",TODAY()-R111))</f>
        <v/>
      </c>
    </row>
    <row r="112" customFormat="false" ht="15" hidden="false" customHeight="false" outlineLevel="0" collapsed="false">
      <c r="M112" s="0" t="str">
        <f aca="true">IF(A112="","",IF(AND(F112&lt;&gt;"Received",F112&lt;&gt;"Cancelled",I112&lt;&gt;"",TODAY()&gt;I112),"OVERDUE",""))</f>
        <v/>
      </c>
      <c r="R112" s="13" t="str">
        <f aca="false">IF(A112="","",MAX(H112+0,J112+0))</f>
        <v/>
      </c>
      <c r="S112" s="0" t="str">
        <f aca="true">IF(A112="","",IF(OR(F112="Received",F112="Cancelled"),"",TODAY()-R112))</f>
        <v/>
      </c>
    </row>
    <row r="113" customFormat="false" ht="15" hidden="false" customHeight="false" outlineLevel="0" collapsed="false">
      <c r="M113" s="0" t="str">
        <f aca="true">IF(A113="","",IF(AND(F113&lt;&gt;"Received",F113&lt;&gt;"Cancelled",I113&lt;&gt;"",TODAY()&gt;I113),"OVERDUE",""))</f>
        <v/>
      </c>
      <c r="R113" s="13" t="str">
        <f aca="false">IF(A113="","",MAX(H113+0,J113+0))</f>
        <v/>
      </c>
      <c r="S113" s="0" t="str">
        <f aca="true">IF(A113="","",IF(OR(F113="Received",F113="Cancelled"),"",TODAY()-R113))</f>
        <v/>
      </c>
    </row>
    <row r="114" customFormat="false" ht="15" hidden="false" customHeight="false" outlineLevel="0" collapsed="false">
      <c r="M114" s="0" t="str">
        <f aca="true">IF(A114="","",IF(AND(F114&lt;&gt;"Received",F114&lt;&gt;"Cancelled",I114&lt;&gt;"",TODAY()&gt;I114),"OVERDUE",""))</f>
        <v/>
      </c>
      <c r="R114" s="13" t="str">
        <f aca="false">IF(A114="","",MAX(H114+0,J114+0))</f>
        <v/>
      </c>
      <c r="S114" s="0" t="str">
        <f aca="true">IF(A114="","",IF(OR(F114="Received",F114="Cancelled"),"",TODAY()-R114))</f>
        <v/>
      </c>
    </row>
    <row r="115" customFormat="false" ht="15" hidden="false" customHeight="false" outlineLevel="0" collapsed="false">
      <c r="M115" s="0" t="str">
        <f aca="true">IF(A115="","",IF(AND(F115&lt;&gt;"Received",F115&lt;&gt;"Cancelled",I115&lt;&gt;"",TODAY()&gt;I115),"OVERDUE",""))</f>
        <v/>
      </c>
      <c r="R115" s="13" t="str">
        <f aca="false">IF(A115="","",MAX(H115+0,J115+0))</f>
        <v/>
      </c>
      <c r="S115" s="0" t="str">
        <f aca="true">IF(A115="","",IF(OR(F115="Received",F115="Cancelled"),"",TODAY()-R115))</f>
        <v/>
      </c>
    </row>
    <row r="116" customFormat="false" ht="15" hidden="false" customHeight="false" outlineLevel="0" collapsed="false">
      <c r="M116" s="0" t="str">
        <f aca="true">IF(A116="","",IF(AND(F116&lt;&gt;"Received",F116&lt;&gt;"Cancelled",I116&lt;&gt;"",TODAY()&gt;I116),"OVERDUE",""))</f>
        <v/>
      </c>
      <c r="R116" s="13" t="str">
        <f aca="false">IF(A116="","",MAX(H116+0,J116+0))</f>
        <v/>
      </c>
      <c r="S116" s="0" t="str">
        <f aca="true">IF(A116="","",IF(OR(F116="Received",F116="Cancelled"),"",TODAY()-R116))</f>
        <v/>
      </c>
    </row>
    <row r="117" customFormat="false" ht="15" hidden="false" customHeight="false" outlineLevel="0" collapsed="false">
      <c r="M117" s="0" t="str">
        <f aca="true">IF(A117="","",IF(AND(F117&lt;&gt;"Received",F117&lt;&gt;"Cancelled",I117&lt;&gt;"",TODAY()&gt;I117),"OVERDUE",""))</f>
        <v/>
      </c>
      <c r="R117" s="13" t="str">
        <f aca="false">IF(A117="","",MAX(H117+0,J117+0))</f>
        <v/>
      </c>
      <c r="S117" s="0" t="str">
        <f aca="true">IF(A117="","",IF(OR(F117="Received",F117="Cancelled"),"",TODAY()-R117))</f>
        <v/>
      </c>
    </row>
    <row r="118" customFormat="false" ht="15" hidden="false" customHeight="false" outlineLevel="0" collapsed="false">
      <c r="M118" s="0" t="str">
        <f aca="true">IF(A118="","",IF(AND(F118&lt;&gt;"Received",F118&lt;&gt;"Cancelled",I118&lt;&gt;"",TODAY()&gt;I118),"OVERDUE",""))</f>
        <v/>
      </c>
      <c r="R118" s="13" t="str">
        <f aca="false">IF(A118="","",MAX(H118+0,J118+0))</f>
        <v/>
      </c>
      <c r="S118" s="0" t="str">
        <f aca="true">IF(A118="","",IF(OR(F118="Received",F118="Cancelled"),"",TODAY()-R118))</f>
        <v/>
      </c>
    </row>
    <row r="119" customFormat="false" ht="15" hidden="false" customHeight="false" outlineLevel="0" collapsed="false">
      <c r="M119" s="0" t="str">
        <f aca="true">IF(A119="","",IF(AND(F119&lt;&gt;"Received",F119&lt;&gt;"Cancelled",I119&lt;&gt;"",TODAY()&gt;I119),"OVERDUE",""))</f>
        <v/>
      </c>
      <c r="R119" s="13" t="str">
        <f aca="false">IF(A119="","",MAX(H119+0,J119+0))</f>
        <v/>
      </c>
      <c r="S119" s="0" t="str">
        <f aca="true">IF(A119="","",IF(OR(F119="Received",F119="Cancelled"),"",TODAY()-R119))</f>
        <v/>
      </c>
    </row>
    <row r="120" customFormat="false" ht="15" hidden="false" customHeight="false" outlineLevel="0" collapsed="false">
      <c r="M120" s="0" t="str">
        <f aca="true">IF(A120="","",IF(AND(F120&lt;&gt;"Received",F120&lt;&gt;"Cancelled",I120&lt;&gt;"",TODAY()&gt;I120),"OVERDUE",""))</f>
        <v/>
      </c>
      <c r="R120" s="13" t="str">
        <f aca="false">IF(A120="","",MAX(H120+0,J120+0))</f>
        <v/>
      </c>
      <c r="S120" s="0" t="str">
        <f aca="true">IF(A120="","",IF(OR(F120="Received",F120="Cancelled"),"",TODAY()-R120))</f>
        <v/>
      </c>
    </row>
    <row r="121" customFormat="false" ht="15" hidden="false" customHeight="false" outlineLevel="0" collapsed="false">
      <c r="M121" s="0" t="str">
        <f aca="true">IF(A121="","",IF(AND(F121&lt;&gt;"Received",F121&lt;&gt;"Cancelled",I121&lt;&gt;"",TODAY()&gt;I121),"OVERDUE",""))</f>
        <v/>
      </c>
      <c r="R121" s="13" t="str">
        <f aca="false">IF(A121="","",MAX(H121+0,J121+0))</f>
        <v/>
      </c>
      <c r="S121" s="0" t="str">
        <f aca="true">IF(A121="","",IF(OR(F121="Received",F121="Cancelled"),"",TODAY()-R121))</f>
        <v/>
      </c>
    </row>
    <row r="122" customFormat="false" ht="15" hidden="false" customHeight="false" outlineLevel="0" collapsed="false">
      <c r="M122" s="0" t="str">
        <f aca="true">IF(A122="","",IF(AND(F122&lt;&gt;"Received",F122&lt;&gt;"Cancelled",I122&lt;&gt;"",TODAY()&gt;I122),"OVERDUE",""))</f>
        <v/>
      </c>
      <c r="R122" s="13" t="str">
        <f aca="false">IF(A122="","",MAX(H122+0,J122+0))</f>
        <v/>
      </c>
      <c r="S122" s="0" t="str">
        <f aca="true">IF(A122="","",IF(OR(F122="Received",F122="Cancelled"),"",TODAY()-R122))</f>
        <v/>
      </c>
    </row>
    <row r="123" customFormat="false" ht="15" hidden="false" customHeight="false" outlineLevel="0" collapsed="false">
      <c r="M123" s="0" t="str">
        <f aca="true">IF(A123="","",IF(AND(F123&lt;&gt;"Received",F123&lt;&gt;"Cancelled",I123&lt;&gt;"",TODAY()&gt;I123),"OVERDUE",""))</f>
        <v/>
      </c>
      <c r="R123" s="13" t="str">
        <f aca="false">IF(A123="","",MAX(H123+0,J123+0))</f>
        <v/>
      </c>
      <c r="S123" s="0" t="str">
        <f aca="true">IF(A123="","",IF(OR(F123="Received",F123="Cancelled"),"",TODAY()-R123))</f>
        <v/>
      </c>
    </row>
    <row r="124" customFormat="false" ht="15" hidden="false" customHeight="false" outlineLevel="0" collapsed="false">
      <c r="M124" s="0" t="str">
        <f aca="true">IF(A124="","",IF(AND(F124&lt;&gt;"Received",F124&lt;&gt;"Cancelled",I124&lt;&gt;"",TODAY()&gt;I124),"OVERDUE",""))</f>
        <v/>
      </c>
      <c r="R124" s="13" t="str">
        <f aca="false">IF(A124="","",MAX(H124+0,J124+0))</f>
        <v/>
      </c>
      <c r="S124" s="0" t="str">
        <f aca="true">IF(A124="","",IF(OR(F124="Received",F124="Cancelled"),"",TODAY()-R124))</f>
        <v/>
      </c>
    </row>
    <row r="125" customFormat="false" ht="15" hidden="false" customHeight="false" outlineLevel="0" collapsed="false">
      <c r="M125" s="0" t="str">
        <f aca="true">IF(A125="","",IF(AND(F125&lt;&gt;"Received",F125&lt;&gt;"Cancelled",I125&lt;&gt;"",TODAY()&gt;I125),"OVERDUE",""))</f>
        <v/>
      </c>
      <c r="R125" s="13" t="str">
        <f aca="false">IF(A125="","",MAX(H125+0,J125+0))</f>
        <v/>
      </c>
      <c r="S125" s="0" t="str">
        <f aca="true">IF(A125="","",IF(OR(F125="Received",F125="Cancelled"),"",TODAY()-R125))</f>
        <v/>
      </c>
    </row>
    <row r="126" customFormat="false" ht="15" hidden="false" customHeight="false" outlineLevel="0" collapsed="false">
      <c r="M126" s="0" t="str">
        <f aca="true">IF(A126="","",IF(AND(F126&lt;&gt;"Received",F126&lt;&gt;"Cancelled",I126&lt;&gt;"",TODAY()&gt;I126),"OVERDUE",""))</f>
        <v/>
      </c>
      <c r="R126" s="13" t="str">
        <f aca="false">IF(A126="","",MAX(H126+0,J126+0))</f>
        <v/>
      </c>
      <c r="S126" s="0" t="str">
        <f aca="true">IF(A126="","",IF(OR(F126="Received",F126="Cancelled"),"",TODAY()-R126))</f>
        <v/>
      </c>
    </row>
    <row r="127" customFormat="false" ht="15" hidden="false" customHeight="false" outlineLevel="0" collapsed="false">
      <c r="M127" s="0" t="str">
        <f aca="true">IF(A127="","",IF(AND(F127&lt;&gt;"Received",F127&lt;&gt;"Cancelled",I127&lt;&gt;"",TODAY()&gt;I127),"OVERDUE",""))</f>
        <v/>
      </c>
      <c r="R127" s="13" t="str">
        <f aca="false">IF(A127="","",MAX(H127+0,J127+0))</f>
        <v/>
      </c>
      <c r="S127" s="0" t="str">
        <f aca="true">IF(A127="","",IF(OR(F127="Received",F127="Cancelled"),"",TODAY()-R127))</f>
        <v/>
      </c>
    </row>
    <row r="128" customFormat="false" ht="15" hidden="false" customHeight="false" outlineLevel="0" collapsed="false">
      <c r="M128" s="0" t="str">
        <f aca="true">IF(A128="","",IF(AND(F128&lt;&gt;"Received",F128&lt;&gt;"Cancelled",I128&lt;&gt;"",TODAY()&gt;I128),"OVERDUE",""))</f>
        <v/>
      </c>
      <c r="R128" s="13" t="str">
        <f aca="false">IF(A128="","",MAX(H128+0,J128+0))</f>
        <v/>
      </c>
      <c r="S128" s="0" t="str">
        <f aca="true">IF(A128="","",IF(OR(F128="Received",F128="Cancelled"),"",TODAY()-R128))</f>
        <v/>
      </c>
    </row>
    <row r="129" customFormat="false" ht="15" hidden="false" customHeight="false" outlineLevel="0" collapsed="false">
      <c r="M129" s="0" t="str">
        <f aca="true">IF(A129="","",IF(AND(F129&lt;&gt;"Received",F129&lt;&gt;"Cancelled",I129&lt;&gt;"",TODAY()&gt;I129),"OVERDUE",""))</f>
        <v/>
      </c>
      <c r="R129" s="13" t="str">
        <f aca="false">IF(A129="","",MAX(H129+0,J129+0))</f>
        <v/>
      </c>
      <c r="S129" s="0" t="str">
        <f aca="true">IF(A129="","",IF(OR(F129="Received",F129="Cancelled"),"",TODAY()-R129))</f>
        <v/>
      </c>
    </row>
    <row r="130" customFormat="false" ht="15" hidden="false" customHeight="false" outlineLevel="0" collapsed="false">
      <c r="M130" s="0" t="str">
        <f aca="true">IF(A130="","",IF(AND(F130&lt;&gt;"Received",F130&lt;&gt;"Cancelled",I130&lt;&gt;"",TODAY()&gt;I130),"OVERDUE",""))</f>
        <v/>
      </c>
      <c r="R130" s="13" t="str">
        <f aca="false">IF(A130="","",MAX(H130+0,J130+0))</f>
        <v/>
      </c>
      <c r="S130" s="0" t="str">
        <f aca="true">IF(A130="","",IF(OR(F130="Received",F130="Cancelled"),"",TODAY()-R130))</f>
        <v/>
      </c>
    </row>
    <row r="131" customFormat="false" ht="15" hidden="false" customHeight="false" outlineLevel="0" collapsed="false">
      <c r="M131" s="0" t="str">
        <f aca="true">IF(A131="","",IF(AND(F131&lt;&gt;"Received",F131&lt;&gt;"Cancelled",I131&lt;&gt;"",TODAY()&gt;I131),"OVERDUE",""))</f>
        <v/>
      </c>
      <c r="R131" s="13" t="str">
        <f aca="false">IF(A131="","",MAX(H131+0,J131+0))</f>
        <v/>
      </c>
      <c r="S131" s="0" t="str">
        <f aca="true">IF(A131="","",IF(OR(F131="Received",F131="Cancelled"),"",TODAY()-R131))</f>
        <v/>
      </c>
    </row>
    <row r="132" customFormat="false" ht="15" hidden="false" customHeight="false" outlineLevel="0" collapsed="false">
      <c r="M132" s="0" t="str">
        <f aca="true">IF(A132="","",IF(AND(F132&lt;&gt;"Received",F132&lt;&gt;"Cancelled",I132&lt;&gt;"",TODAY()&gt;I132),"OVERDUE",""))</f>
        <v/>
      </c>
      <c r="R132" s="13" t="str">
        <f aca="false">IF(A132="","",MAX(H132+0,J132+0))</f>
        <v/>
      </c>
      <c r="S132" s="0" t="str">
        <f aca="true">IF(A132="","",IF(OR(F132="Received",F132="Cancelled"),"",TODAY()-R132))</f>
        <v/>
      </c>
    </row>
    <row r="133" customFormat="false" ht="15" hidden="false" customHeight="false" outlineLevel="0" collapsed="false">
      <c r="M133" s="0" t="str">
        <f aca="true">IF(A133="","",IF(AND(F133&lt;&gt;"Received",F133&lt;&gt;"Cancelled",I133&lt;&gt;"",TODAY()&gt;I133),"OVERDUE",""))</f>
        <v/>
      </c>
      <c r="R133" s="13" t="str">
        <f aca="false">IF(A133="","",MAX(H133+0,J133+0))</f>
        <v/>
      </c>
      <c r="S133" s="0" t="str">
        <f aca="true">IF(A133="","",IF(OR(F133="Received",F133="Cancelled"),"",TODAY()-R133))</f>
        <v/>
      </c>
    </row>
    <row r="134" customFormat="false" ht="15" hidden="false" customHeight="false" outlineLevel="0" collapsed="false">
      <c r="M134" s="0" t="str">
        <f aca="true">IF(A134="","",IF(AND(F134&lt;&gt;"Received",F134&lt;&gt;"Cancelled",I134&lt;&gt;"",TODAY()&gt;I134),"OVERDUE",""))</f>
        <v/>
      </c>
      <c r="R134" s="13" t="str">
        <f aca="false">IF(A134="","",MAX(H134+0,J134+0))</f>
        <v/>
      </c>
      <c r="S134" s="0" t="str">
        <f aca="true">IF(A134="","",IF(OR(F134="Received",F134="Cancelled"),"",TODAY()-R134))</f>
        <v/>
      </c>
    </row>
    <row r="135" customFormat="false" ht="15" hidden="false" customHeight="false" outlineLevel="0" collapsed="false">
      <c r="M135" s="0" t="str">
        <f aca="true">IF(A135="","",IF(AND(F135&lt;&gt;"Received",F135&lt;&gt;"Cancelled",I135&lt;&gt;"",TODAY()&gt;I135),"OVERDUE",""))</f>
        <v/>
      </c>
      <c r="R135" s="13" t="str">
        <f aca="false">IF(A135="","",MAX(H135+0,J135+0))</f>
        <v/>
      </c>
      <c r="S135" s="0" t="str">
        <f aca="true">IF(A135="","",IF(OR(F135="Received",F135="Cancelled"),"",TODAY()-R135))</f>
        <v/>
      </c>
    </row>
    <row r="136" customFormat="false" ht="15" hidden="false" customHeight="false" outlineLevel="0" collapsed="false">
      <c r="M136" s="0" t="str">
        <f aca="true">IF(A136="","",IF(AND(F136&lt;&gt;"Received",F136&lt;&gt;"Cancelled",I136&lt;&gt;"",TODAY()&gt;I136),"OVERDUE",""))</f>
        <v/>
      </c>
      <c r="R136" s="13" t="str">
        <f aca="false">IF(A136="","",MAX(H136+0,J136+0))</f>
        <v/>
      </c>
      <c r="S136" s="0" t="str">
        <f aca="true">IF(A136="","",IF(OR(F136="Received",F136="Cancelled"),"",TODAY()-R136))</f>
        <v/>
      </c>
    </row>
    <row r="137" customFormat="false" ht="15" hidden="false" customHeight="false" outlineLevel="0" collapsed="false">
      <c r="M137" s="0" t="str">
        <f aca="true">IF(A137="","",IF(AND(F137&lt;&gt;"Received",F137&lt;&gt;"Cancelled",I137&lt;&gt;"",TODAY()&gt;I137),"OVERDUE",""))</f>
        <v/>
      </c>
      <c r="R137" s="13" t="str">
        <f aca="false">IF(A137="","",MAX(H137+0,J137+0))</f>
        <v/>
      </c>
      <c r="S137" s="0" t="str">
        <f aca="true">IF(A137="","",IF(OR(F137="Received",F137="Cancelled"),"",TODAY()-R137))</f>
        <v/>
      </c>
    </row>
    <row r="138" customFormat="false" ht="15" hidden="false" customHeight="false" outlineLevel="0" collapsed="false">
      <c r="M138" s="0" t="str">
        <f aca="true">IF(A138="","",IF(AND(F138&lt;&gt;"Received",F138&lt;&gt;"Cancelled",I138&lt;&gt;"",TODAY()&gt;I138),"OVERDUE",""))</f>
        <v/>
      </c>
      <c r="R138" s="13" t="str">
        <f aca="false">IF(A138="","",MAX(H138+0,J138+0))</f>
        <v/>
      </c>
      <c r="S138" s="0" t="str">
        <f aca="true">IF(A138="","",IF(OR(F138="Received",F138="Cancelled"),"",TODAY()-R138))</f>
        <v/>
      </c>
    </row>
    <row r="139" customFormat="false" ht="15" hidden="false" customHeight="false" outlineLevel="0" collapsed="false">
      <c r="M139" s="0" t="str">
        <f aca="true">IF(A139="","",IF(AND(F139&lt;&gt;"Received",F139&lt;&gt;"Cancelled",I139&lt;&gt;"",TODAY()&gt;I139),"OVERDUE",""))</f>
        <v/>
      </c>
      <c r="R139" s="13" t="str">
        <f aca="false">IF(A139="","",MAX(H139+0,J139+0))</f>
        <v/>
      </c>
      <c r="S139" s="0" t="str">
        <f aca="true">IF(A139="","",IF(OR(F139="Received",F139="Cancelled"),"",TODAY()-R139))</f>
        <v/>
      </c>
    </row>
    <row r="140" customFormat="false" ht="15" hidden="false" customHeight="false" outlineLevel="0" collapsed="false">
      <c r="M140" s="0" t="str">
        <f aca="true">IF(A140="","",IF(AND(F140&lt;&gt;"Received",F140&lt;&gt;"Cancelled",I140&lt;&gt;"",TODAY()&gt;I140),"OVERDUE",""))</f>
        <v/>
      </c>
      <c r="R140" s="13" t="str">
        <f aca="false">IF(A140="","",MAX(H140+0,J140+0))</f>
        <v/>
      </c>
      <c r="S140" s="0" t="str">
        <f aca="true">IF(A140="","",IF(OR(F140="Received",F140="Cancelled"),"",TODAY()-R140))</f>
        <v/>
      </c>
    </row>
    <row r="141" customFormat="false" ht="15" hidden="false" customHeight="false" outlineLevel="0" collapsed="false">
      <c r="M141" s="0" t="str">
        <f aca="true">IF(A141="","",IF(AND(F141&lt;&gt;"Received",F141&lt;&gt;"Cancelled",I141&lt;&gt;"",TODAY()&gt;I141),"OVERDUE",""))</f>
        <v/>
      </c>
      <c r="R141" s="13" t="str">
        <f aca="false">IF(A141="","",MAX(H141+0,J141+0))</f>
        <v/>
      </c>
      <c r="S141" s="0" t="str">
        <f aca="true">IF(A141="","",IF(OR(F141="Received",F141="Cancelled"),"",TODAY()-R141))</f>
        <v/>
      </c>
    </row>
    <row r="142" customFormat="false" ht="15" hidden="false" customHeight="false" outlineLevel="0" collapsed="false">
      <c r="M142" s="0" t="str">
        <f aca="true">IF(A142="","",IF(AND(F142&lt;&gt;"Received",F142&lt;&gt;"Cancelled",I142&lt;&gt;"",TODAY()&gt;I142),"OVERDUE",""))</f>
        <v/>
      </c>
      <c r="R142" s="13" t="str">
        <f aca="false">IF(A142="","",MAX(H142+0,J142+0))</f>
        <v/>
      </c>
      <c r="S142" s="0" t="str">
        <f aca="true">IF(A142="","",IF(OR(F142="Received",F142="Cancelled"),"",TODAY()-R142))</f>
        <v/>
      </c>
    </row>
    <row r="143" customFormat="false" ht="15" hidden="false" customHeight="false" outlineLevel="0" collapsed="false">
      <c r="M143" s="0" t="str">
        <f aca="true">IF(A143="","",IF(AND(F143&lt;&gt;"Received",F143&lt;&gt;"Cancelled",I143&lt;&gt;"",TODAY()&gt;I143),"OVERDUE",""))</f>
        <v/>
      </c>
      <c r="R143" s="13" t="str">
        <f aca="false">IF(A143="","",MAX(H143+0,J143+0))</f>
        <v/>
      </c>
      <c r="S143" s="0" t="str">
        <f aca="true">IF(A143="","",IF(OR(F143="Received",F143="Cancelled"),"",TODAY()-R143))</f>
        <v/>
      </c>
    </row>
    <row r="144" customFormat="false" ht="15" hidden="false" customHeight="false" outlineLevel="0" collapsed="false">
      <c r="M144" s="0" t="str">
        <f aca="true">IF(A144="","",IF(AND(F144&lt;&gt;"Received",F144&lt;&gt;"Cancelled",I144&lt;&gt;"",TODAY()&gt;I144),"OVERDUE",""))</f>
        <v/>
      </c>
      <c r="R144" s="13" t="str">
        <f aca="false">IF(A144="","",MAX(H144+0,J144+0))</f>
        <v/>
      </c>
      <c r="S144" s="0" t="str">
        <f aca="true">IF(A144="","",IF(OR(F144="Received",F144="Cancelled"),"",TODAY()-R144))</f>
        <v/>
      </c>
    </row>
    <row r="145" customFormat="false" ht="15" hidden="false" customHeight="false" outlineLevel="0" collapsed="false">
      <c r="M145" s="0" t="str">
        <f aca="true">IF(A145="","",IF(AND(F145&lt;&gt;"Received",F145&lt;&gt;"Cancelled",I145&lt;&gt;"",TODAY()&gt;I145),"OVERDUE",""))</f>
        <v/>
      </c>
      <c r="R145" s="13" t="str">
        <f aca="false">IF(A145="","",MAX(H145+0,J145+0))</f>
        <v/>
      </c>
      <c r="S145" s="0" t="str">
        <f aca="true">IF(A145="","",IF(OR(F145="Received",F145="Cancelled"),"",TODAY()-R145))</f>
        <v/>
      </c>
    </row>
    <row r="146" customFormat="false" ht="15" hidden="false" customHeight="false" outlineLevel="0" collapsed="false">
      <c r="M146" s="0" t="str">
        <f aca="true">IF(A146="","",IF(AND(F146&lt;&gt;"Received",F146&lt;&gt;"Cancelled",I146&lt;&gt;"",TODAY()&gt;I146),"OVERDUE",""))</f>
        <v/>
      </c>
      <c r="R146" s="13" t="str">
        <f aca="false">IF(A146="","",MAX(H146+0,J146+0))</f>
        <v/>
      </c>
      <c r="S146" s="0" t="str">
        <f aca="true">IF(A146="","",IF(OR(F146="Received",F146="Cancelled"),"",TODAY()-R146))</f>
        <v/>
      </c>
    </row>
    <row r="147" customFormat="false" ht="15" hidden="false" customHeight="false" outlineLevel="0" collapsed="false">
      <c r="M147" s="0" t="str">
        <f aca="true">IF(A147="","",IF(AND(F147&lt;&gt;"Received",F147&lt;&gt;"Cancelled",I147&lt;&gt;"",TODAY()&gt;I147),"OVERDUE",""))</f>
        <v/>
      </c>
      <c r="R147" s="13" t="str">
        <f aca="false">IF(A147="","",MAX(H147+0,J147+0))</f>
        <v/>
      </c>
      <c r="S147" s="0" t="str">
        <f aca="true">IF(A147="","",IF(OR(F147="Received",F147="Cancelled"),"",TODAY()-R147))</f>
        <v/>
      </c>
    </row>
    <row r="148" customFormat="false" ht="15" hidden="false" customHeight="false" outlineLevel="0" collapsed="false">
      <c r="M148" s="0" t="str">
        <f aca="true">IF(A148="","",IF(AND(F148&lt;&gt;"Received",F148&lt;&gt;"Cancelled",I148&lt;&gt;"",TODAY()&gt;I148),"OVERDUE",""))</f>
        <v/>
      </c>
      <c r="R148" s="13" t="str">
        <f aca="false">IF(A148="","",MAX(H148+0,J148+0))</f>
        <v/>
      </c>
      <c r="S148" s="0" t="str">
        <f aca="true">IF(A148="","",IF(OR(F148="Received",F148="Cancelled"),"",TODAY()-R148))</f>
        <v/>
      </c>
    </row>
    <row r="149" customFormat="false" ht="15" hidden="false" customHeight="false" outlineLevel="0" collapsed="false">
      <c r="M149" s="0" t="str">
        <f aca="true">IF(A149="","",IF(AND(F149&lt;&gt;"Received",F149&lt;&gt;"Cancelled",I149&lt;&gt;"",TODAY()&gt;I149),"OVERDUE",""))</f>
        <v/>
      </c>
      <c r="R149" s="13" t="str">
        <f aca="false">IF(A149="","",MAX(H149+0,J149+0))</f>
        <v/>
      </c>
      <c r="S149" s="0" t="str">
        <f aca="true">IF(A149="","",IF(OR(F149="Received",F149="Cancelled"),"",TODAY()-R149))</f>
        <v/>
      </c>
    </row>
    <row r="150" customFormat="false" ht="15" hidden="false" customHeight="false" outlineLevel="0" collapsed="false">
      <c r="M150" s="0" t="str">
        <f aca="true">IF(A150="","",IF(AND(F150&lt;&gt;"Received",F150&lt;&gt;"Cancelled",I150&lt;&gt;"",TODAY()&gt;I150),"OVERDUE",""))</f>
        <v/>
      </c>
      <c r="R150" s="13" t="str">
        <f aca="false">IF(A150="","",MAX(H150+0,J150+0))</f>
        <v/>
      </c>
      <c r="S150" s="0" t="str">
        <f aca="true">IF(A150="","",IF(OR(F150="Received",F150="Cancelled"),"",TODAY()-R150))</f>
        <v/>
      </c>
    </row>
    <row r="151" customFormat="false" ht="15" hidden="false" customHeight="false" outlineLevel="0" collapsed="false">
      <c r="M151" s="0" t="str">
        <f aca="true">IF(A151="","",IF(AND(F151&lt;&gt;"Received",F151&lt;&gt;"Cancelled",I151&lt;&gt;"",TODAY()&gt;I151),"OVERDUE",""))</f>
        <v/>
      </c>
      <c r="R151" s="13" t="str">
        <f aca="false">IF(A151="","",MAX(H151+0,J151+0))</f>
        <v/>
      </c>
      <c r="S151" s="0" t="str">
        <f aca="true">IF(A151="","",IF(OR(F151="Received",F151="Cancelled"),"",TODAY()-R151))</f>
        <v/>
      </c>
    </row>
    <row r="152" customFormat="false" ht="15" hidden="false" customHeight="false" outlineLevel="0" collapsed="false">
      <c r="M152" s="0" t="str">
        <f aca="true">IF(A152="","",IF(AND(F152&lt;&gt;"Received",F152&lt;&gt;"Cancelled",I152&lt;&gt;"",TODAY()&gt;I152),"OVERDUE",""))</f>
        <v/>
      </c>
      <c r="R152" s="13" t="str">
        <f aca="false">IF(A152="","",MAX(H152+0,J152+0))</f>
        <v/>
      </c>
      <c r="S152" s="0" t="str">
        <f aca="true">IF(A152="","",IF(OR(F152="Received",F152="Cancelled"),"",TODAY()-R152))</f>
        <v/>
      </c>
    </row>
    <row r="153" customFormat="false" ht="15" hidden="false" customHeight="false" outlineLevel="0" collapsed="false">
      <c r="M153" s="0" t="str">
        <f aca="true">IF(A153="","",IF(AND(F153&lt;&gt;"Received",F153&lt;&gt;"Cancelled",I153&lt;&gt;"",TODAY()&gt;I153),"OVERDUE",""))</f>
        <v/>
      </c>
      <c r="R153" s="13" t="str">
        <f aca="false">IF(A153="","",MAX(H153+0,J153+0))</f>
        <v/>
      </c>
      <c r="S153" s="0" t="str">
        <f aca="true">IF(A153="","",IF(OR(F153="Received",F153="Cancelled"),"",TODAY()-R153))</f>
        <v/>
      </c>
    </row>
    <row r="154" customFormat="false" ht="15" hidden="false" customHeight="false" outlineLevel="0" collapsed="false">
      <c r="M154" s="0" t="str">
        <f aca="true">IF(A154="","",IF(AND(F154&lt;&gt;"Received",F154&lt;&gt;"Cancelled",I154&lt;&gt;"",TODAY()&gt;I154),"OVERDUE",""))</f>
        <v/>
      </c>
      <c r="R154" s="13" t="str">
        <f aca="false">IF(A154="","",MAX(H154+0,J154+0))</f>
        <v/>
      </c>
      <c r="S154" s="0" t="str">
        <f aca="true">IF(A154="","",IF(OR(F154="Received",F154="Cancelled"),"",TODAY()-R154))</f>
        <v/>
      </c>
    </row>
    <row r="155" customFormat="false" ht="15" hidden="false" customHeight="false" outlineLevel="0" collapsed="false">
      <c r="M155" s="0" t="str">
        <f aca="true">IF(A155="","",IF(AND(F155&lt;&gt;"Received",F155&lt;&gt;"Cancelled",I155&lt;&gt;"",TODAY()&gt;I155),"OVERDUE",""))</f>
        <v/>
      </c>
      <c r="R155" s="13" t="str">
        <f aca="false">IF(A155="","",MAX(H155+0,J155+0))</f>
        <v/>
      </c>
      <c r="S155" s="0" t="str">
        <f aca="true">IF(A155="","",IF(OR(F155="Received",F155="Cancelled"),"",TODAY()-R155))</f>
        <v/>
      </c>
    </row>
    <row r="156" customFormat="false" ht="15" hidden="false" customHeight="false" outlineLevel="0" collapsed="false">
      <c r="M156" s="0" t="str">
        <f aca="true">IF(A156="","",IF(AND(F156&lt;&gt;"Received",F156&lt;&gt;"Cancelled",I156&lt;&gt;"",TODAY()&gt;I156),"OVERDUE",""))</f>
        <v/>
      </c>
      <c r="R156" s="13" t="str">
        <f aca="false">IF(A156="","",MAX(H156+0,J156+0))</f>
        <v/>
      </c>
      <c r="S156" s="0" t="str">
        <f aca="true">IF(A156="","",IF(OR(F156="Received",F156="Cancelled"),"",TODAY()-R156))</f>
        <v/>
      </c>
    </row>
    <row r="157" customFormat="false" ht="15" hidden="false" customHeight="false" outlineLevel="0" collapsed="false">
      <c r="M157" s="0" t="str">
        <f aca="true">IF(A157="","",IF(AND(F157&lt;&gt;"Received",F157&lt;&gt;"Cancelled",I157&lt;&gt;"",TODAY()&gt;I157),"OVERDUE",""))</f>
        <v/>
      </c>
      <c r="R157" s="13" t="str">
        <f aca="false">IF(A157="","",MAX(H157+0,J157+0))</f>
        <v/>
      </c>
      <c r="S157" s="0" t="str">
        <f aca="true">IF(A157="","",IF(OR(F157="Received",F157="Cancelled"),"",TODAY()-R157))</f>
        <v/>
      </c>
    </row>
    <row r="158" customFormat="false" ht="15" hidden="false" customHeight="false" outlineLevel="0" collapsed="false">
      <c r="M158" s="0" t="str">
        <f aca="true">IF(A158="","",IF(AND(F158&lt;&gt;"Received",F158&lt;&gt;"Cancelled",I158&lt;&gt;"",TODAY()&gt;I158),"OVERDUE",""))</f>
        <v/>
      </c>
      <c r="R158" s="13" t="str">
        <f aca="false">IF(A158="","",MAX(H158+0,J158+0))</f>
        <v/>
      </c>
      <c r="S158" s="0" t="str">
        <f aca="true">IF(A158="","",IF(OR(F158="Received",F158="Cancelled"),"",TODAY()-R158))</f>
        <v/>
      </c>
    </row>
    <row r="159" customFormat="false" ht="15" hidden="false" customHeight="false" outlineLevel="0" collapsed="false">
      <c r="M159" s="0" t="str">
        <f aca="true">IF(A159="","",IF(AND(F159&lt;&gt;"Received",F159&lt;&gt;"Cancelled",I159&lt;&gt;"",TODAY()&gt;I159),"OVERDUE",""))</f>
        <v/>
      </c>
      <c r="R159" s="13" t="str">
        <f aca="false">IF(A159="","",MAX(H159+0,J159+0))</f>
        <v/>
      </c>
      <c r="S159" s="0" t="str">
        <f aca="true">IF(A159="","",IF(OR(F159="Received",F159="Cancelled"),"",TODAY()-R159))</f>
        <v/>
      </c>
    </row>
    <row r="160" customFormat="false" ht="15" hidden="false" customHeight="false" outlineLevel="0" collapsed="false">
      <c r="M160" s="0" t="str">
        <f aca="true">IF(A160="","",IF(AND(F160&lt;&gt;"Received",F160&lt;&gt;"Cancelled",I160&lt;&gt;"",TODAY()&gt;I160),"OVERDUE",""))</f>
        <v/>
      </c>
      <c r="R160" s="13" t="str">
        <f aca="false">IF(A160="","",MAX(H160+0,J160+0))</f>
        <v/>
      </c>
      <c r="S160" s="0" t="str">
        <f aca="true">IF(A160="","",IF(OR(F160="Received",F160="Cancelled"),"",TODAY()-R160))</f>
        <v/>
      </c>
    </row>
    <row r="161" customFormat="false" ht="15" hidden="false" customHeight="false" outlineLevel="0" collapsed="false">
      <c r="M161" s="0" t="str">
        <f aca="true">IF(A161="","",IF(AND(F161&lt;&gt;"Received",F161&lt;&gt;"Cancelled",I161&lt;&gt;"",TODAY()&gt;I161),"OVERDUE",""))</f>
        <v/>
      </c>
      <c r="R161" s="13" t="str">
        <f aca="false">IF(A161="","",MAX(H161+0,J161+0))</f>
        <v/>
      </c>
      <c r="S161" s="0" t="str">
        <f aca="true">IF(A161="","",IF(OR(F161="Received",F161="Cancelled"),"",TODAY()-R161))</f>
        <v/>
      </c>
    </row>
    <row r="162" customFormat="false" ht="15" hidden="false" customHeight="false" outlineLevel="0" collapsed="false">
      <c r="M162" s="0" t="str">
        <f aca="true">IF(A162="","",IF(AND(F162&lt;&gt;"Received",F162&lt;&gt;"Cancelled",I162&lt;&gt;"",TODAY()&gt;I162),"OVERDUE",""))</f>
        <v/>
      </c>
      <c r="R162" s="13" t="str">
        <f aca="false">IF(A162="","",MAX(H162+0,J162+0))</f>
        <v/>
      </c>
      <c r="S162" s="0" t="str">
        <f aca="true">IF(A162="","",IF(OR(F162="Received",F162="Cancelled"),"",TODAY()-R162))</f>
        <v/>
      </c>
    </row>
    <row r="163" customFormat="false" ht="15" hidden="false" customHeight="false" outlineLevel="0" collapsed="false">
      <c r="M163" s="0" t="str">
        <f aca="true">IF(A163="","",IF(AND(F163&lt;&gt;"Received",F163&lt;&gt;"Cancelled",I163&lt;&gt;"",TODAY()&gt;I163),"OVERDUE",""))</f>
        <v/>
      </c>
      <c r="R163" s="13" t="str">
        <f aca="false">IF(A163="","",MAX(H163+0,J163+0))</f>
        <v/>
      </c>
      <c r="S163" s="0" t="str">
        <f aca="true">IF(A163="","",IF(OR(F163="Received",F163="Cancelled"),"",TODAY()-R163))</f>
        <v/>
      </c>
    </row>
    <row r="164" customFormat="false" ht="15" hidden="false" customHeight="false" outlineLevel="0" collapsed="false">
      <c r="M164" s="0" t="str">
        <f aca="true">IF(A164="","",IF(AND(F164&lt;&gt;"Received",F164&lt;&gt;"Cancelled",I164&lt;&gt;"",TODAY()&gt;I164),"OVERDUE",""))</f>
        <v/>
      </c>
      <c r="R164" s="13" t="str">
        <f aca="false">IF(A164="","",MAX(H164+0,J164+0))</f>
        <v/>
      </c>
      <c r="S164" s="0" t="str">
        <f aca="true">IF(A164="","",IF(OR(F164="Received",F164="Cancelled"),"",TODAY()-R164))</f>
        <v/>
      </c>
    </row>
    <row r="165" customFormat="false" ht="15" hidden="false" customHeight="false" outlineLevel="0" collapsed="false">
      <c r="M165" s="0" t="str">
        <f aca="true">IF(A165="","",IF(AND(F165&lt;&gt;"Received",F165&lt;&gt;"Cancelled",I165&lt;&gt;"",TODAY()&gt;I165),"OVERDUE",""))</f>
        <v/>
      </c>
      <c r="R165" s="13" t="str">
        <f aca="false">IF(A165="","",MAX(H165+0,J165+0))</f>
        <v/>
      </c>
      <c r="S165" s="0" t="str">
        <f aca="true">IF(A165="","",IF(OR(F165="Received",F165="Cancelled"),"",TODAY()-R165))</f>
        <v/>
      </c>
    </row>
    <row r="166" customFormat="false" ht="15" hidden="false" customHeight="false" outlineLevel="0" collapsed="false">
      <c r="M166" s="0" t="str">
        <f aca="true">IF(A166="","",IF(AND(F166&lt;&gt;"Received",F166&lt;&gt;"Cancelled",I166&lt;&gt;"",TODAY()&gt;I166),"OVERDUE",""))</f>
        <v/>
      </c>
      <c r="R166" s="13" t="str">
        <f aca="false">IF(A166="","",MAX(H166+0,J166+0))</f>
        <v/>
      </c>
      <c r="S166" s="0" t="str">
        <f aca="true">IF(A166="","",IF(OR(F166="Received",F166="Cancelled"),"",TODAY()-R166))</f>
        <v/>
      </c>
    </row>
    <row r="167" customFormat="false" ht="15" hidden="false" customHeight="false" outlineLevel="0" collapsed="false">
      <c r="M167" s="0" t="str">
        <f aca="true">IF(A167="","",IF(AND(F167&lt;&gt;"Received",F167&lt;&gt;"Cancelled",I167&lt;&gt;"",TODAY()&gt;I167),"OVERDUE",""))</f>
        <v/>
      </c>
      <c r="R167" s="13" t="str">
        <f aca="false">IF(A167="","",MAX(H167+0,J167+0))</f>
        <v/>
      </c>
      <c r="S167" s="0" t="str">
        <f aca="true">IF(A167="","",IF(OR(F167="Received",F167="Cancelled"),"",TODAY()-R167))</f>
        <v/>
      </c>
    </row>
    <row r="168" customFormat="false" ht="15" hidden="false" customHeight="false" outlineLevel="0" collapsed="false">
      <c r="M168" s="0" t="str">
        <f aca="true">IF(A168="","",IF(AND(F168&lt;&gt;"Received",F168&lt;&gt;"Cancelled",I168&lt;&gt;"",TODAY()&gt;I168),"OVERDUE",""))</f>
        <v/>
      </c>
      <c r="R168" s="13" t="str">
        <f aca="false">IF(A168="","",MAX(H168+0,J168+0))</f>
        <v/>
      </c>
      <c r="S168" s="0" t="str">
        <f aca="true">IF(A168="","",IF(OR(F168="Received",F168="Cancelled"),"",TODAY()-R168))</f>
        <v/>
      </c>
    </row>
    <row r="169" customFormat="false" ht="15" hidden="false" customHeight="false" outlineLevel="0" collapsed="false">
      <c r="M169" s="0" t="str">
        <f aca="true">IF(A169="","",IF(AND(F169&lt;&gt;"Received",F169&lt;&gt;"Cancelled",I169&lt;&gt;"",TODAY()&gt;I169),"OVERDUE",""))</f>
        <v/>
      </c>
      <c r="R169" s="13" t="str">
        <f aca="false">IF(A169="","",MAX(H169+0,J169+0))</f>
        <v/>
      </c>
      <c r="S169" s="0" t="str">
        <f aca="true">IF(A169="","",IF(OR(F169="Received",F169="Cancelled"),"",TODAY()-R169))</f>
        <v/>
      </c>
    </row>
    <row r="170" customFormat="false" ht="15" hidden="false" customHeight="false" outlineLevel="0" collapsed="false">
      <c r="M170" s="0" t="str">
        <f aca="true">IF(A170="","",IF(AND(F170&lt;&gt;"Received",F170&lt;&gt;"Cancelled",I170&lt;&gt;"",TODAY()&gt;I170),"OVERDUE",""))</f>
        <v/>
      </c>
      <c r="R170" s="13" t="str">
        <f aca="false">IF(A170="","",MAX(H170+0,J170+0))</f>
        <v/>
      </c>
      <c r="S170" s="0" t="str">
        <f aca="true">IF(A170="","",IF(OR(F170="Received",F170="Cancelled"),"",TODAY()-R170))</f>
        <v/>
      </c>
    </row>
    <row r="171" customFormat="false" ht="15" hidden="false" customHeight="false" outlineLevel="0" collapsed="false">
      <c r="M171" s="0" t="str">
        <f aca="true">IF(A171="","",IF(AND(F171&lt;&gt;"Received",F171&lt;&gt;"Cancelled",I171&lt;&gt;"",TODAY()&gt;I171),"OVERDUE",""))</f>
        <v/>
      </c>
      <c r="R171" s="13" t="str">
        <f aca="false">IF(A171="","",MAX(H171+0,J171+0))</f>
        <v/>
      </c>
      <c r="S171" s="0" t="str">
        <f aca="true">IF(A171="","",IF(OR(F171="Received",F171="Cancelled"),"",TODAY()-R171))</f>
        <v/>
      </c>
    </row>
    <row r="172" customFormat="false" ht="15" hidden="false" customHeight="false" outlineLevel="0" collapsed="false">
      <c r="M172" s="0" t="str">
        <f aca="true">IF(A172="","",IF(AND(F172&lt;&gt;"Received",F172&lt;&gt;"Cancelled",I172&lt;&gt;"",TODAY()&gt;I172),"OVERDUE",""))</f>
        <v/>
      </c>
      <c r="R172" s="13" t="str">
        <f aca="false">IF(A172="","",MAX(H172+0,J172+0))</f>
        <v/>
      </c>
      <c r="S172" s="0" t="str">
        <f aca="true">IF(A172="","",IF(OR(F172="Received",F172="Cancelled"),"",TODAY()-R172))</f>
        <v/>
      </c>
    </row>
    <row r="173" customFormat="false" ht="15" hidden="false" customHeight="false" outlineLevel="0" collapsed="false">
      <c r="M173" s="0" t="str">
        <f aca="true">IF(A173="","",IF(AND(F173&lt;&gt;"Received",F173&lt;&gt;"Cancelled",I173&lt;&gt;"",TODAY()&gt;I173),"OVERDUE",""))</f>
        <v/>
      </c>
      <c r="R173" s="13" t="str">
        <f aca="false">IF(A173="","",MAX(H173+0,J173+0))</f>
        <v/>
      </c>
      <c r="S173" s="0" t="str">
        <f aca="true">IF(A173="","",IF(OR(F173="Received",F173="Cancelled"),"",TODAY()-R173))</f>
        <v/>
      </c>
    </row>
    <row r="174" customFormat="false" ht="15" hidden="false" customHeight="false" outlineLevel="0" collapsed="false">
      <c r="M174" s="0" t="str">
        <f aca="true">IF(A174="","",IF(AND(F174&lt;&gt;"Received",F174&lt;&gt;"Cancelled",I174&lt;&gt;"",TODAY()&gt;I174),"OVERDUE",""))</f>
        <v/>
      </c>
      <c r="R174" s="13" t="str">
        <f aca="false">IF(A174="","",MAX(H174+0,J174+0))</f>
        <v/>
      </c>
      <c r="S174" s="0" t="str">
        <f aca="true">IF(A174="","",IF(OR(F174="Received",F174="Cancelled"),"",TODAY()-R174))</f>
        <v/>
      </c>
    </row>
    <row r="175" customFormat="false" ht="15" hidden="false" customHeight="false" outlineLevel="0" collapsed="false">
      <c r="M175" s="0" t="str">
        <f aca="true">IF(A175="","",IF(AND(F175&lt;&gt;"Received",F175&lt;&gt;"Cancelled",I175&lt;&gt;"",TODAY()&gt;I175),"OVERDUE",""))</f>
        <v/>
      </c>
      <c r="R175" s="13" t="str">
        <f aca="false">IF(A175="","",MAX(H175+0,J175+0))</f>
        <v/>
      </c>
      <c r="S175" s="0" t="str">
        <f aca="true">IF(A175="","",IF(OR(F175="Received",F175="Cancelled"),"",TODAY()-R175))</f>
        <v/>
      </c>
    </row>
    <row r="176" customFormat="false" ht="15" hidden="false" customHeight="false" outlineLevel="0" collapsed="false">
      <c r="M176" s="0" t="str">
        <f aca="true">IF(A176="","",IF(AND(F176&lt;&gt;"Received",F176&lt;&gt;"Cancelled",I176&lt;&gt;"",TODAY()&gt;I176),"OVERDUE",""))</f>
        <v/>
      </c>
      <c r="R176" s="13" t="str">
        <f aca="false">IF(A176="","",MAX(H176+0,J176+0))</f>
        <v/>
      </c>
      <c r="S176" s="0" t="str">
        <f aca="true">IF(A176="","",IF(OR(F176="Received",F176="Cancelled"),"",TODAY()-R176))</f>
        <v/>
      </c>
    </row>
    <row r="177" customFormat="false" ht="15" hidden="false" customHeight="false" outlineLevel="0" collapsed="false">
      <c r="M177" s="0" t="str">
        <f aca="true">IF(A177="","",IF(AND(F177&lt;&gt;"Received",F177&lt;&gt;"Cancelled",I177&lt;&gt;"",TODAY()&gt;I177),"OVERDUE",""))</f>
        <v/>
      </c>
      <c r="R177" s="13" t="str">
        <f aca="false">IF(A177="","",MAX(H177+0,J177+0))</f>
        <v/>
      </c>
      <c r="S177" s="0" t="str">
        <f aca="true">IF(A177="","",IF(OR(F177="Received",F177="Cancelled"),"",TODAY()-R177))</f>
        <v/>
      </c>
    </row>
    <row r="178" customFormat="false" ht="15" hidden="false" customHeight="false" outlineLevel="0" collapsed="false">
      <c r="M178" s="0" t="str">
        <f aca="true">IF(A178="","",IF(AND(F178&lt;&gt;"Received",F178&lt;&gt;"Cancelled",I178&lt;&gt;"",TODAY()&gt;I178),"OVERDUE",""))</f>
        <v/>
      </c>
      <c r="R178" s="13" t="str">
        <f aca="false">IF(A178="","",MAX(H178+0,J178+0))</f>
        <v/>
      </c>
      <c r="S178" s="0" t="str">
        <f aca="true">IF(A178="","",IF(OR(F178="Received",F178="Cancelled"),"",TODAY()-R178))</f>
        <v/>
      </c>
    </row>
    <row r="179" customFormat="false" ht="15" hidden="false" customHeight="false" outlineLevel="0" collapsed="false">
      <c r="M179" s="0" t="str">
        <f aca="true">IF(A179="","",IF(AND(F179&lt;&gt;"Received",F179&lt;&gt;"Cancelled",I179&lt;&gt;"",TODAY()&gt;I179),"OVERDUE",""))</f>
        <v/>
      </c>
      <c r="R179" s="13" t="str">
        <f aca="false">IF(A179="","",MAX(H179+0,J179+0))</f>
        <v/>
      </c>
      <c r="S179" s="0" t="str">
        <f aca="true">IF(A179="","",IF(OR(F179="Received",F179="Cancelled"),"",TODAY()-R179))</f>
        <v/>
      </c>
    </row>
    <row r="180" customFormat="false" ht="15" hidden="false" customHeight="false" outlineLevel="0" collapsed="false">
      <c r="M180" s="0" t="str">
        <f aca="true">IF(A180="","",IF(AND(F180&lt;&gt;"Received",F180&lt;&gt;"Cancelled",I180&lt;&gt;"",TODAY()&gt;I180),"OVERDUE",""))</f>
        <v/>
      </c>
      <c r="R180" s="13" t="str">
        <f aca="false">IF(A180="","",MAX(H180+0,J180+0))</f>
        <v/>
      </c>
      <c r="S180" s="0" t="str">
        <f aca="true">IF(A180="","",IF(OR(F180="Received",F180="Cancelled"),"",TODAY()-R180))</f>
        <v/>
      </c>
    </row>
    <row r="181" customFormat="false" ht="15" hidden="false" customHeight="false" outlineLevel="0" collapsed="false">
      <c r="M181" s="0" t="str">
        <f aca="true">IF(A181="","",IF(AND(F181&lt;&gt;"Received",F181&lt;&gt;"Cancelled",I181&lt;&gt;"",TODAY()&gt;I181),"OVERDUE",""))</f>
        <v/>
      </c>
      <c r="R181" s="13" t="str">
        <f aca="false">IF(A181="","",MAX(H181+0,J181+0))</f>
        <v/>
      </c>
      <c r="S181" s="0" t="str">
        <f aca="true">IF(A181="","",IF(OR(F181="Received",F181="Cancelled"),"",TODAY()-R181))</f>
        <v/>
      </c>
    </row>
    <row r="182" customFormat="false" ht="15" hidden="false" customHeight="false" outlineLevel="0" collapsed="false">
      <c r="M182" s="0" t="str">
        <f aca="true">IF(A182="","",IF(AND(F182&lt;&gt;"Received",F182&lt;&gt;"Cancelled",I182&lt;&gt;"",TODAY()&gt;I182),"OVERDUE",""))</f>
        <v/>
      </c>
      <c r="R182" s="13" t="str">
        <f aca="false">IF(A182="","",MAX(H182+0,J182+0))</f>
        <v/>
      </c>
      <c r="S182" s="0" t="str">
        <f aca="true">IF(A182="","",IF(OR(F182="Received",F182="Cancelled"),"",TODAY()-R182))</f>
        <v/>
      </c>
    </row>
    <row r="183" customFormat="false" ht="15" hidden="false" customHeight="false" outlineLevel="0" collapsed="false">
      <c r="M183" s="0" t="str">
        <f aca="true">IF(A183="","",IF(AND(F183&lt;&gt;"Received",F183&lt;&gt;"Cancelled",I183&lt;&gt;"",TODAY()&gt;I183),"OVERDUE",""))</f>
        <v/>
      </c>
      <c r="R183" s="13" t="str">
        <f aca="false">IF(A183="","",MAX(H183+0,J183+0))</f>
        <v/>
      </c>
      <c r="S183" s="0" t="str">
        <f aca="true">IF(A183="","",IF(OR(F183="Received",F183="Cancelled"),"",TODAY()-R183))</f>
        <v/>
      </c>
    </row>
    <row r="184" customFormat="false" ht="15" hidden="false" customHeight="false" outlineLevel="0" collapsed="false">
      <c r="M184" s="0" t="str">
        <f aca="true">IF(A184="","",IF(AND(F184&lt;&gt;"Received",F184&lt;&gt;"Cancelled",I184&lt;&gt;"",TODAY()&gt;I184),"OVERDUE",""))</f>
        <v/>
      </c>
      <c r="R184" s="13" t="str">
        <f aca="false">IF(A184="","",MAX(H184+0,J184+0))</f>
        <v/>
      </c>
      <c r="S184" s="0" t="str">
        <f aca="true">IF(A184="","",IF(OR(F184="Received",F184="Cancelled"),"",TODAY()-R184))</f>
        <v/>
      </c>
    </row>
    <row r="185" customFormat="false" ht="15" hidden="false" customHeight="false" outlineLevel="0" collapsed="false">
      <c r="M185" s="0" t="str">
        <f aca="true">IF(A185="","",IF(AND(F185&lt;&gt;"Received",F185&lt;&gt;"Cancelled",I185&lt;&gt;"",TODAY()&gt;I185),"OVERDUE",""))</f>
        <v/>
      </c>
      <c r="R185" s="13" t="str">
        <f aca="false">IF(A185="","",MAX(H185+0,J185+0))</f>
        <v/>
      </c>
      <c r="S185" s="0" t="str">
        <f aca="true">IF(A185="","",IF(OR(F185="Received",F185="Cancelled"),"",TODAY()-R185))</f>
        <v/>
      </c>
    </row>
    <row r="186" customFormat="false" ht="15" hidden="false" customHeight="false" outlineLevel="0" collapsed="false">
      <c r="M186" s="0" t="str">
        <f aca="true">IF(A186="","",IF(AND(F186&lt;&gt;"Received",F186&lt;&gt;"Cancelled",I186&lt;&gt;"",TODAY()&gt;I186),"OVERDUE",""))</f>
        <v/>
      </c>
      <c r="R186" s="13" t="str">
        <f aca="false">IF(A186="","",MAX(H186+0,J186+0))</f>
        <v/>
      </c>
      <c r="S186" s="0" t="str">
        <f aca="true">IF(A186="","",IF(OR(F186="Received",F186="Cancelled"),"",TODAY()-R186))</f>
        <v/>
      </c>
    </row>
    <row r="187" customFormat="false" ht="15" hidden="false" customHeight="false" outlineLevel="0" collapsed="false">
      <c r="M187" s="0" t="str">
        <f aca="true">IF(A187="","",IF(AND(F187&lt;&gt;"Received",F187&lt;&gt;"Cancelled",I187&lt;&gt;"",TODAY()&gt;I187),"OVERDUE",""))</f>
        <v/>
      </c>
      <c r="R187" s="13" t="str">
        <f aca="false">IF(A187="","",MAX(H187+0,J187+0))</f>
        <v/>
      </c>
      <c r="S187" s="0" t="str">
        <f aca="true">IF(A187="","",IF(OR(F187="Received",F187="Cancelled"),"",TODAY()-R187))</f>
        <v/>
      </c>
    </row>
    <row r="188" customFormat="false" ht="15" hidden="false" customHeight="false" outlineLevel="0" collapsed="false">
      <c r="M188" s="0" t="str">
        <f aca="true">IF(A188="","",IF(AND(F188&lt;&gt;"Received",F188&lt;&gt;"Cancelled",I188&lt;&gt;"",TODAY()&gt;I188),"OVERDUE",""))</f>
        <v/>
      </c>
      <c r="R188" s="13" t="str">
        <f aca="false">IF(A188="","",MAX(H188+0,J188+0))</f>
        <v/>
      </c>
      <c r="S188" s="0" t="str">
        <f aca="true">IF(A188="","",IF(OR(F188="Received",F188="Cancelled"),"",TODAY()-R188))</f>
        <v/>
      </c>
    </row>
    <row r="189" customFormat="false" ht="15" hidden="false" customHeight="false" outlineLevel="0" collapsed="false">
      <c r="M189" s="0" t="str">
        <f aca="true">IF(A189="","",IF(AND(F189&lt;&gt;"Received",F189&lt;&gt;"Cancelled",I189&lt;&gt;"",TODAY()&gt;I189),"OVERDUE",""))</f>
        <v/>
      </c>
      <c r="R189" s="13" t="str">
        <f aca="false">IF(A189="","",MAX(H189+0,J189+0))</f>
        <v/>
      </c>
      <c r="S189" s="0" t="str">
        <f aca="true">IF(A189="","",IF(OR(F189="Received",F189="Cancelled"),"",TODAY()-R189))</f>
        <v/>
      </c>
    </row>
    <row r="190" customFormat="false" ht="15" hidden="false" customHeight="false" outlineLevel="0" collapsed="false">
      <c r="M190" s="0" t="str">
        <f aca="true">IF(A190="","",IF(AND(F190&lt;&gt;"Received",F190&lt;&gt;"Cancelled",I190&lt;&gt;"",TODAY()&gt;I190),"OVERDUE",""))</f>
        <v/>
      </c>
      <c r="R190" s="13" t="str">
        <f aca="false">IF(A190="","",MAX(H190+0,J190+0))</f>
        <v/>
      </c>
      <c r="S190" s="0" t="str">
        <f aca="true">IF(A190="","",IF(OR(F190="Received",F190="Cancelled"),"",TODAY()-R190))</f>
        <v/>
      </c>
    </row>
    <row r="191" customFormat="false" ht="15" hidden="false" customHeight="false" outlineLevel="0" collapsed="false">
      <c r="M191" s="0" t="str">
        <f aca="true">IF(A191="","",IF(AND(F191&lt;&gt;"Received",F191&lt;&gt;"Cancelled",I191&lt;&gt;"",TODAY()&gt;I191),"OVERDUE",""))</f>
        <v/>
      </c>
      <c r="R191" s="13" t="str">
        <f aca="false">IF(A191="","",MAX(H191+0,J191+0))</f>
        <v/>
      </c>
      <c r="S191" s="0" t="str">
        <f aca="true">IF(A191="","",IF(OR(F191="Received",F191="Cancelled"),"",TODAY()-R191))</f>
        <v/>
      </c>
    </row>
    <row r="192" customFormat="false" ht="15" hidden="false" customHeight="false" outlineLevel="0" collapsed="false">
      <c r="M192" s="0" t="str">
        <f aca="true">IF(A192="","",IF(AND(F192&lt;&gt;"Received",F192&lt;&gt;"Cancelled",I192&lt;&gt;"",TODAY()&gt;I192),"OVERDUE",""))</f>
        <v/>
      </c>
      <c r="R192" s="13" t="str">
        <f aca="false">IF(A192="","",MAX(H192+0,J192+0))</f>
        <v/>
      </c>
      <c r="S192" s="0" t="str">
        <f aca="true">IF(A192="","",IF(OR(F192="Received",F192="Cancelled"),"",TODAY()-R192))</f>
        <v/>
      </c>
    </row>
    <row r="193" customFormat="false" ht="15" hidden="false" customHeight="false" outlineLevel="0" collapsed="false">
      <c r="M193" s="0" t="str">
        <f aca="true">IF(A193="","",IF(AND(F193&lt;&gt;"Received",F193&lt;&gt;"Cancelled",I193&lt;&gt;"",TODAY()&gt;I193),"OVERDUE",""))</f>
        <v/>
      </c>
      <c r="R193" s="13" t="str">
        <f aca="false">IF(A193="","",MAX(H193+0,J193+0))</f>
        <v/>
      </c>
      <c r="S193" s="0" t="str">
        <f aca="true">IF(A193="","",IF(OR(F193="Received",F193="Cancelled"),"",TODAY()-R193))</f>
        <v/>
      </c>
    </row>
    <row r="194" customFormat="false" ht="15" hidden="false" customHeight="false" outlineLevel="0" collapsed="false">
      <c r="M194" s="0" t="str">
        <f aca="true">IF(A194="","",IF(AND(F194&lt;&gt;"Received",F194&lt;&gt;"Cancelled",I194&lt;&gt;"",TODAY()&gt;I194),"OVERDUE",""))</f>
        <v/>
      </c>
      <c r="R194" s="13" t="str">
        <f aca="false">IF(A194="","",MAX(H194+0,J194+0))</f>
        <v/>
      </c>
      <c r="S194" s="0" t="str">
        <f aca="true">IF(A194="","",IF(OR(F194="Received",F194="Cancelled"),"",TODAY()-R194))</f>
        <v/>
      </c>
    </row>
    <row r="195" customFormat="false" ht="15" hidden="false" customHeight="false" outlineLevel="0" collapsed="false">
      <c r="M195" s="0" t="str">
        <f aca="true">IF(A195="","",IF(AND(F195&lt;&gt;"Received",F195&lt;&gt;"Cancelled",I195&lt;&gt;"",TODAY()&gt;I195),"OVERDUE",""))</f>
        <v/>
      </c>
      <c r="R195" s="13" t="str">
        <f aca="false">IF(A195="","",MAX(H195+0,J195+0))</f>
        <v/>
      </c>
      <c r="S195" s="0" t="str">
        <f aca="true">IF(A195="","",IF(OR(F195="Received",F195="Cancelled"),"",TODAY()-R195))</f>
        <v/>
      </c>
    </row>
    <row r="196" customFormat="false" ht="15" hidden="false" customHeight="false" outlineLevel="0" collapsed="false">
      <c r="M196" s="0" t="str">
        <f aca="true">IF(A196="","",IF(AND(F196&lt;&gt;"Received",F196&lt;&gt;"Cancelled",I196&lt;&gt;"",TODAY()&gt;I196),"OVERDUE",""))</f>
        <v/>
      </c>
      <c r="R196" s="13" t="str">
        <f aca="false">IF(A196="","",MAX(H196+0,J196+0))</f>
        <v/>
      </c>
      <c r="S196" s="0" t="str">
        <f aca="true">IF(A196="","",IF(OR(F196="Received",F196="Cancelled"),"",TODAY()-R196))</f>
        <v/>
      </c>
    </row>
    <row r="197" customFormat="false" ht="15" hidden="false" customHeight="false" outlineLevel="0" collapsed="false">
      <c r="M197" s="0" t="str">
        <f aca="true">IF(A197="","",IF(AND(F197&lt;&gt;"Received",F197&lt;&gt;"Cancelled",I197&lt;&gt;"",TODAY()&gt;I197),"OVERDUE",""))</f>
        <v/>
      </c>
      <c r="R197" s="13" t="str">
        <f aca="false">IF(A197="","",MAX(H197+0,J197+0))</f>
        <v/>
      </c>
      <c r="S197" s="0" t="str">
        <f aca="true">IF(A197="","",IF(OR(F197="Received",F197="Cancelled"),"",TODAY()-R197))</f>
        <v/>
      </c>
    </row>
    <row r="198" customFormat="false" ht="15" hidden="false" customHeight="false" outlineLevel="0" collapsed="false">
      <c r="M198" s="0" t="str">
        <f aca="true">IF(A198="","",IF(AND(F198&lt;&gt;"Received",F198&lt;&gt;"Cancelled",I198&lt;&gt;"",TODAY()&gt;I198),"OVERDUE",""))</f>
        <v/>
      </c>
      <c r="R198" s="13" t="str">
        <f aca="false">IF(A198="","",MAX(H198+0,J198+0))</f>
        <v/>
      </c>
      <c r="S198" s="0" t="str">
        <f aca="true">IF(A198="","",IF(OR(F198="Received",F198="Cancelled"),"",TODAY()-R198))</f>
        <v/>
      </c>
    </row>
    <row r="199" customFormat="false" ht="15" hidden="false" customHeight="false" outlineLevel="0" collapsed="false">
      <c r="M199" s="0" t="str">
        <f aca="true">IF(A199="","",IF(AND(F199&lt;&gt;"Received",F199&lt;&gt;"Cancelled",I199&lt;&gt;"",TODAY()&gt;I199),"OVERDUE",""))</f>
        <v/>
      </c>
      <c r="R199" s="13" t="str">
        <f aca="false">IF(A199="","",MAX(H199+0,J199+0))</f>
        <v/>
      </c>
      <c r="S199" s="0" t="str">
        <f aca="true">IF(A199="","",IF(OR(F199="Received",F199="Cancelled"),"",TODAY()-R199))</f>
        <v/>
      </c>
    </row>
    <row r="200" customFormat="false" ht="15" hidden="false" customHeight="false" outlineLevel="0" collapsed="false">
      <c r="M200" s="0" t="str">
        <f aca="true">IF(A200="","",IF(AND(F200&lt;&gt;"Received",F200&lt;&gt;"Cancelled",I200&lt;&gt;"",TODAY()&gt;I200),"OVERDUE",""))</f>
        <v/>
      </c>
      <c r="R200" s="13" t="str">
        <f aca="false">IF(A200="","",MAX(H200+0,J200+0))</f>
        <v/>
      </c>
      <c r="S200" s="0" t="str">
        <f aca="true">IF(A200="","",IF(OR(F200="Received",F200="Cancelled"),"",TODAY()-R200))</f>
        <v/>
      </c>
    </row>
    <row r="201" customFormat="false" ht="15" hidden="false" customHeight="false" outlineLevel="0" collapsed="false">
      <c r="M201" s="0" t="str">
        <f aca="true">IF(A201="","",IF(AND(F201&lt;&gt;"Received",F201&lt;&gt;"Cancelled",I201&lt;&gt;"",TODAY()&gt;I201),"OVERDUE",""))</f>
        <v/>
      </c>
      <c r="R201" s="13" t="str">
        <f aca="false">IF(A201="","",MAX(H201+0,J201+0))</f>
        <v/>
      </c>
      <c r="S201" s="0" t="str">
        <f aca="true">IF(A201="","",IF(OR(F201="Received",F201="Cancelled"),"",TODAY()-R201))</f>
        <v/>
      </c>
    </row>
    <row r="202" customFormat="false" ht="15" hidden="false" customHeight="false" outlineLevel="0" collapsed="false">
      <c r="M202" s="0" t="str">
        <f aca="true">IF(A202="","",IF(AND(F202&lt;&gt;"Received",F202&lt;&gt;"Cancelled",I202&lt;&gt;"",TODAY()&gt;I202),"OVERDUE",""))</f>
        <v/>
      </c>
      <c r="R202" s="13" t="str">
        <f aca="false">IF(A202="","",MAX(H202+0,J202+0))</f>
        <v/>
      </c>
      <c r="S202" s="0" t="str">
        <f aca="true">IF(A202="","",IF(OR(F202="Received",F202="Cancelled"),"",TODAY()-R202))</f>
        <v/>
      </c>
    </row>
    <row r="203" customFormat="false" ht="15" hidden="false" customHeight="false" outlineLevel="0" collapsed="false">
      <c r="M203" s="0" t="str">
        <f aca="true">IF(A203="","",IF(AND(F203&lt;&gt;"Received",F203&lt;&gt;"Cancelled",I203&lt;&gt;"",TODAY()&gt;I203),"OVERDUE",""))</f>
        <v/>
      </c>
      <c r="R203" s="13" t="str">
        <f aca="false">IF(A203="","",MAX(H203+0,J203+0))</f>
        <v/>
      </c>
      <c r="S203" s="0" t="str">
        <f aca="true">IF(A203="","",IF(OR(F203="Received",F203="Cancelled"),"",TODAY()-R203))</f>
        <v/>
      </c>
    </row>
    <row r="204" customFormat="false" ht="15" hidden="false" customHeight="false" outlineLevel="0" collapsed="false">
      <c r="M204" s="0" t="str">
        <f aca="true">IF(A204="","",IF(AND(F204&lt;&gt;"Received",F204&lt;&gt;"Cancelled",I204&lt;&gt;"",TODAY()&gt;I204),"OVERDUE",""))</f>
        <v/>
      </c>
      <c r="R204" s="13" t="str">
        <f aca="false">IF(A204="","",MAX(H204+0,J204+0))</f>
        <v/>
      </c>
      <c r="S204" s="0" t="str">
        <f aca="true">IF(A204="","",IF(OR(F204="Received",F204="Cancelled"),"",TODAY()-R204))</f>
        <v/>
      </c>
    </row>
    <row r="205" customFormat="false" ht="15" hidden="false" customHeight="false" outlineLevel="0" collapsed="false">
      <c r="M205" s="0" t="str">
        <f aca="true">IF(A205="","",IF(AND(F205&lt;&gt;"Received",F205&lt;&gt;"Cancelled",I205&lt;&gt;"",TODAY()&gt;I205),"OVERDUE",""))</f>
        <v/>
      </c>
      <c r="R205" s="13" t="str">
        <f aca="false">IF(A205="","",MAX(H205+0,J205+0))</f>
        <v/>
      </c>
      <c r="S205" s="0" t="str">
        <f aca="true">IF(A205="","",IF(OR(F205="Received",F205="Cancelled"),"",TODAY()-R205))</f>
        <v/>
      </c>
    </row>
    <row r="206" customFormat="false" ht="15" hidden="false" customHeight="false" outlineLevel="0" collapsed="false">
      <c r="M206" s="0" t="str">
        <f aca="true">IF(A206="","",IF(AND(F206&lt;&gt;"Received",F206&lt;&gt;"Cancelled",I206&lt;&gt;"",TODAY()&gt;I206),"OVERDUE",""))</f>
        <v/>
      </c>
      <c r="R206" s="13" t="str">
        <f aca="false">IF(A206="","",MAX(H206+0,J206+0))</f>
        <v/>
      </c>
      <c r="S206" s="0" t="str">
        <f aca="true">IF(A206="","",IF(OR(F206="Received",F206="Cancelled"),"",TODAY()-R206))</f>
        <v/>
      </c>
    </row>
    <row r="207" customFormat="false" ht="15" hidden="false" customHeight="false" outlineLevel="0" collapsed="false">
      <c r="M207" s="0" t="str">
        <f aca="true">IF(A207="","",IF(AND(F207&lt;&gt;"Received",F207&lt;&gt;"Cancelled",I207&lt;&gt;"",TODAY()&gt;I207),"OVERDUE",""))</f>
        <v/>
      </c>
      <c r="R207" s="13" t="str">
        <f aca="false">IF(A207="","",MAX(H207+0,J207+0))</f>
        <v/>
      </c>
      <c r="S207" s="0" t="str">
        <f aca="true">IF(A207="","",IF(OR(F207="Received",F207="Cancelled"),"",TODAY()-R207))</f>
        <v/>
      </c>
    </row>
    <row r="208" customFormat="false" ht="15" hidden="false" customHeight="false" outlineLevel="0" collapsed="false">
      <c r="M208" s="0" t="str">
        <f aca="true">IF(A208="","",IF(AND(F208&lt;&gt;"Received",F208&lt;&gt;"Cancelled",I208&lt;&gt;"",TODAY()&gt;I208),"OVERDUE",""))</f>
        <v/>
      </c>
      <c r="R208" s="13" t="str">
        <f aca="false">IF(A208="","",MAX(H208+0,J208+0))</f>
        <v/>
      </c>
      <c r="S208" s="0" t="str">
        <f aca="true">IF(A208="","",IF(OR(F208="Received",F208="Cancelled"),"",TODAY()-R208))</f>
        <v/>
      </c>
    </row>
    <row r="209" customFormat="false" ht="15" hidden="false" customHeight="false" outlineLevel="0" collapsed="false">
      <c r="M209" s="0" t="str">
        <f aca="true">IF(A209="","",IF(AND(F209&lt;&gt;"Received",F209&lt;&gt;"Cancelled",I209&lt;&gt;"",TODAY()&gt;I209),"OVERDUE",""))</f>
        <v/>
      </c>
      <c r="R209" s="13" t="str">
        <f aca="false">IF(A209="","",MAX(H209+0,J209+0))</f>
        <v/>
      </c>
      <c r="S209" s="0" t="str">
        <f aca="true">IF(A209="","",IF(OR(F209="Received",F209="Cancelled"),"",TODAY()-R209))</f>
        <v/>
      </c>
    </row>
    <row r="210" customFormat="false" ht="15" hidden="false" customHeight="false" outlineLevel="0" collapsed="false">
      <c r="M210" s="0" t="str">
        <f aca="true">IF(A210="","",IF(AND(F210&lt;&gt;"Received",F210&lt;&gt;"Cancelled",I210&lt;&gt;"",TODAY()&gt;I210),"OVERDUE",""))</f>
        <v/>
      </c>
      <c r="R210" s="13" t="str">
        <f aca="false">IF(A210="","",MAX(H210+0,J210+0))</f>
        <v/>
      </c>
      <c r="S210" s="0" t="str">
        <f aca="true">IF(A210="","",IF(OR(F210="Received",F210="Cancelled"),"",TODAY()-R210))</f>
        <v/>
      </c>
    </row>
    <row r="211" customFormat="false" ht="15" hidden="false" customHeight="false" outlineLevel="0" collapsed="false">
      <c r="M211" s="0" t="str">
        <f aca="true">IF(A211="","",IF(AND(F211&lt;&gt;"Received",F211&lt;&gt;"Cancelled",I211&lt;&gt;"",TODAY()&gt;I211),"OVERDUE",""))</f>
        <v/>
      </c>
      <c r="R211" s="13" t="str">
        <f aca="false">IF(A211="","",MAX(H211+0,J211+0))</f>
        <v/>
      </c>
      <c r="S211" s="0" t="str">
        <f aca="true">IF(A211="","",IF(OR(F211="Received",F211="Cancelled"),"",TODAY()-R211))</f>
        <v/>
      </c>
    </row>
    <row r="212" customFormat="false" ht="15" hidden="false" customHeight="false" outlineLevel="0" collapsed="false">
      <c r="M212" s="0" t="str">
        <f aca="true">IF(A212="","",IF(AND(F212&lt;&gt;"Received",F212&lt;&gt;"Cancelled",I212&lt;&gt;"",TODAY()&gt;I212),"OVERDUE",""))</f>
        <v/>
      </c>
      <c r="R212" s="13" t="str">
        <f aca="false">IF(A212="","",MAX(H212+0,J212+0))</f>
        <v/>
      </c>
      <c r="S212" s="0" t="str">
        <f aca="true">IF(A212="","",IF(OR(F212="Received",F212="Cancelled"),"",TODAY()-R212))</f>
        <v/>
      </c>
    </row>
    <row r="213" customFormat="false" ht="15" hidden="false" customHeight="false" outlineLevel="0" collapsed="false">
      <c r="M213" s="0" t="str">
        <f aca="true">IF(A213="","",IF(AND(F213&lt;&gt;"Received",F213&lt;&gt;"Cancelled",I213&lt;&gt;"",TODAY()&gt;I213),"OVERDUE",""))</f>
        <v/>
      </c>
      <c r="R213" s="13" t="str">
        <f aca="false">IF(A213="","",MAX(H213+0,J213+0))</f>
        <v/>
      </c>
      <c r="S213" s="0" t="str">
        <f aca="true">IF(A213="","",IF(OR(F213="Received",F213="Cancelled"),"",TODAY()-R213))</f>
        <v/>
      </c>
    </row>
    <row r="214" customFormat="false" ht="15" hidden="false" customHeight="false" outlineLevel="0" collapsed="false">
      <c r="M214" s="0" t="str">
        <f aca="true">IF(A214="","",IF(AND(F214&lt;&gt;"Received",F214&lt;&gt;"Cancelled",I214&lt;&gt;"",TODAY()&gt;I214),"OVERDUE",""))</f>
        <v/>
      </c>
      <c r="R214" s="13" t="str">
        <f aca="false">IF(A214="","",MAX(H214+0,J214+0))</f>
        <v/>
      </c>
      <c r="S214" s="0" t="str">
        <f aca="true">IF(A214="","",IF(OR(F214="Received",F214="Cancelled"),"",TODAY()-R214))</f>
        <v/>
      </c>
    </row>
    <row r="215" customFormat="false" ht="15" hidden="false" customHeight="false" outlineLevel="0" collapsed="false">
      <c r="M215" s="0" t="str">
        <f aca="true">IF(A215="","",IF(AND(F215&lt;&gt;"Received",F215&lt;&gt;"Cancelled",I215&lt;&gt;"",TODAY()&gt;I215),"OVERDUE",""))</f>
        <v/>
      </c>
      <c r="R215" s="13" t="str">
        <f aca="false">IF(A215="","",MAX(H215+0,J215+0))</f>
        <v/>
      </c>
      <c r="S215" s="0" t="str">
        <f aca="true">IF(A215="","",IF(OR(F215="Received",F215="Cancelled"),"",TODAY()-R215))</f>
        <v/>
      </c>
    </row>
    <row r="216" customFormat="false" ht="15" hidden="false" customHeight="false" outlineLevel="0" collapsed="false">
      <c r="M216" s="0" t="str">
        <f aca="true">IF(A216="","",IF(AND(F216&lt;&gt;"Received",F216&lt;&gt;"Cancelled",I216&lt;&gt;"",TODAY()&gt;I216),"OVERDUE",""))</f>
        <v/>
      </c>
      <c r="R216" s="13" t="str">
        <f aca="false">IF(A216="","",MAX(H216+0,J216+0))</f>
        <v/>
      </c>
      <c r="S216" s="0" t="str">
        <f aca="true">IF(A216="","",IF(OR(F216="Received",F216="Cancelled"),"",TODAY()-R216))</f>
        <v/>
      </c>
    </row>
    <row r="217" customFormat="false" ht="15" hidden="false" customHeight="false" outlineLevel="0" collapsed="false">
      <c r="M217" s="0" t="str">
        <f aca="true">IF(A217="","",IF(AND(F217&lt;&gt;"Received",F217&lt;&gt;"Cancelled",I217&lt;&gt;"",TODAY()&gt;I217),"OVERDUE",""))</f>
        <v/>
      </c>
      <c r="R217" s="13" t="str">
        <f aca="false">IF(A217="","",MAX(H217+0,J217+0))</f>
        <v/>
      </c>
      <c r="S217" s="0" t="str">
        <f aca="true">IF(A217="","",IF(OR(F217="Received",F217="Cancelled"),"",TODAY()-R217))</f>
        <v/>
      </c>
    </row>
    <row r="218" customFormat="false" ht="15" hidden="false" customHeight="false" outlineLevel="0" collapsed="false">
      <c r="M218" s="0" t="str">
        <f aca="true">IF(A218="","",IF(AND(F218&lt;&gt;"Received",F218&lt;&gt;"Cancelled",I218&lt;&gt;"",TODAY()&gt;I218),"OVERDUE",""))</f>
        <v/>
      </c>
      <c r="R218" s="13" t="str">
        <f aca="false">IF(A218="","",MAX(H218+0,J218+0))</f>
        <v/>
      </c>
      <c r="S218" s="0" t="str">
        <f aca="true">IF(A218="","",IF(OR(F218="Received",F218="Cancelled"),"",TODAY()-R218))</f>
        <v/>
      </c>
    </row>
    <row r="219" customFormat="false" ht="15" hidden="false" customHeight="false" outlineLevel="0" collapsed="false">
      <c r="M219" s="0" t="str">
        <f aca="true">IF(A219="","",IF(AND(F219&lt;&gt;"Received",F219&lt;&gt;"Cancelled",I219&lt;&gt;"",TODAY()&gt;I219),"OVERDUE",""))</f>
        <v/>
      </c>
      <c r="R219" s="13" t="str">
        <f aca="false">IF(A219="","",MAX(H219+0,J219+0))</f>
        <v/>
      </c>
      <c r="S219" s="0" t="str">
        <f aca="true">IF(A219="","",IF(OR(F219="Received",F219="Cancelled"),"",TODAY()-R219))</f>
        <v/>
      </c>
    </row>
    <row r="220" customFormat="false" ht="15" hidden="false" customHeight="false" outlineLevel="0" collapsed="false">
      <c r="M220" s="0" t="str">
        <f aca="true">IF(A220="","",IF(AND(F220&lt;&gt;"Received",F220&lt;&gt;"Cancelled",I220&lt;&gt;"",TODAY()&gt;I220),"OVERDUE",""))</f>
        <v/>
      </c>
      <c r="R220" s="13" t="str">
        <f aca="false">IF(A220="","",MAX(H220+0,J220+0))</f>
        <v/>
      </c>
      <c r="S220" s="0" t="str">
        <f aca="true">IF(A220="","",IF(OR(F220="Received",F220="Cancelled"),"",TODAY()-R220))</f>
        <v/>
      </c>
    </row>
    <row r="221" customFormat="false" ht="15" hidden="false" customHeight="false" outlineLevel="0" collapsed="false">
      <c r="M221" s="0" t="str">
        <f aca="true">IF(A221="","",IF(AND(F221&lt;&gt;"Received",F221&lt;&gt;"Cancelled",I221&lt;&gt;"",TODAY()&gt;I221),"OVERDUE",""))</f>
        <v/>
      </c>
      <c r="R221" s="13" t="str">
        <f aca="false">IF(A221="","",MAX(H221+0,J221+0))</f>
        <v/>
      </c>
      <c r="S221" s="0" t="str">
        <f aca="true">IF(A221="","",IF(OR(F221="Received",F221="Cancelled"),"",TODAY()-R221))</f>
        <v/>
      </c>
    </row>
    <row r="222" customFormat="false" ht="15" hidden="false" customHeight="false" outlineLevel="0" collapsed="false">
      <c r="M222" s="0" t="str">
        <f aca="true">IF(A222="","",IF(AND(F222&lt;&gt;"Received",F222&lt;&gt;"Cancelled",I222&lt;&gt;"",TODAY()&gt;I222),"OVERDUE",""))</f>
        <v/>
      </c>
      <c r="R222" s="13" t="str">
        <f aca="false">IF(A222="","",MAX(H222+0,J222+0))</f>
        <v/>
      </c>
      <c r="S222" s="0" t="str">
        <f aca="true">IF(A222="","",IF(OR(F222="Received",F222="Cancelled"),"",TODAY()-R222))</f>
        <v/>
      </c>
    </row>
    <row r="223" customFormat="false" ht="15" hidden="false" customHeight="false" outlineLevel="0" collapsed="false">
      <c r="M223" s="0" t="str">
        <f aca="true">IF(A223="","",IF(AND(F223&lt;&gt;"Received",F223&lt;&gt;"Cancelled",I223&lt;&gt;"",TODAY()&gt;I223),"OVERDUE",""))</f>
        <v/>
      </c>
      <c r="R223" s="13" t="str">
        <f aca="false">IF(A223="","",MAX(H223+0,J223+0))</f>
        <v/>
      </c>
      <c r="S223" s="0" t="str">
        <f aca="true">IF(A223="","",IF(OR(F223="Received",F223="Cancelled"),"",TODAY()-R223))</f>
        <v/>
      </c>
    </row>
    <row r="224" customFormat="false" ht="15" hidden="false" customHeight="false" outlineLevel="0" collapsed="false">
      <c r="M224" s="0" t="str">
        <f aca="true">IF(A224="","",IF(AND(F224&lt;&gt;"Received",F224&lt;&gt;"Cancelled",I224&lt;&gt;"",TODAY()&gt;I224),"OVERDUE",""))</f>
        <v/>
      </c>
      <c r="R224" s="13" t="str">
        <f aca="false">IF(A224="","",MAX(H224+0,J224+0))</f>
        <v/>
      </c>
      <c r="S224" s="0" t="str">
        <f aca="true">IF(A224="","",IF(OR(F224="Received",F224="Cancelled"),"",TODAY()-R224))</f>
        <v/>
      </c>
    </row>
    <row r="225" customFormat="false" ht="15" hidden="false" customHeight="false" outlineLevel="0" collapsed="false">
      <c r="M225" s="0" t="str">
        <f aca="true">IF(A225="","",IF(AND(F225&lt;&gt;"Received",F225&lt;&gt;"Cancelled",I225&lt;&gt;"",TODAY()&gt;I225),"OVERDUE",""))</f>
        <v/>
      </c>
      <c r="R225" s="13" t="str">
        <f aca="false">IF(A225="","",MAX(H225+0,J225+0))</f>
        <v/>
      </c>
      <c r="S225" s="0" t="str">
        <f aca="true">IF(A225="","",IF(OR(F225="Received",F225="Cancelled"),"",TODAY()-R225))</f>
        <v/>
      </c>
    </row>
    <row r="226" customFormat="false" ht="15" hidden="false" customHeight="false" outlineLevel="0" collapsed="false">
      <c r="M226" s="0" t="str">
        <f aca="true">IF(A226="","",IF(AND(F226&lt;&gt;"Received",F226&lt;&gt;"Cancelled",I226&lt;&gt;"",TODAY()&gt;I226),"OVERDUE",""))</f>
        <v/>
      </c>
      <c r="R226" s="13" t="str">
        <f aca="false">IF(A226="","",MAX(H226+0,J226+0))</f>
        <v/>
      </c>
      <c r="S226" s="0" t="str">
        <f aca="true">IF(A226="","",IF(OR(F226="Received",F226="Cancelled"),"",TODAY()-R226))</f>
        <v/>
      </c>
    </row>
    <row r="227" customFormat="false" ht="15" hidden="false" customHeight="false" outlineLevel="0" collapsed="false">
      <c r="M227" s="0" t="str">
        <f aca="true">IF(A227="","",IF(AND(F227&lt;&gt;"Received",F227&lt;&gt;"Cancelled",I227&lt;&gt;"",TODAY()&gt;I227),"OVERDUE",""))</f>
        <v/>
      </c>
      <c r="R227" s="13" t="str">
        <f aca="false">IF(A227="","",MAX(H227+0,J227+0))</f>
        <v/>
      </c>
      <c r="S227" s="0" t="str">
        <f aca="true">IF(A227="","",IF(OR(F227="Received",F227="Cancelled"),"",TODAY()-R227))</f>
        <v/>
      </c>
    </row>
    <row r="228" customFormat="false" ht="15" hidden="false" customHeight="false" outlineLevel="0" collapsed="false">
      <c r="M228" s="0" t="str">
        <f aca="true">IF(A228="","",IF(AND(F228&lt;&gt;"Received",F228&lt;&gt;"Cancelled",I228&lt;&gt;"",TODAY()&gt;I228),"OVERDUE",""))</f>
        <v/>
      </c>
      <c r="R228" s="13" t="str">
        <f aca="false">IF(A228="","",MAX(H228+0,J228+0))</f>
        <v/>
      </c>
      <c r="S228" s="0" t="str">
        <f aca="true">IF(A228="","",IF(OR(F228="Received",F228="Cancelled"),"",TODAY()-R228))</f>
        <v/>
      </c>
    </row>
    <row r="229" customFormat="false" ht="15" hidden="false" customHeight="false" outlineLevel="0" collapsed="false">
      <c r="M229" s="0" t="str">
        <f aca="true">IF(A229="","",IF(AND(F229&lt;&gt;"Received",F229&lt;&gt;"Cancelled",I229&lt;&gt;"",TODAY()&gt;I229),"OVERDUE",""))</f>
        <v/>
      </c>
      <c r="R229" s="13" t="str">
        <f aca="false">IF(A229="","",MAX(H229+0,J229+0))</f>
        <v/>
      </c>
      <c r="S229" s="0" t="str">
        <f aca="true">IF(A229="","",IF(OR(F229="Received",F229="Cancelled"),"",TODAY()-R229))</f>
        <v/>
      </c>
    </row>
    <row r="230" customFormat="false" ht="15" hidden="false" customHeight="false" outlineLevel="0" collapsed="false">
      <c r="M230" s="0" t="str">
        <f aca="true">IF(A230="","",IF(AND(F230&lt;&gt;"Received",F230&lt;&gt;"Cancelled",I230&lt;&gt;"",TODAY()&gt;I230),"OVERDUE",""))</f>
        <v/>
      </c>
      <c r="R230" s="13" t="str">
        <f aca="false">IF(A230="","",MAX(H230+0,J230+0))</f>
        <v/>
      </c>
      <c r="S230" s="0" t="str">
        <f aca="true">IF(A230="","",IF(OR(F230="Received",F230="Cancelled"),"",TODAY()-R230))</f>
        <v/>
      </c>
    </row>
    <row r="231" customFormat="false" ht="15" hidden="false" customHeight="false" outlineLevel="0" collapsed="false">
      <c r="M231" s="0" t="str">
        <f aca="true">IF(A231="","",IF(AND(F231&lt;&gt;"Received",F231&lt;&gt;"Cancelled",I231&lt;&gt;"",TODAY()&gt;I231),"OVERDUE",""))</f>
        <v/>
      </c>
      <c r="R231" s="13" t="str">
        <f aca="false">IF(A231="","",MAX(H231+0,J231+0))</f>
        <v/>
      </c>
      <c r="S231" s="0" t="str">
        <f aca="true">IF(A231="","",IF(OR(F231="Received",F231="Cancelled"),"",TODAY()-R231))</f>
        <v/>
      </c>
    </row>
    <row r="232" customFormat="false" ht="15" hidden="false" customHeight="false" outlineLevel="0" collapsed="false">
      <c r="M232" s="0" t="str">
        <f aca="true">IF(A232="","",IF(AND(F232&lt;&gt;"Received",F232&lt;&gt;"Cancelled",I232&lt;&gt;"",TODAY()&gt;I232),"OVERDUE",""))</f>
        <v/>
      </c>
      <c r="R232" s="13" t="str">
        <f aca="false">IF(A232="","",MAX(H232+0,J232+0))</f>
        <v/>
      </c>
      <c r="S232" s="0" t="str">
        <f aca="true">IF(A232="","",IF(OR(F232="Received",F232="Cancelled"),"",TODAY()-R232))</f>
        <v/>
      </c>
    </row>
    <row r="233" customFormat="false" ht="15" hidden="false" customHeight="false" outlineLevel="0" collapsed="false">
      <c r="M233" s="0" t="str">
        <f aca="true">IF(A233="","",IF(AND(F233&lt;&gt;"Received",F233&lt;&gt;"Cancelled",I233&lt;&gt;"",TODAY()&gt;I233),"OVERDUE",""))</f>
        <v/>
      </c>
      <c r="R233" s="13" t="str">
        <f aca="false">IF(A233="","",MAX(H233+0,J233+0))</f>
        <v/>
      </c>
      <c r="S233" s="0" t="str">
        <f aca="true">IF(A233="","",IF(OR(F233="Received",F233="Cancelled"),"",TODAY()-R233))</f>
        <v/>
      </c>
    </row>
    <row r="234" customFormat="false" ht="15" hidden="false" customHeight="false" outlineLevel="0" collapsed="false">
      <c r="M234" s="0" t="str">
        <f aca="true">IF(A234="","",IF(AND(F234&lt;&gt;"Received",F234&lt;&gt;"Cancelled",I234&lt;&gt;"",TODAY()&gt;I234),"OVERDUE",""))</f>
        <v/>
      </c>
      <c r="R234" s="13" t="str">
        <f aca="false">IF(A234="","",MAX(H234+0,J234+0))</f>
        <v/>
      </c>
      <c r="S234" s="0" t="str">
        <f aca="true">IF(A234="","",IF(OR(F234="Received",F234="Cancelled"),"",TODAY()-R234))</f>
        <v/>
      </c>
    </row>
    <row r="235" customFormat="false" ht="15" hidden="false" customHeight="false" outlineLevel="0" collapsed="false">
      <c r="M235" s="0" t="str">
        <f aca="true">IF(A235="","",IF(AND(F235&lt;&gt;"Received",F235&lt;&gt;"Cancelled",I235&lt;&gt;"",TODAY()&gt;I235),"OVERDUE",""))</f>
        <v/>
      </c>
      <c r="R235" s="13" t="str">
        <f aca="false">IF(A235="","",MAX(H235+0,J235+0))</f>
        <v/>
      </c>
      <c r="S235" s="0" t="str">
        <f aca="true">IF(A235="","",IF(OR(F235="Received",F235="Cancelled"),"",TODAY()-R235))</f>
        <v/>
      </c>
    </row>
    <row r="236" customFormat="false" ht="15" hidden="false" customHeight="false" outlineLevel="0" collapsed="false">
      <c r="M236" s="0" t="str">
        <f aca="true">IF(A236="","",IF(AND(F236&lt;&gt;"Received",F236&lt;&gt;"Cancelled",I236&lt;&gt;"",TODAY()&gt;I236),"OVERDUE",""))</f>
        <v/>
      </c>
      <c r="R236" s="13" t="str">
        <f aca="false">IF(A236="","",MAX(H236+0,J236+0))</f>
        <v/>
      </c>
      <c r="S236" s="0" t="str">
        <f aca="true">IF(A236="","",IF(OR(F236="Received",F236="Cancelled"),"",TODAY()-R236))</f>
        <v/>
      </c>
    </row>
    <row r="237" customFormat="false" ht="15" hidden="false" customHeight="false" outlineLevel="0" collapsed="false">
      <c r="M237" s="0" t="str">
        <f aca="true">IF(A237="","",IF(AND(F237&lt;&gt;"Received",F237&lt;&gt;"Cancelled",I237&lt;&gt;"",TODAY()&gt;I237),"OVERDUE",""))</f>
        <v/>
      </c>
      <c r="R237" s="13" t="str">
        <f aca="false">IF(A237="","",MAX(H237+0,J237+0))</f>
        <v/>
      </c>
      <c r="S237" s="0" t="str">
        <f aca="true">IF(A237="","",IF(OR(F237="Received",F237="Cancelled"),"",TODAY()-R237))</f>
        <v/>
      </c>
    </row>
    <row r="238" customFormat="false" ht="15" hidden="false" customHeight="false" outlineLevel="0" collapsed="false">
      <c r="M238" s="0" t="str">
        <f aca="true">IF(A238="","",IF(AND(F238&lt;&gt;"Received",F238&lt;&gt;"Cancelled",I238&lt;&gt;"",TODAY()&gt;I238),"OVERDUE",""))</f>
        <v/>
      </c>
      <c r="R238" s="13" t="str">
        <f aca="false">IF(A238="","",MAX(H238+0,J238+0))</f>
        <v/>
      </c>
      <c r="S238" s="0" t="str">
        <f aca="true">IF(A238="","",IF(OR(F238="Received",F238="Cancelled"),"",TODAY()-R238))</f>
        <v/>
      </c>
    </row>
    <row r="239" customFormat="false" ht="15" hidden="false" customHeight="false" outlineLevel="0" collapsed="false">
      <c r="M239" s="0" t="str">
        <f aca="true">IF(A239="","",IF(AND(F239&lt;&gt;"Received",F239&lt;&gt;"Cancelled",I239&lt;&gt;"",TODAY()&gt;I239),"OVERDUE",""))</f>
        <v/>
      </c>
      <c r="R239" s="13" t="str">
        <f aca="false">IF(A239="","",MAX(H239+0,J239+0))</f>
        <v/>
      </c>
      <c r="S239" s="0" t="str">
        <f aca="true">IF(A239="","",IF(OR(F239="Received",F239="Cancelled"),"",TODAY()-R239))</f>
        <v/>
      </c>
    </row>
    <row r="240" customFormat="false" ht="15" hidden="false" customHeight="false" outlineLevel="0" collapsed="false">
      <c r="M240" s="0" t="str">
        <f aca="true">IF(A240="","",IF(AND(F240&lt;&gt;"Received",F240&lt;&gt;"Cancelled",I240&lt;&gt;"",TODAY()&gt;I240),"OVERDUE",""))</f>
        <v/>
      </c>
      <c r="R240" s="13" t="str">
        <f aca="false">IF(A240="","",MAX(H240+0,J240+0))</f>
        <v/>
      </c>
      <c r="S240" s="0" t="str">
        <f aca="true">IF(A240="","",IF(OR(F240="Received",F240="Cancelled"),"",TODAY()-R240))</f>
        <v/>
      </c>
    </row>
    <row r="241" customFormat="false" ht="15" hidden="false" customHeight="false" outlineLevel="0" collapsed="false">
      <c r="M241" s="0" t="str">
        <f aca="true">IF(A241="","",IF(AND(F241&lt;&gt;"Received",F241&lt;&gt;"Cancelled",I241&lt;&gt;"",TODAY()&gt;I241),"OVERDUE",""))</f>
        <v/>
      </c>
      <c r="R241" s="13" t="str">
        <f aca="false">IF(A241="","",MAX(H241+0,J241+0))</f>
        <v/>
      </c>
      <c r="S241" s="0" t="str">
        <f aca="true">IF(A241="","",IF(OR(F241="Received",F241="Cancelled"),"",TODAY()-R241))</f>
        <v/>
      </c>
    </row>
    <row r="242" customFormat="false" ht="15" hidden="false" customHeight="false" outlineLevel="0" collapsed="false">
      <c r="M242" s="0" t="str">
        <f aca="true">IF(A242="","",IF(AND(F242&lt;&gt;"Received",F242&lt;&gt;"Cancelled",I242&lt;&gt;"",TODAY()&gt;I242),"OVERDUE",""))</f>
        <v/>
      </c>
      <c r="R242" s="13" t="str">
        <f aca="false">IF(A242="","",MAX(H242+0,J242+0))</f>
        <v/>
      </c>
      <c r="S242" s="0" t="str">
        <f aca="true">IF(A242="","",IF(OR(F242="Received",F242="Cancelled"),"",TODAY()-R242))</f>
        <v/>
      </c>
    </row>
    <row r="243" customFormat="false" ht="15" hidden="false" customHeight="false" outlineLevel="0" collapsed="false">
      <c r="M243" s="0" t="str">
        <f aca="true">IF(A243="","",IF(AND(F243&lt;&gt;"Received",F243&lt;&gt;"Cancelled",I243&lt;&gt;"",TODAY()&gt;I243),"OVERDUE",""))</f>
        <v/>
      </c>
      <c r="R243" s="13" t="str">
        <f aca="false">IF(A243="","",MAX(H243+0,J243+0))</f>
        <v/>
      </c>
      <c r="S243" s="0" t="str">
        <f aca="true">IF(A243="","",IF(OR(F243="Received",F243="Cancelled"),"",TODAY()-R243))</f>
        <v/>
      </c>
    </row>
    <row r="244" customFormat="false" ht="15" hidden="false" customHeight="false" outlineLevel="0" collapsed="false">
      <c r="M244" s="0" t="str">
        <f aca="true">IF(A244="","",IF(AND(F244&lt;&gt;"Received",F244&lt;&gt;"Cancelled",I244&lt;&gt;"",TODAY()&gt;I244),"OVERDUE",""))</f>
        <v/>
      </c>
      <c r="R244" s="13" t="str">
        <f aca="false">IF(A244="","",MAX(H244+0,J244+0))</f>
        <v/>
      </c>
      <c r="S244" s="0" t="str">
        <f aca="true">IF(A244="","",IF(OR(F244="Received",F244="Cancelled"),"",TODAY()-R244))</f>
        <v/>
      </c>
    </row>
    <row r="245" customFormat="false" ht="15" hidden="false" customHeight="false" outlineLevel="0" collapsed="false">
      <c r="M245" s="0" t="str">
        <f aca="true">IF(A245="","",IF(AND(F245&lt;&gt;"Received",F245&lt;&gt;"Cancelled",I245&lt;&gt;"",TODAY()&gt;I245),"OVERDUE",""))</f>
        <v/>
      </c>
      <c r="R245" s="13" t="str">
        <f aca="false">IF(A245="","",MAX(H245+0,J245+0))</f>
        <v/>
      </c>
      <c r="S245" s="0" t="str">
        <f aca="true">IF(A245="","",IF(OR(F245="Received",F245="Cancelled"),"",TODAY()-R245))</f>
        <v/>
      </c>
    </row>
    <row r="246" customFormat="false" ht="15" hidden="false" customHeight="false" outlineLevel="0" collapsed="false">
      <c r="M246" s="0" t="str">
        <f aca="true">IF(A246="","",IF(AND(F246&lt;&gt;"Received",F246&lt;&gt;"Cancelled",I246&lt;&gt;"",TODAY()&gt;I246),"OVERDUE",""))</f>
        <v/>
      </c>
      <c r="R246" s="13" t="str">
        <f aca="false">IF(A246="","",MAX(H246+0,J246+0))</f>
        <v/>
      </c>
      <c r="S246" s="0" t="str">
        <f aca="true">IF(A246="","",IF(OR(F246="Received",F246="Cancelled"),"",TODAY()-R246))</f>
        <v/>
      </c>
    </row>
    <row r="247" customFormat="false" ht="15" hidden="false" customHeight="false" outlineLevel="0" collapsed="false">
      <c r="M247" s="0" t="str">
        <f aca="true">IF(A247="","",IF(AND(F247&lt;&gt;"Received",F247&lt;&gt;"Cancelled",I247&lt;&gt;"",TODAY()&gt;I247),"OVERDUE",""))</f>
        <v/>
      </c>
      <c r="R247" s="13" t="str">
        <f aca="false">IF(A247="","",MAX(H247+0,J247+0))</f>
        <v/>
      </c>
      <c r="S247" s="0" t="str">
        <f aca="true">IF(A247="","",IF(OR(F247="Received",F247="Cancelled"),"",TODAY()-R247))</f>
        <v/>
      </c>
    </row>
    <row r="248" customFormat="false" ht="15" hidden="false" customHeight="false" outlineLevel="0" collapsed="false">
      <c r="M248" s="0" t="str">
        <f aca="true">IF(A248="","",IF(AND(F248&lt;&gt;"Received",F248&lt;&gt;"Cancelled",I248&lt;&gt;"",TODAY()&gt;I248),"OVERDUE",""))</f>
        <v/>
      </c>
      <c r="R248" s="13" t="str">
        <f aca="false">IF(A248="","",MAX(H248+0,J248+0))</f>
        <v/>
      </c>
      <c r="S248" s="0" t="str">
        <f aca="true">IF(A248="","",IF(OR(F248="Received",F248="Cancelled"),"",TODAY()-R248))</f>
        <v/>
      </c>
    </row>
    <row r="249" customFormat="false" ht="15" hidden="false" customHeight="false" outlineLevel="0" collapsed="false">
      <c r="M249" s="0" t="str">
        <f aca="true">IF(A249="","",IF(AND(F249&lt;&gt;"Received",F249&lt;&gt;"Cancelled",I249&lt;&gt;"",TODAY()&gt;I249),"OVERDUE",""))</f>
        <v/>
      </c>
      <c r="R249" s="13" t="str">
        <f aca="false">IF(A249="","",MAX(H249+0,J249+0))</f>
        <v/>
      </c>
      <c r="S249" s="0" t="str">
        <f aca="true">IF(A249="","",IF(OR(F249="Received",F249="Cancelled"),"",TODAY()-R249))</f>
        <v/>
      </c>
    </row>
    <row r="250" customFormat="false" ht="15" hidden="false" customHeight="false" outlineLevel="0" collapsed="false">
      <c r="M250" s="0" t="str">
        <f aca="true">IF(A250="","",IF(AND(F250&lt;&gt;"Received",F250&lt;&gt;"Cancelled",I250&lt;&gt;"",TODAY()&gt;I250),"OVERDUE",""))</f>
        <v/>
      </c>
      <c r="R250" s="13" t="str">
        <f aca="false">IF(A250="","",MAX(H250+0,J250+0))</f>
        <v/>
      </c>
      <c r="S250" s="0" t="str">
        <f aca="true">IF(A250="","",IF(OR(F250="Received",F250="Cancelled"),"",TODAY()-R250))</f>
        <v/>
      </c>
    </row>
    <row r="251" customFormat="false" ht="15" hidden="false" customHeight="false" outlineLevel="0" collapsed="false">
      <c r="M251" s="0" t="str">
        <f aca="true">IF(A251="","",IF(AND(F251&lt;&gt;"Received",F251&lt;&gt;"Cancelled",I251&lt;&gt;"",TODAY()&gt;I251),"OVERDUE",""))</f>
        <v/>
      </c>
      <c r="R251" s="13" t="str">
        <f aca="false">IF(A251="","",MAX(H251+0,J251+0))</f>
        <v/>
      </c>
      <c r="S251" s="0" t="str">
        <f aca="true">IF(A251="","",IF(OR(F251="Received",F251="Cancelled"),"",TODAY()-R251))</f>
        <v/>
      </c>
    </row>
    <row r="252" customFormat="false" ht="15" hidden="false" customHeight="false" outlineLevel="0" collapsed="false">
      <c r="M252" s="0" t="str">
        <f aca="true">IF(A252="","",IF(AND(F252&lt;&gt;"Received",F252&lt;&gt;"Cancelled",I252&lt;&gt;"",TODAY()&gt;I252),"OVERDUE",""))</f>
        <v/>
      </c>
      <c r="R252" s="13" t="str">
        <f aca="false">IF(A252="","",MAX(H252+0,J252+0))</f>
        <v/>
      </c>
      <c r="S252" s="0" t="str">
        <f aca="true">IF(A252="","",IF(OR(F252="Received",F252="Cancelled"),"",TODAY()-R252))</f>
        <v/>
      </c>
    </row>
    <row r="253" customFormat="false" ht="15" hidden="false" customHeight="false" outlineLevel="0" collapsed="false">
      <c r="M253" s="0" t="str">
        <f aca="true">IF(A253="","",IF(AND(F253&lt;&gt;"Received",F253&lt;&gt;"Cancelled",I253&lt;&gt;"",TODAY()&gt;I253),"OVERDUE",""))</f>
        <v/>
      </c>
      <c r="R253" s="13" t="str">
        <f aca="false">IF(A253="","",MAX(H253+0,J253+0))</f>
        <v/>
      </c>
      <c r="S253" s="0" t="str">
        <f aca="true">IF(A253="","",IF(OR(F253="Received",F253="Cancelled"),"",TODAY()-R253))</f>
        <v/>
      </c>
    </row>
    <row r="254" customFormat="false" ht="15" hidden="false" customHeight="false" outlineLevel="0" collapsed="false">
      <c r="M254" s="0" t="str">
        <f aca="true">IF(A254="","",IF(AND(F254&lt;&gt;"Received",F254&lt;&gt;"Cancelled",I254&lt;&gt;"",TODAY()&gt;I254),"OVERDUE",""))</f>
        <v/>
      </c>
      <c r="R254" s="13" t="str">
        <f aca="false">IF(A254="","",MAX(H254+0,J254+0))</f>
        <v/>
      </c>
      <c r="S254" s="0" t="str">
        <f aca="true">IF(A254="","",IF(OR(F254="Received",F254="Cancelled"),"",TODAY()-R254))</f>
        <v/>
      </c>
    </row>
    <row r="255" customFormat="false" ht="15" hidden="false" customHeight="false" outlineLevel="0" collapsed="false">
      <c r="M255" s="0" t="str">
        <f aca="true">IF(A255="","",IF(AND(F255&lt;&gt;"Received",F255&lt;&gt;"Cancelled",I255&lt;&gt;"",TODAY()&gt;I255),"OVERDUE",""))</f>
        <v/>
      </c>
      <c r="R255" s="13" t="str">
        <f aca="false">IF(A255="","",MAX(H255+0,J255+0))</f>
        <v/>
      </c>
      <c r="S255" s="0" t="str">
        <f aca="true">IF(A255="","",IF(OR(F255="Received",F255="Cancelled"),"",TODAY()-R255))</f>
        <v/>
      </c>
    </row>
    <row r="256" customFormat="false" ht="15" hidden="false" customHeight="false" outlineLevel="0" collapsed="false">
      <c r="M256" s="0" t="str">
        <f aca="true">IF(A256="","",IF(AND(F256&lt;&gt;"Received",F256&lt;&gt;"Cancelled",I256&lt;&gt;"",TODAY()&gt;I256),"OVERDUE",""))</f>
        <v/>
      </c>
      <c r="R256" s="13" t="str">
        <f aca="false">IF(A256="","",MAX(H256+0,J256+0))</f>
        <v/>
      </c>
      <c r="S256" s="0" t="str">
        <f aca="true">IF(A256="","",IF(OR(F256="Received",F256="Cancelled"),"",TODAY()-R256))</f>
        <v/>
      </c>
    </row>
    <row r="257" customFormat="false" ht="15" hidden="false" customHeight="false" outlineLevel="0" collapsed="false">
      <c r="M257" s="0" t="str">
        <f aca="true">IF(A257="","",IF(AND(F257&lt;&gt;"Received",F257&lt;&gt;"Cancelled",I257&lt;&gt;"",TODAY()&gt;I257),"OVERDUE",""))</f>
        <v/>
      </c>
      <c r="R257" s="13" t="str">
        <f aca="false">IF(A257="","",MAX(H257+0,J257+0))</f>
        <v/>
      </c>
      <c r="S257" s="0" t="str">
        <f aca="true">IF(A257="","",IF(OR(F257="Received",F257="Cancelled"),"",TODAY()-R257))</f>
        <v/>
      </c>
    </row>
    <row r="258" customFormat="false" ht="15" hidden="false" customHeight="false" outlineLevel="0" collapsed="false">
      <c r="M258" s="0" t="str">
        <f aca="true">IF(A258="","",IF(AND(F258&lt;&gt;"Received",F258&lt;&gt;"Cancelled",I258&lt;&gt;"",TODAY()&gt;I258),"OVERDUE",""))</f>
        <v/>
      </c>
      <c r="R258" s="13" t="str">
        <f aca="false">IF(A258="","",MAX(H258+0,J258+0))</f>
        <v/>
      </c>
      <c r="S258" s="0" t="str">
        <f aca="true">IF(A258="","",IF(OR(F258="Received",F258="Cancelled"),"",TODAY()-R258))</f>
        <v/>
      </c>
    </row>
    <row r="259" customFormat="false" ht="15" hidden="false" customHeight="false" outlineLevel="0" collapsed="false">
      <c r="M259" s="0" t="str">
        <f aca="true">IF(A259="","",IF(AND(F259&lt;&gt;"Received",F259&lt;&gt;"Cancelled",I259&lt;&gt;"",TODAY()&gt;I259),"OVERDUE",""))</f>
        <v/>
      </c>
      <c r="R259" s="13" t="str">
        <f aca="false">IF(A259="","",MAX(H259+0,J259+0))</f>
        <v/>
      </c>
      <c r="S259" s="0" t="str">
        <f aca="true">IF(A259="","",IF(OR(F259="Received",F259="Cancelled"),"",TODAY()-R259))</f>
        <v/>
      </c>
    </row>
    <row r="260" customFormat="false" ht="15" hidden="false" customHeight="false" outlineLevel="0" collapsed="false">
      <c r="M260" s="0" t="str">
        <f aca="true">IF(A260="","",IF(AND(F260&lt;&gt;"Received",F260&lt;&gt;"Cancelled",I260&lt;&gt;"",TODAY()&gt;I260),"OVERDUE",""))</f>
        <v/>
      </c>
      <c r="R260" s="13" t="str">
        <f aca="false">IF(A260="","",MAX(H260+0,J260+0))</f>
        <v/>
      </c>
      <c r="S260" s="0" t="str">
        <f aca="true">IF(A260="","",IF(OR(F260="Received",F260="Cancelled"),"",TODAY()-R260))</f>
        <v/>
      </c>
    </row>
    <row r="261" customFormat="false" ht="15" hidden="false" customHeight="false" outlineLevel="0" collapsed="false">
      <c r="M261" s="0" t="str">
        <f aca="true">IF(A261="","",IF(AND(F261&lt;&gt;"Received",F261&lt;&gt;"Cancelled",I261&lt;&gt;"",TODAY()&gt;I261),"OVERDUE",""))</f>
        <v/>
      </c>
      <c r="R261" s="13" t="str">
        <f aca="false">IF(A261="","",MAX(H261+0,J261+0))</f>
        <v/>
      </c>
      <c r="S261" s="0" t="str">
        <f aca="true">IF(A261="","",IF(OR(F261="Received",F261="Cancelled"),"",TODAY()-R261))</f>
        <v/>
      </c>
    </row>
    <row r="262" customFormat="false" ht="15" hidden="false" customHeight="false" outlineLevel="0" collapsed="false">
      <c r="M262" s="0" t="str">
        <f aca="true">IF(A262="","",IF(AND(F262&lt;&gt;"Received",F262&lt;&gt;"Cancelled",I262&lt;&gt;"",TODAY()&gt;I262),"OVERDUE",""))</f>
        <v/>
      </c>
      <c r="R262" s="13" t="str">
        <f aca="false">IF(A262="","",MAX(H262+0,J262+0))</f>
        <v/>
      </c>
      <c r="S262" s="0" t="str">
        <f aca="true">IF(A262="","",IF(OR(F262="Received",F262="Cancelled"),"",TODAY()-R262))</f>
        <v/>
      </c>
    </row>
    <row r="263" customFormat="false" ht="15" hidden="false" customHeight="false" outlineLevel="0" collapsed="false">
      <c r="M263" s="0" t="str">
        <f aca="true">IF(A263="","",IF(AND(F263&lt;&gt;"Received",F263&lt;&gt;"Cancelled",I263&lt;&gt;"",TODAY()&gt;I263),"OVERDUE",""))</f>
        <v/>
      </c>
      <c r="R263" s="13" t="str">
        <f aca="false">IF(A263="","",MAX(H263+0,J263+0))</f>
        <v/>
      </c>
      <c r="S263" s="0" t="str">
        <f aca="true">IF(A263="","",IF(OR(F263="Received",F263="Cancelled"),"",TODAY()-R263))</f>
        <v/>
      </c>
    </row>
    <row r="264" customFormat="false" ht="15" hidden="false" customHeight="false" outlineLevel="0" collapsed="false">
      <c r="M264" s="0" t="str">
        <f aca="true">IF(A264="","",IF(AND(F264&lt;&gt;"Received",F264&lt;&gt;"Cancelled",I264&lt;&gt;"",TODAY()&gt;I264),"OVERDUE",""))</f>
        <v/>
      </c>
      <c r="R264" s="13" t="str">
        <f aca="false">IF(A264="","",MAX(H264+0,J264+0))</f>
        <v/>
      </c>
      <c r="S264" s="0" t="str">
        <f aca="true">IF(A264="","",IF(OR(F264="Received",F264="Cancelled"),"",TODAY()-R264))</f>
        <v/>
      </c>
    </row>
    <row r="265" customFormat="false" ht="15" hidden="false" customHeight="false" outlineLevel="0" collapsed="false">
      <c r="M265" s="0" t="str">
        <f aca="true">IF(A265="","",IF(AND(F265&lt;&gt;"Received",F265&lt;&gt;"Cancelled",I265&lt;&gt;"",TODAY()&gt;I265),"OVERDUE",""))</f>
        <v/>
      </c>
      <c r="R265" s="13" t="str">
        <f aca="false">IF(A265="","",MAX(H265+0,J265+0))</f>
        <v/>
      </c>
      <c r="S265" s="0" t="str">
        <f aca="true">IF(A265="","",IF(OR(F265="Received",F265="Cancelled"),"",TODAY()-R265))</f>
        <v/>
      </c>
    </row>
    <row r="266" customFormat="false" ht="15" hidden="false" customHeight="false" outlineLevel="0" collapsed="false">
      <c r="M266" s="0" t="str">
        <f aca="true">IF(A266="","",IF(AND(F266&lt;&gt;"Received",F266&lt;&gt;"Cancelled",I266&lt;&gt;"",TODAY()&gt;I266),"OVERDUE",""))</f>
        <v/>
      </c>
      <c r="R266" s="13" t="str">
        <f aca="false">IF(A266="","",MAX(H266+0,J266+0))</f>
        <v/>
      </c>
      <c r="S266" s="0" t="str">
        <f aca="true">IF(A266="","",IF(OR(F266="Received",F266="Cancelled"),"",TODAY()-R266))</f>
        <v/>
      </c>
    </row>
    <row r="267" customFormat="false" ht="15" hidden="false" customHeight="false" outlineLevel="0" collapsed="false">
      <c r="M267" s="0" t="str">
        <f aca="true">IF(A267="","",IF(AND(F267&lt;&gt;"Received",F267&lt;&gt;"Cancelled",I267&lt;&gt;"",TODAY()&gt;I267),"OVERDUE",""))</f>
        <v/>
      </c>
      <c r="R267" s="13" t="str">
        <f aca="false">IF(A267="","",MAX(H267+0,J267+0))</f>
        <v/>
      </c>
      <c r="S267" s="0" t="str">
        <f aca="true">IF(A267="","",IF(OR(F267="Received",F267="Cancelled"),"",TODAY()-R267))</f>
        <v/>
      </c>
    </row>
    <row r="268" customFormat="false" ht="15" hidden="false" customHeight="false" outlineLevel="0" collapsed="false">
      <c r="M268" s="0" t="str">
        <f aca="true">IF(A268="","",IF(AND(F268&lt;&gt;"Received",F268&lt;&gt;"Cancelled",I268&lt;&gt;"",TODAY()&gt;I268),"OVERDUE",""))</f>
        <v/>
      </c>
      <c r="R268" s="13" t="str">
        <f aca="false">IF(A268="","",MAX(H268+0,J268+0))</f>
        <v/>
      </c>
      <c r="S268" s="0" t="str">
        <f aca="true">IF(A268="","",IF(OR(F268="Received",F268="Cancelled"),"",TODAY()-R268))</f>
        <v/>
      </c>
    </row>
    <row r="269" customFormat="false" ht="15" hidden="false" customHeight="false" outlineLevel="0" collapsed="false">
      <c r="M269" s="0" t="str">
        <f aca="true">IF(A269="","",IF(AND(F269&lt;&gt;"Received",F269&lt;&gt;"Cancelled",I269&lt;&gt;"",TODAY()&gt;I269),"OVERDUE",""))</f>
        <v/>
      </c>
      <c r="R269" s="13" t="str">
        <f aca="false">IF(A269="","",MAX(H269+0,J269+0))</f>
        <v/>
      </c>
      <c r="S269" s="0" t="str">
        <f aca="true">IF(A269="","",IF(OR(F269="Received",F269="Cancelled"),"",TODAY()-R269))</f>
        <v/>
      </c>
    </row>
    <row r="270" customFormat="false" ht="15" hidden="false" customHeight="false" outlineLevel="0" collapsed="false">
      <c r="M270" s="0" t="str">
        <f aca="true">IF(A270="","",IF(AND(F270&lt;&gt;"Received",F270&lt;&gt;"Cancelled",I270&lt;&gt;"",TODAY()&gt;I270),"OVERDUE",""))</f>
        <v/>
      </c>
      <c r="R270" s="13" t="str">
        <f aca="false">IF(A270="","",MAX(H270+0,J270+0))</f>
        <v/>
      </c>
      <c r="S270" s="0" t="str">
        <f aca="true">IF(A270="","",IF(OR(F270="Received",F270="Cancelled"),"",TODAY()-R270))</f>
        <v/>
      </c>
    </row>
    <row r="271" customFormat="false" ht="15" hidden="false" customHeight="false" outlineLevel="0" collapsed="false">
      <c r="M271" s="0" t="str">
        <f aca="true">IF(A271="","",IF(AND(F271&lt;&gt;"Received",F271&lt;&gt;"Cancelled",I271&lt;&gt;"",TODAY()&gt;I271),"OVERDUE",""))</f>
        <v/>
      </c>
      <c r="R271" s="13" t="str">
        <f aca="false">IF(A271="","",MAX(H271+0,J271+0))</f>
        <v/>
      </c>
      <c r="S271" s="0" t="str">
        <f aca="true">IF(A271="","",IF(OR(F271="Received",F271="Cancelled"),"",TODAY()-R271))</f>
        <v/>
      </c>
    </row>
    <row r="272" customFormat="false" ht="15" hidden="false" customHeight="false" outlineLevel="0" collapsed="false">
      <c r="M272" s="0" t="str">
        <f aca="true">IF(A272="","",IF(AND(F272&lt;&gt;"Received",F272&lt;&gt;"Cancelled",I272&lt;&gt;"",TODAY()&gt;I272),"OVERDUE",""))</f>
        <v/>
      </c>
      <c r="R272" s="13" t="str">
        <f aca="false">IF(A272="","",MAX(H272+0,J272+0))</f>
        <v/>
      </c>
      <c r="S272" s="0" t="str">
        <f aca="true">IF(A272="","",IF(OR(F272="Received",F272="Cancelled"),"",TODAY()-R272))</f>
        <v/>
      </c>
    </row>
    <row r="273" customFormat="false" ht="15" hidden="false" customHeight="false" outlineLevel="0" collapsed="false">
      <c r="M273" s="0" t="str">
        <f aca="true">IF(A273="","",IF(AND(F273&lt;&gt;"Received",F273&lt;&gt;"Cancelled",I273&lt;&gt;"",TODAY()&gt;I273),"OVERDUE",""))</f>
        <v/>
      </c>
      <c r="R273" s="13" t="str">
        <f aca="false">IF(A273="","",MAX(H273+0,J273+0))</f>
        <v/>
      </c>
      <c r="S273" s="0" t="str">
        <f aca="true">IF(A273="","",IF(OR(F273="Received",F273="Cancelled"),"",TODAY()-R273))</f>
        <v/>
      </c>
    </row>
    <row r="274" customFormat="false" ht="15" hidden="false" customHeight="false" outlineLevel="0" collapsed="false">
      <c r="M274" s="0" t="str">
        <f aca="true">IF(A274="","",IF(AND(F274&lt;&gt;"Received",F274&lt;&gt;"Cancelled",I274&lt;&gt;"",TODAY()&gt;I274),"OVERDUE",""))</f>
        <v/>
      </c>
      <c r="R274" s="13" t="str">
        <f aca="false">IF(A274="","",MAX(H274+0,J274+0))</f>
        <v/>
      </c>
      <c r="S274" s="0" t="str">
        <f aca="true">IF(A274="","",IF(OR(F274="Received",F274="Cancelled"),"",TODAY()-R274))</f>
        <v/>
      </c>
    </row>
    <row r="275" customFormat="false" ht="15" hidden="false" customHeight="false" outlineLevel="0" collapsed="false">
      <c r="M275" s="0" t="str">
        <f aca="true">IF(A275="","",IF(AND(F275&lt;&gt;"Received",F275&lt;&gt;"Cancelled",I275&lt;&gt;"",TODAY()&gt;I275),"OVERDUE",""))</f>
        <v/>
      </c>
      <c r="R275" s="13" t="str">
        <f aca="false">IF(A275="","",MAX(H275+0,J275+0))</f>
        <v/>
      </c>
      <c r="S275" s="0" t="str">
        <f aca="true">IF(A275="","",IF(OR(F275="Received",F275="Cancelled"),"",TODAY()-R275))</f>
        <v/>
      </c>
    </row>
    <row r="276" customFormat="false" ht="15" hidden="false" customHeight="false" outlineLevel="0" collapsed="false">
      <c r="M276" s="0" t="str">
        <f aca="true">IF(A276="","",IF(AND(F276&lt;&gt;"Received",F276&lt;&gt;"Cancelled",I276&lt;&gt;"",TODAY()&gt;I276),"OVERDUE",""))</f>
        <v/>
      </c>
      <c r="R276" s="13" t="str">
        <f aca="false">IF(A276="","",MAX(H276+0,J276+0))</f>
        <v/>
      </c>
      <c r="S276" s="0" t="str">
        <f aca="true">IF(A276="","",IF(OR(F276="Received",F276="Cancelled"),"",TODAY()-R276))</f>
        <v/>
      </c>
    </row>
    <row r="277" customFormat="false" ht="15" hidden="false" customHeight="false" outlineLevel="0" collapsed="false">
      <c r="M277" s="0" t="str">
        <f aca="true">IF(A277="","",IF(AND(F277&lt;&gt;"Received",F277&lt;&gt;"Cancelled",I277&lt;&gt;"",TODAY()&gt;I277),"OVERDUE",""))</f>
        <v/>
      </c>
      <c r="R277" s="13" t="str">
        <f aca="false">IF(A277="","",MAX(H277+0,J277+0))</f>
        <v/>
      </c>
      <c r="S277" s="0" t="str">
        <f aca="true">IF(A277="","",IF(OR(F277="Received",F277="Cancelled"),"",TODAY()-R277))</f>
        <v/>
      </c>
    </row>
    <row r="278" customFormat="false" ht="15" hidden="false" customHeight="false" outlineLevel="0" collapsed="false">
      <c r="M278" s="0" t="str">
        <f aca="true">IF(A278="","",IF(AND(F278&lt;&gt;"Received",F278&lt;&gt;"Cancelled",I278&lt;&gt;"",TODAY()&gt;I278),"OVERDUE",""))</f>
        <v/>
      </c>
      <c r="R278" s="13" t="str">
        <f aca="false">IF(A278="","",MAX(H278+0,J278+0))</f>
        <v/>
      </c>
      <c r="S278" s="0" t="str">
        <f aca="true">IF(A278="","",IF(OR(F278="Received",F278="Cancelled"),"",TODAY()-R278))</f>
        <v/>
      </c>
    </row>
    <row r="279" customFormat="false" ht="15" hidden="false" customHeight="false" outlineLevel="0" collapsed="false">
      <c r="M279" s="0" t="str">
        <f aca="true">IF(A279="","",IF(AND(F279&lt;&gt;"Received",F279&lt;&gt;"Cancelled",I279&lt;&gt;"",TODAY()&gt;I279),"OVERDUE",""))</f>
        <v/>
      </c>
      <c r="R279" s="13" t="str">
        <f aca="false">IF(A279="","",MAX(H279+0,J279+0))</f>
        <v/>
      </c>
      <c r="S279" s="0" t="str">
        <f aca="true">IF(A279="","",IF(OR(F279="Received",F279="Cancelled"),"",TODAY()-R279))</f>
        <v/>
      </c>
    </row>
    <row r="280" customFormat="false" ht="15" hidden="false" customHeight="false" outlineLevel="0" collapsed="false">
      <c r="M280" s="0" t="str">
        <f aca="true">IF(A280="","",IF(AND(F280&lt;&gt;"Received",F280&lt;&gt;"Cancelled",I280&lt;&gt;"",TODAY()&gt;I280),"OVERDUE",""))</f>
        <v/>
      </c>
      <c r="R280" s="13" t="str">
        <f aca="false">IF(A280="","",MAX(H280+0,J280+0))</f>
        <v/>
      </c>
      <c r="S280" s="0" t="str">
        <f aca="true">IF(A280="","",IF(OR(F280="Received",F280="Cancelled"),"",TODAY()-R280))</f>
        <v/>
      </c>
    </row>
    <row r="281" customFormat="false" ht="15" hidden="false" customHeight="false" outlineLevel="0" collapsed="false">
      <c r="M281" s="0" t="str">
        <f aca="true">IF(A281="","",IF(AND(F281&lt;&gt;"Received",F281&lt;&gt;"Cancelled",I281&lt;&gt;"",TODAY()&gt;I281),"OVERDUE",""))</f>
        <v/>
      </c>
      <c r="R281" s="13" t="str">
        <f aca="false">IF(A281="","",MAX(H281+0,J281+0))</f>
        <v/>
      </c>
      <c r="S281" s="0" t="str">
        <f aca="true">IF(A281="","",IF(OR(F281="Received",F281="Cancelled"),"",TODAY()-R281))</f>
        <v/>
      </c>
    </row>
    <row r="282" customFormat="false" ht="15" hidden="false" customHeight="false" outlineLevel="0" collapsed="false">
      <c r="M282" s="0" t="str">
        <f aca="true">IF(A282="","",IF(AND(F282&lt;&gt;"Received",F282&lt;&gt;"Cancelled",I282&lt;&gt;"",TODAY()&gt;I282),"OVERDUE",""))</f>
        <v/>
      </c>
      <c r="R282" s="13" t="str">
        <f aca="false">IF(A282="","",MAX(H282+0,J282+0))</f>
        <v/>
      </c>
      <c r="S282" s="0" t="str">
        <f aca="true">IF(A282="","",IF(OR(F282="Received",F282="Cancelled"),"",TODAY()-R282))</f>
        <v/>
      </c>
    </row>
    <row r="283" customFormat="false" ht="15" hidden="false" customHeight="false" outlineLevel="0" collapsed="false">
      <c r="M283" s="0" t="str">
        <f aca="true">IF(A283="","",IF(AND(F283&lt;&gt;"Received",F283&lt;&gt;"Cancelled",I283&lt;&gt;"",TODAY()&gt;I283),"OVERDUE",""))</f>
        <v/>
      </c>
      <c r="R283" s="13" t="str">
        <f aca="false">IF(A283="","",MAX(H283+0,J283+0))</f>
        <v/>
      </c>
      <c r="S283" s="0" t="str">
        <f aca="true">IF(A283="","",IF(OR(F283="Received",F283="Cancelled"),"",TODAY()-R283))</f>
        <v/>
      </c>
    </row>
    <row r="284" customFormat="false" ht="15" hidden="false" customHeight="false" outlineLevel="0" collapsed="false">
      <c r="M284" s="0" t="str">
        <f aca="true">IF(A284="","",IF(AND(F284&lt;&gt;"Received",F284&lt;&gt;"Cancelled",I284&lt;&gt;"",TODAY()&gt;I284),"OVERDUE",""))</f>
        <v/>
      </c>
      <c r="R284" s="13" t="str">
        <f aca="false">IF(A284="","",MAX(H284+0,J284+0))</f>
        <v/>
      </c>
      <c r="S284" s="0" t="str">
        <f aca="true">IF(A284="","",IF(OR(F284="Received",F284="Cancelled"),"",TODAY()-R284))</f>
        <v/>
      </c>
    </row>
    <row r="285" customFormat="false" ht="15" hidden="false" customHeight="false" outlineLevel="0" collapsed="false">
      <c r="M285" s="0" t="str">
        <f aca="true">IF(A285="","",IF(AND(F285&lt;&gt;"Received",F285&lt;&gt;"Cancelled",I285&lt;&gt;"",TODAY()&gt;I285),"OVERDUE",""))</f>
        <v/>
      </c>
      <c r="R285" s="13" t="str">
        <f aca="false">IF(A285="","",MAX(H285+0,J285+0))</f>
        <v/>
      </c>
      <c r="S285" s="0" t="str">
        <f aca="true">IF(A285="","",IF(OR(F285="Received",F285="Cancelled"),"",TODAY()-R285))</f>
        <v/>
      </c>
    </row>
    <row r="286" customFormat="false" ht="15" hidden="false" customHeight="false" outlineLevel="0" collapsed="false">
      <c r="M286" s="0" t="str">
        <f aca="true">IF(A286="","",IF(AND(F286&lt;&gt;"Received",F286&lt;&gt;"Cancelled",I286&lt;&gt;"",TODAY()&gt;I286),"OVERDUE",""))</f>
        <v/>
      </c>
      <c r="R286" s="13" t="str">
        <f aca="false">IF(A286="","",MAX(H286+0,J286+0))</f>
        <v/>
      </c>
      <c r="S286" s="0" t="str">
        <f aca="true">IF(A286="","",IF(OR(F286="Received",F286="Cancelled"),"",TODAY()-R286))</f>
        <v/>
      </c>
    </row>
    <row r="287" customFormat="false" ht="15" hidden="false" customHeight="false" outlineLevel="0" collapsed="false">
      <c r="M287" s="0" t="str">
        <f aca="true">IF(A287="","",IF(AND(F287&lt;&gt;"Received",F287&lt;&gt;"Cancelled",I287&lt;&gt;"",TODAY()&gt;I287),"OVERDUE",""))</f>
        <v/>
      </c>
      <c r="R287" s="13" t="str">
        <f aca="false">IF(A287="","",MAX(H287+0,J287+0))</f>
        <v/>
      </c>
      <c r="S287" s="0" t="str">
        <f aca="true">IF(A287="","",IF(OR(F287="Received",F287="Cancelled"),"",TODAY()-R287))</f>
        <v/>
      </c>
    </row>
    <row r="288" customFormat="false" ht="15" hidden="false" customHeight="false" outlineLevel="0" collapsed="false">
      <c r="M288" s="0" t="str">
        <f aca="true">IF(A288="","",IF(AND(F288&lt;&gt;"Received",F288&lt;&gt;"Cancelled",I288&lt;&gt;"",TODAY()&gt;I288),"OVERDUE",""))</f>
        <v/>
      </c>
      <c r="R288" s="13" t="str">
        <f aca="false">IF(A288="","",MAX(H288+0,J288+0))</f>
        <v/>
      </c>
      <c r="S288" s="0" t="str">
        <f aca="true">IF(A288="","",IF(OR(F288="Received",F288="Cancelled"),"",TODAY()-R288))</f>
        <v/>
      </c>
    </row>
    <row r="289" customFormat="false" ht="15" hidden="false" customHeight="false" outlineLevel="0" collapsed="false">
      <c r="M289" s="0" t="str">
        <f aca="true">IF(A289="","",IF(AND(F289&lt;&gt;"Received",F289&lt;&gt;"Cancelled",I289&lt;&gt;"",TODAY()&gt;I289),"OVERDUE",""))</f>
        <v/>
      </c>
      <c r="R289" s="13" t="str">
        <f aca="false">IF(A289="","",MAX(H289+0,J289+0))</f>
        <v/>
      </c>
      <c r="S289" s="0" t="str">
        <f aca="true">IF(A289="","",IF(OR(F289="Received",F289="Cancelled"),"",TODAY()-R289))</f>
        <v/>
      </c>
    </row>
    <row r="290" customFormat="false" ht="15" hidden="false" customHeight="false" outlineLevel="0" collapsed="false">
      <c r="M290" s="0" t="str">
        <f aca="true">IF(A290="","",IF(AND(F290&lt;&gt;"Received",F290&lt;&gt;"Cancelled",I290&lt;&gt;"",TODAY()&gt;I290),"OVERDUE",""))</f>
        <v/>
      </c>
      <c r="R290" s="13" t="str">
        <f aca="false">IF(A290="","",MAX(H290+0,J290+0))</f>
        <v/>
      </c>
      <c r="S290" s="0" t="str">
        <f aca="true">IF(A290="","",IF(OR(F290="Received",F290="Cancelled"),"",TODAY()-R290))</f>
        <v/>
      </c>
    </row>
    <row r="291" customFormat="false" ht="15" hidden="false" customHeight="false" outlineLevel="0" collapsed="false">
      <c r="M291" s="0" t="str">
        <f aca="true">IF(A291="","",IF(AND(F291&lt;&gt;"Received",F291&lt;&gt;"Cancelled",I291&lt;&gt;"",TODAY()&gt;I291),"OVERDUE",""))</f>
        <v/>
      </c>
      <c r="R291" s="13" t="str">
        <f aca="false">IF(A291="","",MAX(H291+0,J291+0))</f>
        <v/>
      </c>
      <c r="S291" s="0" t="str">
        <f aca="true">IF(A291="","",IF(OR(F291="Received",F291="Cancelled"),"",TODAY()-R291))</f>
        <v/>
      </c>
    </row>
    <row r="292" customFormat="false" ht="15" hidden="false" customHeight="false" outlineLevel="0" collapsed="false">
      <c r="M292" s="0" t="str">
        <f aca="true">IF(A292="","",IF(AND(F292&lt;&gt;"Received",F292&lt;&gt;"Cancelled",I292&lt;&gt;"",TODAY()&gt;I292),"OVERDUE",""))</f>
        <v/>
      </c>
      <c r="R292" s="13" t="str">
        <f aca="false">IF(A292="","",MAX(H292+0,J292+0))</f>
        <v/>
      </c>
      <c r="S292" s="0" t="str">
        <f aca="true">IF(A292="","",IF(OR(F292="Received",F292="Cancelled"),"",TODAY()-R292))</f>
        <v/>
      </c>
    </row>
    <row r="293" customFormat="false" ht="15" hidden="false" customHeight="false" outlineLevel="0" collapsed="false">
      <c r="M293" s="0" t="str">
        <f aca="true">IF(A293="","",IF(AND(F293&lt;&gt;"Received",F293&lt;&gt;"Cancelled",I293&lt;&gt;"",TODAY()&gt;I293),"OVERDUE",""))</f>
        <v/>
      </c>
      <c r="R293" s="13" t="str">
        <f aca="false">IF(A293="","",MAX(H293+0,J293+0))</f>
        <v/>
      </c>
      <c r="S293" s="0" t="str">
        <f aca="true">IF(A293="","",IF(OR(F293="Received",F293="Cancelled"),"",TODAY()-R293))</f>
        <v/>
      </c>
    </row>
    <row r="294" customFormat="false" ht="15" hidden="false" customHeight="false" outlineLevel="0" collapsed="false">
      <c r="M294" s="0" t="str">
        <f aca="true">IF(A294="","",IF(AND(F294&lt;&gt;"Received",F294&lt;&gt;"Cancelled",I294&lt;&gt;"",TODAY()&gt;I294),"OVERDUE",""))</f>
        <v/>
      </c>
      <c r="R294" s="13" t="str">
        <f aca="false">IF(A294="","",MAX(H294+0,J294+0))</f>
        <v/>
      </c>
      <c r="S294" s="0" t="str">
        <f aca="true">IF(A294="","",IF(OR(F294="Received",F294="Cancelled"),"",TODAY()-R294))</f>
        <v/>
      </c>
    </row>
    <row r="295" customFormat="false" ht="15" hidden="false" customHeight="false" outlineLevel="0" collapsed="false">
      <c r="M295" s="0" t="str">
        <f aca="true">IF(A295="","",IF(AND(F295&lt;&gt;"Received",F295&lt;&gt;"Cancelled",I295&lt;&gt;"",TODAY()&gt;I295),"OVERDUE",""))</f>
        <v/>
      </c>
      <c r="R295" s="13" t="str">
        <f aca="false">IF(A295="","",MAX(H295+0,J295+0))</f>
        <v/>
      </c>
      <c r="S295" s="0" t="str">
        <f aca="true">IF(A295="","",IF(OR(F295="Received",F295="Cancelled"),"",TODAY()-R295))</f>
        <v/>
      </c>
    </row>
    <row r="296" customFormat="false" ht="15" hidden="false" customHeight="false" outlineLevel="0" collapsed="false">
      <c r="M296" s="0" t="str">
        <f aca="true">IF(A296="","",IF(AND(F296&lt;&gt;"Received",F296&lt;&gt;"Cancelled",I296&lt;&gt;"",TODAY()&gt;I296),"OVERDUE",""))</f>
        <v/>
      </c>
      <c r="R296" s="13" t="str">
        <f aca="false">IF(A296="","",MAX(H296+0,J296+0))</f>
        <v/>
      </c>
      <c r="S296" s="0" t="str">
        <f aca="true">IF(A296="","",IF(OR(F296="Received",F296="Cancelled"),"",TODAY()-R296))</f>
        <v/>
      </c>
    </row>
    <row r="297" customFormat="false" ht="15" hidden="false" customHeight="false" outlineLevel="0" collapsed="false">
      <c r="M297" s="0" t="str">
        <f aca="true">IF(A297="","",IF(AND(F297&lt;&gt;"Received",F297&lt;&gt;"Cancelled",I297&lt;&gt;"",TODAY()&gt;I297),"OVERDUE",""))</f>
        <v/>
      </c>
      <c r="R297" s="13" t="str">
        <f aca="false">IF(A297="","",MAX(H297+0,J297+0))</f>
        <v/>
      </c>
      <c r="S297" s="0" t="str">
        <f aca="true">IF(A297="","",IF(OR(F297="Received",F297="Cancelled"),"",TODAY()-R297))</f>
        <v/>
      </c>
    </row>
    <row r="298" customFormat="false" ht="15" hidden="false" customHeight="false" outlineLevel="0" collapsed="false">
      <c r="M298" s="0" t="str">
        <f aca="true">IF(A298="","",IF(AND(F298&lt;&gt;"Received",F298&lt;&gt;"Cancelled",I298&lt;&gt;"",TODAY()&gt;I298),"OVERDUE",""))</f>
        <v/>
      </c>
      <c r="R298" s="13" t="str">
        <f aca="false">IF(A298="","",MAX(H298+0,J298+0))</f>
        <v/>
      </c>
      <c r="S298" s="0" t="str">
        <f aca="true">IF(A298="","",IF(OR(F298="Received",F298="Cancelled"),"",TODAY()-R298))</f>
        <v/>
      </c>
    </row>
    <row r="299" customFormat="false" ht="15" hidden="false" customHeight="false" outlineLevel="0" collapsed="false">
      <c r="M299" s="0" t="str">
        <f aca="true">IF(A299="","",IF(AND(F299&lt;&gt;"Received",F299&lt;&gt;"Cancelled",I299&lt;&gt;"",TODAY()&gt;I299),"OVERDUE",""))</f>
        <v/>
      </c>
      <c r="R299" s="13" t="str">
        <f aca="false">IF(A299="","",MAX(H299+0,J299+0))</f>
        <v/>
      </c>
      <c r="S299" s="0" t="str">
        <f aca="true">IF(A299="","",IF(OR(F299="Received",F299="Cancelled"),"",TODAY()-R299))</f>
        <v/>
      </c>
    </row>
    <row r="300" customFormat="false" ht="15" hidden="false" customHeight="false" outlineLevel="0" collapsed="false">
      <c r="M300" s="0" t="str">
        <f aca="true">IF(A300="","",IF(AND(F300&lt;&gt;"Received",F300&lt;&gt;"Cancelled",I300&lt;&gt;"",TODAY()&gt;I300),"OVERDUE",""))</f>
        <v/>
      </c>
      <c r="R300" s="13" t="str">
        <f aca="false">IF(A300="","",MAX(H300+0,J300+0))</f>
        <v/>
      </c>
      <c r="S300" s="0" t="str">
        <f aca="true">IF(A300="","",IF(OR(F300="Received",F300="Cancelled"),"",TODAY()-R300))</f>
        <v/>
      </c>
    </row>
    <row r="301" customFormat="false" ht="15" hidden="false" customHeight="false" outlineLevel="0" collapsed="false">
      <c r="M301" s="0" t="str">
        <f aca="true">IF(A301="","",IF(AND(F301&lt;&gt;"Received",F301&lt;&gt;"Cancelled",I301&lt;&gt;"",TODAY()&gt;I301),"OVERDUE",""))</f>
        <v/>
      </c>
      <c r="R301" s="13" t="str">
        <f aca="false">IF(A301="","",MAX(H301+0,J301+0))</f>
        <v/>
      </c>
      <c r="S301" s="0" t="str">
        <f aca="true">IF(A301="","",IF(OR(F301="Received",F301="Cancelled"),"",TODAY()-R301))</f>
        <v/>
      </c>
    </row>
    <row r="302" customFormat="false" ht="15" hidden="false" customHeight="false" outlineLevel="0" collapsed="false">
      <c r="M302" s="0" t="str">
        <f aca="true">IF(A302="","",IF(AND(F302&lt;&gt;"Received",F302&lt;&gt;"Cancelled",I302&lt;&gt;"",TODAY()&gt;I302),"OVERDUE",""))</f>
        <v/>
      </c>
      <c r="R302" s="13" t="str">
        <f aca="false">IF(A302="","",MAX(H302+0,J302+0))</f>
        <v/>
      </c>
      <c r="S302" s="0" t="str">
        <f aca="true">IF(A302="","",IF(OR(F302="Received",F302="Cancelled"),"",TODAY()-R302))</f>
        <v/>
      </c>
    </row>
    <row r="303" customFormat="false" ht="15" hidden="false" customHeight="false" outlineLevel="0" collapsed="false">
      <c r="M303" s="0" t="str">
        <f aca="true">IF(A303="","",IF(AND(F303&lt;&gt;"Received",F303&lt;&gt;"Cancelled",I303&lt;&gt;"",TODAY()&gt;I303),"OVERDUE",""))</f>
        <v/>
      </c>
      <c r="R303" s="13" t="str">
        <f aca="false">IF(A303="","",MAX(H303+0,J303+0))</f>
        <v/>
      </c>
      <c r="S303" s="0" t="str">
        <f aca="true">IF(A303="","",IF(OR(F303="Received",F303="Cancelled"),"",TODAY()-R303))</f>
        <v/>
      </c>
    </row>
    <row r="308" customFormat="false" ht="15" hidden="false" customHeight="false" outlineLevel="0" collapsed="false">
      <c r="A308" s="3" t="s">
        <v>508</v>
      </c>
    </row>
  </sheetData>
  <conditionalFormatting sqref="M6:M304">
    <cfRule type="cellIs" priority="2" operator="equal" aboveAverage="0" equalAverage="0" bottom="0" percent="0" rank="0" text="" dxfId="1">
      <formula>"OVERDUE"</formula>
    </cfRule>
  </conditionalFormatting>
  <conditionalFormatting sqref="F6:F304">
    <cfRule type="cellIs" priority="3" operator="equal" aboveAverage="0" equalAverage="0" bottom="0" percent="0" rank="0" text="" dxfId="0">
      <formula>"Not Ordered"</formula>
    </cfRule>
  </conditionalFormatting>
  <conditionalFormatting sqref="S6:S304">
    <cfRule type="cellIs" priority="4" operator="greaterThanOrEqual" aboveAverage="0" equalAverage="0" bottom="0" percent="0" rank="0" text="" dxfId="0">
      <formula>14</formula>
    </cfRule>
  </conditionalFormatting>
  <dataValidations count="3">
    <dataValidation allowBlank="true" errorStyle="stop" operator="between" showDropDown="false" showErrorMessage="false" showInputMessage="false" sqref="E6:E500" type="list">
      <formula1>"High,Medium,Low"</formula1>
      <formula2>0</formula2>
    </dataValidation>
    <dataValidation allowBlank="true" errorStyle="stop" operator="between" showDropDown="false" showErrorMessage="false" showInputMessage="false" sqref="F6:F500" type="list">
      <formula1>"Not Ordered,Ordered,Partially Received,Received,On Hold,Cancelled"</formula1>
      <formula2>0</formula2>
    </dataValidation>
    <dataValidation allowBlank="true" errorStyle="stop" operator="between" showDropDown="false" showErrorMessage="false" showInputMessage="false" sqref="O6:O5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2:M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9" min="4" style="0" width="22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24"/>
  </cols>
  <sheetData>
    <row r="2" customFormat="false" ht="15" hidden="false" customHeight="false" outlineLevel="0" collapsed="false">
      <c r="B2" s="12" t="s">
        <v>459</v>
      </c>
      <c r="C2" s="0" t="str">
        <f aca="false">IF('Project Info'!C5="","",'Project Info'!C5)</f>
        <v/>
      </c>
    </row>
    <row r="4" customFormat="false" ht="31.5" hidden="false" customHeight="true" outlineLevel="0" collapsed="false">
      <c r="A4" s="19" t="s">
        <v>509</v>
      </c>
      <c r="B4" s="19" t="s">
        <v>510</v>
      </c>
      <c r="C4" s="19" t="s">
        <v>511</v>
      </c>
      <c r="D4" s="19" t="s">
        <v>512</v>
      </c>
      <c r="E4" s="19" t="s">
        <v>513</v>
      </c>
      <c r="F4" s="19" t="s">
        <v>514</v>
      </c>
      <c r="G4" s="19" t="s">
        <v>515</v>
      </c>
      <c r="H4" s="19" t="s">
        <v>516</v>
      </c>
      <c r="I4" s="19" t="s">
        <v>517</v>
      </c>
      <c r="J4" s="19" t="s">
        <v>518</v>
      </c>
      <c r="K4" s="19" t="s">
        <v>519</v>
      </c>
      <c r="L4" s="19" t="s">
        <v>208</v>
      </c>
      <c r="M4" s="19" t="s">
        <v>214</v>
      </c>
    </row>
    <row r="5" customFormat="false" ht="15" hidden="false" customHeight="false" outlineLevel="0" collapsed="false">
      <c r="A5" s="20" t="s">
        <v>520</v>
      </c>
      <c r="B5" s="20" t="s">
        <v>521</v>
      </c>
      <c r="C5" s="20" t="s">
        <v>522</v>
      </c>
      <c r="D5" s="20" t="s">
        <v>523</v>
      </c>
      <c r="E5" s="20" t="s">
        <v>524</v>
      </c>
      <c r="F5" s="20"/>
      <c r="G5" s="20"/>
      <c r="H5" s="20"/>
      <c r="I5" s="20"/>
      <c r="J5" s="20" t="s">
        <v>292</v>
      </c>
      <c r="K5" s="20" t="s">
        <v>525</v>
      </c>
      <c r="L5" s="20" t="s">
        <v>526</v>
      </c>
      <c r="M5" s="20" t="s">
        <v>527</v>
      </c>
    </row>
    <row r="308" customFormat="false" ht="15" hidden="false" customHeight="false" outlineLevel="0" collapsed="false">
      <c r="A308" s="3" t="s">
        <v>528</v>
      </c>
    </row>
  </sheetData>
  <dataValidations count="1">
    <dataValidation allowBlank="true" errorStyle="stop" operator="between" showDropDown="false" showErrorMessage="false" showInputMessage="false" sqref="L5:L500" type="list">
      <formula1>"Current,Superseded"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A2:O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2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12"/>
    <col collapsed="false" customWidth="true" hidden="false" outlineLevel="0" max="15" min="14" style="0" width="22"/>
  </cols>
  <sheetData>
    <row r="2" customFormat="false" ht="15" hidden="false" customHeight="false" outlineLevel="0" collapsed="false">
      <c r="B2" s="12" t="s">
        <v>459</v>
      </c>
      <c r="C2" s="0" t="str">
        <f aca="false">IF('Project Info'!C5="","",'Project Info'!C5)</f>
        <v/>
      </c>
    </row>
    <row r="3" customFormat="false" ht="15" hidden="false" customHeight="false" outlineLevel="0" collapsed="false">
      <c r="B3" s="12" t="s">
        <v>529</v>
      </c>
      <c r="C3" s="25"/>
    </row>
    <row r="5" customFormat="false" ht="31.5" hidden="false" customHeight="true" outlineLevel="0" collapsed="false">
      <c r="A5" s="19" t="s">
        <v>530</v>
      </c>
      <c r="B5" s="19" t="s">
        <v>531</v>
      </c>
      <c r="C5" s="19" t="s">
        <v>532</v>
      </c>
      <c r="D5" s="19" t="s">
        <v>533</v>
      </c>
      <c r="E5" s="19" t="s">
        <v>534</v>
      </c>
      <c r="F5" s="19" t="s">
        <v>535</v>
      </c>
      <c r="G5" s="19" t="s">
        <v>536</v>
      </c>
      <c r="H5" s="19" t="s">
        <v>537</v>
      </c>
      <c r="I5" s="19" t="s">
        <v>538</v>
      </c>
      <c r="J5" s="19" t="s">
        <v>242</v>
      </c>
      <c r="K5" s="19" t="s">
        <v>213</v>
      </c>
      <c r="L5" s="19" t="s">
        <v>539</v>
      </c>
      <c r="M5" s="19" t="s">
        <v>208</v>
      </c>
      <c r="N5" s="19" t="s">
        <v>397</v>
      </c>
      <c r="O5" s="19" t="s">
        <v>214</v>
      </c>
    </row>
    <row r="6" customFormat="false" ht="15" hidden="false" customHeight="false" outlineLevel="0" collapsed="false">
      <c r="A6" s="20" t="s">
        <v>540</v>
      </c>
      <c r="B6" s="20" t="s">
        <v>541</v>
      </c>
      <c r="C6" s="20" t="s">
        <v>542</v>
      </c>
      <c r="D6" s="20" t="s">
        <v>543</v>
      </c>
      <c r="E6" s="20" t="s">
        <v>544</v>
      </c>
      <c r="F6" s="20" t="s">
        <v>252</v>
      </c>
      <c r="G6" s="20" t="s">
        <v>545</v>
      </c>
      <c r="H6" s="20" t="s">
        <v>546</v>
      </c>
      <c r="I6" s="20" t="s">
        <v>547</v>
      </c>
      <c r="J6" s="20"/>
      <c r="K6" s="20" t="s">
        <v>243</v>
      </c>
      <c r="L6" s="20" t="s">
        <v>548</v>
      </c>
      <c r="M6" s="20" t="s">
        <v>526</v>
      </c>
      <c r="N6" s="20"/>
      <c r="O6" s="20" t="s">
        <v>549</v>
      </c>
    </row>
    <row r="308" customFormat="false" ht="15" hidden="false" customHeight="false" outlineLevel="0" collapsed="false">
      <c r="A308" s="3" t="s">
        <v>550</v>
      </c>
    </row>
  </sheetData>
  <conditionalFormatting sqref="M6:M500">
    <cfRule type="cellIs" priority="2" operator="equal" aboveAverage="0" equalAverage="0" bottom="0" percent="0" rank="0" text="" dxfId="2">
      <formula>"Superseded"</formula>
    </cfRule>
  </conditionalFormatting>
  <dataValidations count="3">
    <dataValidation allowBlank="true" errorStyle="stop" operator="between" showDropDown="false" showErrorMessage="false" showInputMessage="false" sqref="F6:F500" type="list">
      <formula1>"Yes,No,TBD"</formula1>
      <formula2>0</formula2>
    </dataValidation>
    <dataValidation allowBlank="true" errorStyle="stop" operator="between" showDropDown="false" showErrorMessage="false" showInputMessage="false" sqref="M6:M500" type="list">
      <formula1>"Current,Superseded"</formula1>
      <formula2>0</formula2>
    </dataValidation>
    <dataValidation allowBlank="true" errorStyle="stop" operator="between" showDropDown="false" showErrorMessage="false" showInputMessage="false" sqref="D6:D500" type="list">
      <formula1>"MasterFormat 1995 (16-Division),MasterFormat 2004+ (50-Division),UniFormat,SectionFormat only,Other/Custom"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tru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3" min="3" style="0" width="46"/>
  </cols>
  <sheetData>
    <row r="2" customFormat="false" ht="17.35" hidden="false" customHeight="false" outlineLevel="0" collapsed="false">
      <c r="B2" s="1" t="s">
        <v>551</v>
      </c>
      <c r="C2" s="2"/>
    </row>
    <row r="3" customFormat="false" ht="15" hidden="false" customHeight="false" outlineLevel="0" collapsed="false">
      <c r="B3" s="3" t="s">
        <v>552</v>
      </c>
    </row>
    <row r="5" customFormat="false" ht="15" hidden="false" customHeight="false" outlineLevel="0" collapsed="false">
      <c r="B5" s="4" t="s">
        <v>553</v>
      </c>
      <c r="C5" s="5"/>
    </row>
    <row r="6" customFormat="false" ht="15" hidden="false" customHeight="false" outlineLevel="0" collapsed="false">
      <c r="B6" s="4" t="s">
        <v>554</v>
      </c>
      <c r="C6" s="5" t="s">
        <v>555</v>
      </c>
    </row>
    <row r="7" customFormat="false" ht="15" hidden="false" customHeight="false" outlineLevel="0" collapsed="false">
      <c r="B7" s="4" t="s">
        <v>556</v>
      </c>
      <c r="C7" s="5" t="s">
        <v>555</v>
      </c>
    </row>
    <row r="8" customFormat="false" ht="15" hidden="false" customHeight="false" outlineLevel="0" collapsed="false">
      <c r="B8" s="4" t="s">
        <v>557</v>
      </c>
      <c r="C8" s="5" t="s">
        <v>558</v>
      </c>
    </row>
    <row r="9" customFormat="false" ht="15" hidden="false" customHeight="false" outlineLevel="0" collapsed="false">
      <c r="B9" s="4" t="s">
        <v>559</v>
      </c>
      <c r="C9" s="5"/>
    </row>
    <row r="10" customFormat="false" ht="15" hidden="false" customHeight="false" outlineLevel="0" collapsed="false">
      <c r="B10" s="4" t="s">
        <v>560</v>
      </c>
      <c r="C10" s="5" t="s">
        <v>561</v>
      </c>
    </row>
    <row r="11" customFormat="false" ht="15" hidden="false" customHeight="false" outlineLevel="0" collapsed="false">
      <c r="B11" s="4" t="s">
        <v>562</v>
      </c>
      <c r="C11" s="5"/>
    </row>
    <row r="12" customFormat="false" ht="15" hidden="false" customHeight="false" outlineLevel="0" collapsed="false">
      <c r="B12" s="4" t="s">
        <v>563</v>
      </c>
      <c r="C12" s="5" t="s">
        <v>564</v>
      </c>
    </row>
    <row r="13" customFormat="false" ht="15" hidden="false" customHeight="false" outlineLevel="0" collapsed="false">
      <c r="B13" s="4" t="s">
        <v>565</v>
      </c>
      <c r="C13" s="5"/>
    </row>
    <row r="14" customFormat="false" ht="15" hidden="false" customHeight="false" outlineLevel="0" collapsed="false">
      <c r="B14" s="4" t="s">
        <v>566</v>
      </c>
      <c r="C14" s="5" t="s">
        <v>567</v>
      </c>
    </row>
    <row r="15" customFormat="false" ht="15" hidden="false" customHeight="false" outlineLevel="0" collapsed="false">
      <c r="B15" s="4" t="s">
        <v>568</v>
      </c>
      <c r="C15" s="5"/>
    </row>
    <row r="16" customFormat="false" ht="15" hidden="false" customHeight="false" outlineLevel="0" collapsed="false">
      <c r="B16" s="4" t="s">
        <v>569</v>
      </c>
      <c r="C16" s="5" t="s">
        <v>570</v>
      </c>
    </row>
    <row r="17" customFormat="false" ht="15" hidden="false" customHeight="false" outlineLevel="0" collapsed="false">
      <c r="B17" s="4" t="s">
        <v>571</v>
      </c>
      <c r="C17" s="5"/>
    </row>
    <row r="18" customFormat="false" ht="15" hidden="false" customHeight="false" outlineLevel="0" collapsed="false">
      <c r="B18" s="4" t="s">
        <v>572</v>
      </c>
      <c r="C18" s="5"/>
    </row>
    <row r="19" customFormat="false" ht="15" hidden="false" customHeight="false" outlineLevel="0" collapsed="false">
      <c r="B19" s="4" t="s">
        <v>573</v>
      </c>
      <c r="C19" s="5" t="s">
        <v>574</v>
      </c>
    </row>
    <row r="20" customFormat="false" ht="15" hidden="false" customHeight="false" outlineLevel="0" collapsed="false">
      <c r="B20" s="4" t="s">
        <v>575</v>
      </c>
      <c r="C20" s="5"/>
    </row>
    <row r="21" customFormat="false" ht="15" hidden="false" customHeight="false" outlineLevel="0" collapsed="false">
      <c r="B21" s="4" t="s">
        <v>576</v>
      </c>
      <c r="C21" s="26" t="n">
        <f aca="true">TODAY()</f>
        <v>46293</v>
      </c>
    </row>
    <row r="23" customFormat="false" ht="15" hidden="false" customHeight="false" outlineLevel="0" collapsed="false">
      <c r="B23" s="3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2026-09-28T22:16:36Z</dcterms:created>
  <dc:creator>openpyxl</dc:creator>
  <dc:description/>
  <dc:language>en-US</dc:language>
  <cp:lastModifiedBy/>
  <dcterms:modified xsi:type="dcterms:W3CDTF">2026-09-28T22:16:36Z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