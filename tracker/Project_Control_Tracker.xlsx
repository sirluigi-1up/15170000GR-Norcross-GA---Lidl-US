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GC Grocery\4_Active_Jobs\Norcross, GA 1517 Lidl - Ground Up\17. - Claude AI\15170000GR-Norcross-GA---Lidl-US\tracker\"/>
    </mc:Choice>
  </mc:AlternateContent>
  <xr:revisionPtr revIDLastSave="0" documentId="13_ncr:1_{C95BC9F3-88BD-4A5A-9911-60C6C5875E50}" xr6:coauthVersionLast="47" xr6:coauthVersionMax="47" xr10:uidLastSave="{00000000-0000-0000-0000-000000000000}"/>
  <bookViews>
    <workbookView xWindow="1215" yWindow="4035" windowWidth="28800" windowHeight="17145" tabRatio="500" firstSheet="16" activeTab="20" xr2:uid="{00000000-000D-0000-FFFF-FFFF00000000}"/>
  </bookViews>
  <sheets>
    <sheet name="Project Info" sheetId="1" r:id="rId1"/>
    <sheet name="README" sheetId="2" r:id="rId2"/>
    <sheet name="Dashboard" sheetId="3" r:id="rId3"/>
    <sheet name="RFI Log" sheetId="4" r:id="rId4"/>
    <sheet name="Submittal Log" sheetId="5" r:id="rId5"/>
    <sheet name="Change Order Log" sheetId="6" r:id="rId6"/>
    <sheet name="Subcontractor CO Log" sheetId="7" r:id="rId7"/>
    <sheet name="Claims Log" sheetId="8" r:id="rId8"/>
    <sheet name="Risk Register" sheetId="9" r:id="rId9"/>
    <sheet name="Daily Log" sheetId="10" r:id="rId10"/>
    <sheet name="Meeting Minutes Log" sheetId="11" r:id="rId11"/>
    <sheet name="Contract Review Log" sheetId="12" r:id="rId12"/>
    <sheet name="Schedule" sheetId="13" r:id="rId13"/>
    <sheet name="Contract Milestones" sheetId="14" r:id="rId14"/>
    <sheet name="3-Week Look-Ahead" sheetId="15" r:id="rId15"/>
    <sheet name="Photo Log" sheetId="16" r:id="rId16"/>
    <sheet name="Permit Tracker" sheetId="17" r:id="rId17"/>
    <sheet name="Material Tracker" sheetId="18" r:id="rId18"/>
    <sheet name="Drawing Log" sheetId="19" r:id="rId19"/>
    <sheet name="Specification Log" sheetId="20" r:id="rId20"/>
    <sheet name="Owner Contract Key Terms" sheetId="21" r:id="rId21"/>
  </sheets>
  <definedNames>
    <definedName name="_xlnm.Print_Area" localSheetId="14">'3-Week Look-Ahead'!$A$1:$H$56</definedName>
    <definedName name="_xlnm.Print_Area" localSheetId="5">'Change Order Log'!$A$1:$R$59</definedName>
    <definedName name="_xlnm.Print_Area" localSheetId="7">'Claims Log'!$A$1:$P$59</definedName>
    <definedName name="_xlnm.Print_Area" localSheetId="13">'Contract Milestones'!$A$1:$F$56</definedName>
    <definedName name="_xlnm.Print_Area" localSheetId="11">'Contract Review Log'!$A$1:$J$59</definedName>
    <definedName name="_xlnm.Print_Area" localSheetId="9">'Daily Log'!$A$1:$N$59</definedName>
    <definedName name="_xlnm.Print_Area" localSheetId="2">Dashboard!$A$1:$F$62</definedName>
    <definedName name="_xlnm.Print_Area" localSheetId="18">'Drawing Log'!$A$1:$M$59</definedName>
    <definedName name="_xlnm.Print_Area" localSheetId="17">'Material Tracker'!$A$1:$X$59</definedName>
    <definedName name="_xlnm.Print_Area" localSheetId="10">'Meeting Minutes Log'!$A$1:$K$59</definedName>
    <definedName name="_xlnm.Print_Area" localSheetId="20">'Owner Contract Key Terms'!$A$1:$C$60</definedName>
    <definedName name="_xlnm.Print_Area" localSheetId="16">'Permit Tracker'!$A$1:$S$59</definedName>
    <definedName name="_xlnm.Print_Area" localSheetId="15">'Photo Log'!$A$1:$H$59</definedName>
    <definedName name="_xlnm.Print_Area" localSheetId="0">'Project Info'!$A$1:$C$60</definedName>
    <definedName name="_xlnm.Print_Area" localSheetId="1">README!$A$1:$D$60</definedName>
    <definedName name="_xlnm.Print_Area" localSheetId="3">'RFI Log'!$A$1:$V$59</definedName>
    <definedName name="_xlnm.Print_Area" localSheetId="8">'Risk Register'!$A$1:$O$59</definedName>
    <definedName name="_xlnm.Print_Area" localSheetId="12">Schedule!$A$1:$K$59</definedName>
    <definedName name="_xlnm.Print_Area" localSheetId="19">'Specification Log'!$A$1:$O$59</definedName>
    <definedName name="_xlnm.Print_Area" localSheetId="6">'Subcontractor CO Log'!$A$1:$S$59</definedName>
    <definedName name="_xlnm.Print_Area" localSheetId="4">'Submittal Log'!$A$1:$P$59</definedName>
    <definedName name="_xlnm.Print_Titles" localSheetId="14">'3-Week Look-Ahead'!$1:$1</definedName>
    <definedName name="_xlnm.Print_Titles" localSheetId="5">'Change Order Log'!$1:$1</definedName>
    <definedName name="_xlnm.Print_Titles" localSheetId="7">'Claims Log'!$1:$1</definedName>
    <definedName name="_xlnm.Print_Titles" localSheetId="13">'Contract Milestones'!$1:$1</definedName>
    <definedName name="_xlnm.Print_Titles" localSheetId="11">'Contract Review Log'!$1:$1</definedName>
    <definedName name="_xlnm.Print_Titles" localSheetId="9">'Daily Log'!$1:$1</definedName>
    <definedName name="_xlnm.Print_Titles" localSheetId="2">Dashboard!$1:$1</definedName>
    <definedName name="_xlnm.Print_Titles" localSheetId="18">'Drawing Log'!$1:$1</definedName>
    <definedName name="_xlnm.Print_Titles" localSheetId="17">'Material Tracker'!$1:$1</definedName>
    <definedName name="_xlnm.Print_Titles" localSheetId="10">'Meeting Minutes Log'!$1:$1</definedName>
    <definedName name="_xlnm.Print_Titles" localSheetId="20">'Owner Contract Key Terms'!$1:$1</definedName>
    <definedName name="_xlnm.Print_Titles" localSheetId="16">'Permit Tracker'!$1:$1</definedName>
    <definedName name="_xlnm.Print_Titles" localSheetId="15">'Photo Log'!$1:$1</definedName>
    <definedName name="_xlnm.Print_Titles" localSheetId="0">'Project Info'!$1:$1</definedName>
    <definedName name="_xlnm.Print_Titles" localSheetId="1">README!$1:$1</definedName>
    <definedName name="_xlnm.Print_Titles" localSheetId="3">'RFI Log'!$1:$1</definedName>
    <definedName name="_xlnm.Print_Titles" localSheetId="8">'Risk Register'!$1:$1</definedName>
    <definedName name="_xlnm.Print_Titles" localSheetId="12">Schedule!$1:$1</definedName>
    <definedName name="_xlnm.Print_Titles" localSheetId="19">'Specification Log'!$1:$1</definedName>
    <definedName name="_xlnm.Print_Titles" localSheetId="6">'Subcontractor CO Log'!$1:$1</definedName>
    <definedName name="_xlnm.Print_Titles" localSheetId="4">'Submittal Log'!$1:$1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20" l="1"/>
  <c r="C2" i="19"/>
  <c r="S302" i="18"/>
  <c r="R302" i="18"/>
  <c r="M302" i="18"/>
  <c r="S301" i="18"/>
  <c r="R301" i="18"/>
  <c r="M301" i="18"/>
  <c r="S300" i="18"/>
  <c r="R300" i="18"/>
  <c r="M300" i="18"/>
  <c r="S299" i="18"/>
  <c r="R299" i="18"/>
  <c r="M299" i="18"/>
  <c r="S298" i="18"/>
  <c r="R298" i="18"/>
  <c r="M298" i="18"/>
  <c r="S297" i="18"/>
  <c r="R297" i="18"/>
  <c r="M297" i="18"/>
  <c r="S296" i="18"/>
  <c r="R296" i="18"/>
  <c r="M296" i="18"/>
  <c r="S295" i="18"/>
  <c r="R295" i="18"/>
  <c r="M295" i="18"/>
  <c r="S294" i="18"/>
  <c r="R294" i="18"/>
  <c r="M294" i="18"/>
  <c r="S293" i="18"/>
  <c r="R293" i="18"/>
  <c r="M293" i="18"/>
  <c r="S292" i="18"/>
  <c r="R292" i="18"/>
  <c r="M292" i="18"/>
  <c r="S291" i="18"/>
  <c r="R291" i="18"/>
  <c r="M291" i="18"/>
  <c r="S290" i="18"/>
  <c r="R290" i="18"/>
  <c r="M290" i="18"/>
  <c r="S289" i="18"/>
  <c r="R289" i="18"/>
  <c r="M289" i="18"/>
  <c r="S288" i="18"/>
  <c r="R288" i="18"/>
  <c r="M288" i="18"/>
  <c r="S287" i="18"/>
  <c r="R287" i="18"/>
  <c r="M287" i="18"/>
  <c r="S286" i="18"/>
  <c r="R286" i="18"/>
  <c r="M286" i="18"/>
  <c r="S285" i="18"/>
  <c r="R285" i="18"/>
  <c r="M285" i="18"/>
  <c r="S284" i="18"/>
  <c r="R284" i="18"/>
  <c r="M284" i="18"/>
  <c r="S283" i="18"/>
  <c r="R283" i="18"/>
  <c r="M283" i="18"/>
  <c r="S282" i="18"/>
  <c r="R282" i="18"/>
  <c r="M282" i="18"/>
  <c r="S281" i="18"/>
  <c r="R281" i="18"/>
  <c r="M281" i="18"/>
  <c r="S280" i="18"/>
  <c r="R280" i="18"/>
  <c r="M280" i="18"/>
  <c r="S279" i="18"/>
  <c r="R279" i="18"/>
  <c r="M279" i="18"/>
  <c r="S278" i="18"/>
  <c r="R278" i="18"/>
  <c r="M278" i="18"/>
  <c r="S277" i="18"/>
  <c r="R277" i="18"/>
  <c r="M277" i="18"/>
  <c r="S276" i="18"/>
  <c r="R276" i="18"/>
  <c r="M276" i="18"/>
  <c r="S275" i="18"/>
  <c r="R275" i="18"/>
  <c r="M275" i="18"/>
  <c r="S274" i="18"/>
  <c r="R274" i="18"/>
  <c r="M274" i="18"/>
  <c r="S273" i="18"/>
  <c r="R273" i="18"/>
  <c r="M273" i="18"/>
  <c r="S272" i="18"/>
  <c r="R272" i="18"/>
  <c r="M272" i="18"/>
  <c r="S271" i="18"/>
  <c r="R271" i="18"/>
  <c r="M271" i="18"/>
  <c r="S270" i="18"/>
  <c r="R270" i="18"/>
  <c r="M270" i="18"/>
  <c r="S269" i="18"/>
  <c r="R269" i="18"/>
  <c r="M269" i="18"/>
  <c r="S268" i="18"/>
  <c r="R268" i="18"/>
  <c r="M268" i="18"/>
  <c r="S267" i="18"/>
  <c r="R267" i="18"/>
  <c r="M267" i="18"/>
  <c r="S266" i="18"/>
  <c r="R266" i="18"/>
  <c r="M266" i="18"/>
  <c r="S265" i="18"/>
  <c r="R265" i="18"/>
  <c r="M265" i="18"/>
  <c r="S264" i="18"/>
  <c r="R264" i="18"/>
  <c r="M264" i="18"/>
  <c r="S263" i="18"/>
  <c r="R263" i="18"/>
  <c r="M263" i="18"/>
  <c r="S262" i="18"/>
  <c r="R262" i="18"/>
  <c r="M262" i="18"/>
  <c r="S261" i="18"/>
  <c r="R261" i="18"/>
  <c r="M261" i="18"/>
  <c r="S260" i="18"/>
  <c r="R260" i="18"/>
  <c r="M260" i="18"/>
  <c r="S259" i="18"/>
  <c r="R259" i="18"/>
  <c r="M259" i="18"/>
  <c r="S258" i="18"/>
  <c r="R258" i="18"/>
  <c r="M258" i="18"/>
  <c r="S257" i="18"/>
  <c r="R257" i="18"/>
  <c r="M257" i="18"/>
  <c r="S256" i="18"/>
  <c r="R256" i="18"/>
  <c r="M256" i="18"/>
  <c r="S255" i="18"/>
  <c r="R255" i="18"/>
  <c r="M255" i="18"/>
  <c r="S254" i="18"/>
  <c r="R254" i="18"/>
  <c r="M254" i="18"/>
  <c r="S253" i="18"/>
  <c r="R253" i="18"/>
  <c r="M253" i="18"/>
  <c r="S252" i="18"/>
  <c r="R252" i="18"/>
  <c r="M252" i="18"/>
  <c r="S251" i="18"/>
  <c r="R251" i="18"/>
  <c r="M251" i="18"/>
  <c r="S250" i="18"/>
  <c r="R250" i="18"/>
  <c r="M250" i="18"/>
  <c r="S249" i="18"/>
  <c r="R249" i="18"/>
  <c r="M249" i="18"/>
  <c r="S248" i="18"/>
  <c r="R248" i="18"/>
  <c r="M248" i="18"/>
  <c r="S247" i="18"/>
  <c r="R247" i="18"/>
  <c r="M247" i="18"/>
  <c r="S246" i="18"/>
  <c r="R246" i="18"/>
  <c r="M246" i="18"/>
  <c r="S245" i="18"/>
  <c r="R245" i="18"/>
  <c r="M245" i="18"/>
  <c r="S244" i="18"/>
  <c r="R244" i="18"/>
  <c r="M244" i="18"/>
  <c r="S243" i="18"/>
  <c r="R243" i="18"/>
  <c r="M243" i="18"/>
  <c r="S242" i="18"/>
  <c r="R242" i="18"/>
  <c r="M242" i="18"/>
  <c r="S241" i="18"/>
  <c r="R241" i="18"/>
  <c r="M241" i="18"/>
  <c r="S240" i="18"/>
  <c r="R240" i="18"/>
  <c r="M240" i="18"/>
  <c r="S239" i="18"/>
  <c r="R239" i="18"/>
  <c r="M239" i="18"/>
  <c r="S238" i="18"/>
  <c r="R238" i="18"/>
  <c r="M238" i="18"/>
  <c r="S237" i="18"/>
  <c r="R237" i="18"/>
  <c r="M237" i="18"/>
  <c r="S236" i="18"/>
  <c r="R236" i="18"/>
  <c r="M236" i="18"/>
  <c r="S235" i="18"/>
  <c r="R235" i="18"/>
  <c r="M235" i="18"/>
  <c r="S234" i="18"/>
  <c r="R234" i="18"/>
  <c r="M234" i="18"/>
  <c r="S233" i="18"/>
  <c r="R233" i="18"/>
  <c r="M233" i="18"/>
  <c r="S232" i="18"/>
  <c r="R232" i="18"/>
  <c r="M232" i="18"/>
  <c r="S231" i="18"/>
  <c r="R231" i="18"/>
  <c r="M231" i="18"/>
  <c r="S230" i="18"/>
  <c r="R230" i="18"/>
  <c r="M230" i="18"/>
  <c r="S229" i="18"/>
  <c r="R229" i="18"/>
  <c r="M229" i="18"/>
  <c r="S228" i="18"/>
  <c r="R228" i="18"/>
  <c r="M228" i="18"/>
  <c r="S227" i="18"/>
  <c r="R227" i="18"/>
  <c r="M227" i="18"/>
  <c r="S226" i="18"/>
  <c r="R226" i="18"/>
  <c r="M226" i="18"/>
  <c r="S225" i="18"/>
  <c r="R225" i="18"/>
  <c r="M225" i="18"/>
  <c r="S224" i="18"/>
  <c r="R224" i="18"/>
  <c r="M224" i="18"/>
  <c r="S223" i="18"/>
  <c r="R223" i="18"/>
  <c r="M223" i="18"/>
  <c r="S222" i="18"/>
  <c r="R222" i="18"/>
  <c r="M222" i="18"/>
  <c r="S221" i="18"/>
  <c r="R221" i="18"/>
  <c r="M221" i="18"/>
  <c r="S220" i="18"/>
  <c r="R220" i="18"/>
  <c r="M220" i="18"/>
  <c r="S219" i="18"/>
  <c r="R219" i="18"/>
  <c r="M219" i="18"/>
  <c r="S218" i="18"/>
  <c r="R218" i="18"/>
  <c r="M218" i="18"/>
  <c r="S217" i="18"/>
  <c r="R217" i="18"/>
  <c r="M217" i="18"/>
  <c r="S216" i="18"/>
  <c r="R216" i="18"/>
  <c r="M216" i="18"/>
  <c r="S215" i="18"/>
  <c r="R215" i="18"/>
  <c r="M215" i="18"/>
  <c r="S214" i="18"/>
  <c r="R214" i="18"/>
  <c r="M214" i="18"/>
  <c r="S213" i="18"/>
  <c r="R213" i="18"/>
  <c r="M213" i="18"/>
  <c r="S212" i="18"/>
  <c r="R212" i="18"/>
  <c r="M212" i="18"/>
  <c r="S211" i="18"/>
  <c r="R211" i="18"/>
  <c r="M211" i="18"/>
  <c r="S210" i="18"/>
  <c r="R210" i="18"/>
  <c r="M210" i="18"/>
  <c r="S209" i="18"/>
  <c r="R209" i="18"/>
  <c r="M209" i="18"/>
  <c r="S208" i="18"/>
  <c r="R208" i="18"/>
  <c r="M208" i="18"/>
  <c r="S207" i="18"/>
  <c r="R207" i="18"/>
  <c r="M207" i="18"/>
  <c r="S206" i="18"/>
  <c r="R206" i="18"/>
  <c r="M206" i="18"/>
  <c r="S205" i="18"/>
  <c r="R205" i="18"/>
  <c r="M205" i="18"/>
  <c r="S204" i="18"/>
  <c r="R204" i="18"/>
  <c r="M204" i="18"/>
  <c r="S203" i="18"/>
  <c r="R203" i="18"/>
  <c r="M203" i="18"/>
  <c r="S202" i="18"/>
  <c r="R202" i="18"/>
  <c r="M202" i="18"/>
  <c r="S201" i="18"/>
  <c r="R201" i="18"/>
  <c r="M201" i="18"/>
  <c r="S200" i="18"/>
  <c r="R200" i="18"/>
  <c r="M200" i="18"/>
  <c r="S199" i="18"/>
  <c r="R199" i="18"/>
  <c r="M199" i="18"/>
  <c r="S198" i="18"/>
  <c r="R198" i="18"/>
  <c r="M198" i="18"/>
  <c r="S197" i="18"/>
  <c r="R197" i="18"/>
  <c r="M197" i="18"/>
  <c r="S196" i="18"/>
  <c r="R196" i="18"/>
  <c r="M196" i="18"/>
  <c r="S195" i="18"/>
  <c r="R195" i="18"/>
  <c r="M195" i="18"/>
  <c r="S194" i="18"/>
  <c r="R194" i="18"/>
  <c r="M194" i="18"/>
  <c r="S193" i="18"/>
  <c r="R193" i="18"/>
  <c r="M193" i="18"/>
  <c r="S192" i="18"/>
  <c r="R192" i="18"/>
  <c r="M192" i="18"/>
  <c r="S191" i="18"/>
  <c r="R191" i="18"/>
  <c r="M191" i="18"/>
  <c r="S190" i="18"/>
  <c r="R190" i="18"/>
  <c r="M190" i="18"/>
  <c r="S189" i="18"/>
  <c r="R189" i="18"/>
  <c r="M189" i="18"/>
  <c r="S188" i="18"/>
  <c r="R188" i="18"/>
  <c r="M188" i="18"/>
  <c r="S187" i="18"/>
  <c r="R187" i="18"/>
  <c r="M187" i="18"/>
  <c r="S186" i="18"/>
  <c r="R186" i="18"/>
  <c r="M186" i="18"/>
  <c r="S185" i="18"/>
  <c r="R185" i="18"/>
  <c r="M185" i="18"/>
  <c r="S184" i="18"/>
  <c r="R184" i="18"/>
  <c r="M184" i="18"/>
  <c r="S183" i="18"/>
  <c r="R183" i="18"/>
  <c r="M183" i="18"/>
  <c r="S182" i="18"/>
  <c r="R182" i="18"/>
  <c r="M182" i="18"/>
  <c r="S181" i="18"/>
  <c r="R181" i="18"/>
  <c r="M181" i="18"/>
  <c r="S180" i="18"/>
  <c r="R180" i="18"/>
  <c r="M180" i="18"/>
  <c r="S179" i="18"/>
  <c r="R179" i="18"/>
  <c r="M179" i="18"/>
  <c r="S178" i="18"/>
  <c r="R178" i="18"/>
  <c r="M178" i="18"/>
  <c r="S177" i="18"/>
  <c r="R177" i="18"/>
  <c r="M177" i="18"/>
  <c r="S176" i="18"/>
  <c r="R176" i="18"/>
  <c r="M176" i="18"/>
  <c r="S175" i="18"/>
  <c r="R175" i="18"/>
  <c r="M175" i="18"/>
  <c r="S174" i="18"/>
  <c r="R174" i="18"/>
  <c r="M174" i="18"/>
  <c r="S173" i="18"/>
  <c r="R173" i="18"/>
  <c r="M173" i="18"/>
  <c r="S172" i="18"/>
  <c r="R172" i="18"/>
  <c r="M172" i="18"/>
  <c r="S171" i="18"/>
  <c r="R171" i="18"/>
  <c r="M171" i="18"/>
  <c r="S170" i="18"/>
  <c r="R170" i="18"/>
  <c r="M170" i="18"/>
  <c r="S169" i="18"/>
  <c r="R169" i="18"/>
  <c r="M169" i="18"/>
  <c r="S168" i="18"/>
  <c r="R168" i="18"/>
  <c r="M168" i="18"/>
  <c r="S167" i="18"/>
  <c r="R167" i="18"/>
  <c r="M167" i="18"/>
  <c r="S166" i="18"/>
  <c r="R166" i="18"/>
  <c r="M166" i="18"/>
  <c r="S165" i="18"/>
  <c r="R165" i="18"/>
  <c r="M165" i="18"/>
  <c r="S164" i="18"/>
  <c r="R164" i="18"/>
  <c r="M164" i="18"/>
  <c r="S163" i="18"/>
  <c r="R163" i="18"/>
  <c r="M163" i="18"/>
  <c r="S162" i="18"/>
  <c r="R162" i="18"/>
  <c r="M162" i="18"/>
  <c r="S161" i="18"/>
  <c r="R161" i="18"/>
  <c r="M161" i="18"/>
  <c r="S160" i="18"/>
  <c r="R160" i="18"/>
  <c r="M160" i="18"/>
  <c r="S159" i="18"/>
  <c r="R159" i="18"/>
  <c r="M159" i="18"/>
  <c r="S158" i="18"/>
  <c r="R158" i="18"/>
  <c r="M158" i="18"/>
  <c r="S157" i="18"/>
  <c r="R157" i="18"/>
  <c r="M157" i="18"/>
  <c r="S156" i="18"/>
  <c r="R156" i="18"/>
  <c r="M156" i="18"/>
  <c r="S155" i="18"/>
  <c r="R155" i="18"/>
  <c r="M155" i="18"/>
  <c r="S154" i="18"/>
  <c r="R154" i="18"/>
  <c r="M154" i="18"/>
  <c r="S153" i="18"/>
  <c r="R153" i="18"/>
  <c r="M153" i="18"/>
  <c r="S152" i="18"/>
  <c r="R152" i="18"/>
  <c r="M152" i="18"/>
  <c r="S151" i="18"/>
  <c r="R151" i="18"/>
  <c r="M151" i="18"/>
  <c r="S150" i="18"/>
  <c r="R150" i="18"/>
  <c r="M150" i="18"/>
  <c r="S149" i="18"/>
  <c r="R149" i="18"/>
  <c r="M149" i="18"/>
  <c r="S148" i="18"/>
  <c r="R148" i="18"/>
  <c r="M148" i="18"/>
  <c r="S147" i="18"/>
  <c r="R147" i="18"/>
  <c r="M147" i="18"/>
  <c r="S146" i="18"/>
  <c r="R146" i="18"/>
  <c r="M146" i="18"/>
  <c r="S145" i="18"/>
  <c r="R145" i="18"/>
  <c r="M145" i="18"/>
  <c r="S144" i="18"/>
  <c r="R144" i="18"/>
  <c r="M144" i="18"/>
  <c r="S143" i="18"/>
  <c r="R143" i="18"/>
  <c r="M143" i="18"/>
  <c r="S142" i="18"/>
  <c r="R142" i="18"/>
  <c r="M142" i="18"/>
  <c r="S141" i="18"/>
  <c r="R141" i="18"/>
  <c r="M141" i="18"/>
  <c r="S140" i="18"/>
  <c r="R140" i="18"/>
  <c r="M140" i="18"/>
  <c r="S139" i="18"/>
  <c r="R139" i="18"/>
  <c r="M139" i="18"/>
  <c r="S138" i="18"/>
  <c r="R138" i="18"/>
  <c r="M138" i="18"/>
  <c r="S137" i="18"/>
  <c r="R137" i="18"/>
  <c r="M137" i="18"/>
  <c r="S136" i="18"/>
  <c r="R136" i="18"/>
  <c r="M136" i="18"/>
  <c r="S135" i="18"/>
  <c r="R135" i="18"/>
  <c r="M135" i="18"/>
  <c r="S134" i="18"/>
  <c r="R134" i="18"/>
  <c r="M134" i="18"/>
  <c r="S133" i="18"/>
  <c r="R133" i="18"/>
  <c r="M133" i="18"/>
  <c r="S132" i="18"/>
  <c r="R132" i="18"/>
  <c r="M132" i="18"/>
  <c r="S131" i="18"/>
  <c r="R131" i="18"/>
  <c r="M131" i="18"/>
  <c r="S130" i="18"/>
  <c r="R130" i="18"/>
  <c r="M130" i="18"/>
  <c r="S129" i="18"/>
  <c r="R129" i="18"/>
  <c r="M129" i="18"/>
  <c r="S128" i="18"/>
  <c r="R128" i="18"/>
  <c r="M128" i="18"/>
  <c r="S127" i="18"/>
  <c r="R127" i="18"/>
  <c r="M127" i="18"/>
  <c r="S126" i="18"/>
  <c r="R126" i="18"/>
  <c r="M126" i="18"/>
  <c r="S125" i="18"/>
  <c r="R125" i="18"/>
  <c r="M125" i="18"/>
  <c r="S124" i="18"/>
  <c r="R124" i="18"/>
  <c r="M124" i="18"/>
  <c r="S123" i="18"/>
  <c r="R123" i="18"/>
  <c r="M123" i="18"/>
  <c r="S122" i="18"/>
  <c r="R122" i="18"/>
  <c r="M122" i="18"/>
  <c r="S121" i="18"/>
  <c r="R121" i="18"/>
  <c r="M121" i="18"/>
  <c r="S120" i="18"/>
  <c r="R120" i="18"/>
  <c r="M120" i="18"/>
  <c r="S119" i="18"/>
  <c r="R119" i="18"/>
  <c r="M119" i="18"/>
  <c r="S118" i="18"/>
  <c r="R118" i="18"/>
  <c r="M118" i="18"/>
  <c r="S117" i="18"/>
  <c r="R117" i="18"/>
  <c r="M117" i="18"/>
  <c r="S116" i="18"/>
  <c r="R116" i="18"/>
  <c r="M116" i="18"/>
  <c r="S115" i="18"/>
  <c r="R115" i="18"/>
  <c r="M115" i="18"/>
  <c r="S114" i="18"/>
  <c r="R114" i="18"/>
  <c r="M114" i="18"/>
  <c r="S113" i="18"/>
  <c r="R113" i="18"/>
  <c r="M113" i="18"/>
  <c r="S112" i="18"/>
  <c r="R112" i="18"/>
  <c r="M112" i="18"/>
  <c r="S111" i="18"/>
  <c r="R111" i="18"/>
  <c r="M111" i="18"/>
  <c r="S110" i="18"/>
  <c r="R110" i="18"/>
  <c r="M110" i="18"/>
  <c r="S109" i="18"/>
  <c r="R109" i="18"/>
  <c r="M109" i="18"/>
  <c r="S108" i="18"/>
  <c r="R108" i="18"/>
  <c r="M108" i="18"/>
  <c r="S107" i="18"/>
  <c r="R107" i="18"/>
  <c r="M107" i="18"/>
  <c r="S106" i="18"/>
  <c r="R106" i="18"/>
  <c r="M106" i="18"/>
  <c r="S105" i="18"/>
  <c r="R105" i="18"/>
  <c r="M105" i="18"/>
  <c r="S104" i="18"/>
  <c r="R104" i="18"/>
  <c r="M104" i="18"/>
  <c r="S103" i="18"/>
  <c r="R103" i="18"/>
  <c r="M103" i="18"/>
  <c r="S102" i="18"/>
  <c r="R102" i="18"/>
  <c r="M102" i="18"/>
  <c r="S101" i="18"/>
  <c r="R101" i="18"/>
  <c r="M101" i="18"/>
  <c r="S100" i="18"/>
  <c r="R100" i="18"/>
  <c r="M100" i="18"/>
  <c r="S99" i="18"/>
  <c r="R99" i="18"/>
  <c r="M99" i="18"/>
  <c r="S98" i="18"/>
  <c r="R98" i="18"/>
  <c r="M98" i="18"/>
  <c r="S97" i="18"/>
  <c r="R97" i="18"/>
  <c r="M97" i="18"/>
  <c r="S96" i="18"/>
  <c r="R96" i="18"/>
  <c r="M96" i="18"/>
  <c r="S95" i="18"/>
  <c r="R95" i="18"/>
  <c r="M95" i="18"/>
  <c r="S94" i="18"/>
  <c r="R94" i="18"/>
  <c r="M94" i="18"/>
  <c r="S93" i="18"/>
  <c r="R93" i="18"/>
  <c r="M93" i="18"/>
  <c r="S92" i="18"/>
  <c r="R92" i="18"/>
  <c r="M92" i="18"/>
  <c r="S91" i="18"/>
  <c r="R91" i="18"/>
  <c r="M91" i="18"/>
  <c r="S90" i="18"/>
  <c r="R90" i="18"/>
  <c r="M90" i="18"/>
  <c r="S89" i="18"/>
  <c r="R89" i="18"/>
  <c r="M89" i="18"/>
  <c r="S88" i="18"/>
  <c r="R88" i="18"/>
  <c r="M88" i="18"/>
  <c r="S87" i="18"/>
  <c r="R87" i="18"/>
  <c r="M87" i="18"/>
  <c r="S86" i="18"/>
  <c r="R86" i="18"/>
  <c r="M86" i="18"/>
  <c r="S85" i="18"/>
  <c r="R85" i="18"/>
  <c r="M85" i="18"/>
  <c r="S84" i="18"/>
  <c r="R84" i="18"/>
  <c r="M84" i="18"/>
  <c r="S83" i="18"/>
  <c r="R83" i="18"/>
  <c r="M83" i="18"/>
  <c r="S82" i="18"/>
  <c r="R82" i="18"/>
  <c r="M82" i="18"/>
  <c r="S81" i="18"/>
  <c r="R81" i="18"/>
  <c r="M81" i="18"/>
  <c r="S80" i="18"/>
  <c r="R80" i="18"/>
  <c r="M80" i="18"/>
  <c r="S79" i="18"/>
  <c r="R79" i="18"/>
  <c r="M79" i="18"/>
  <c r="S78" i="18"/>
  <c r="R78" i="18"/>
  <c r="M78" i="18"/>
  <c r="S77" i="18"/>
  <c r="R77" i="18"/>
  <c r="M77" i="18"/>
  <c r="S76" i="18"/>
  <c r="R76" i="18"/>
  <c r="M76" i="18"/>
  <c r="S75" i="18"/>
  <c r="R75" i="18"/>
  <c r="M75" i="18"/>
  <c r="S74" i="18"/>
  <c r="R74" i="18"/>
  <c r="M74" i="18"/>
  <c r="S73" i="18"/>
  <c r="R73" i="18"/>
  <c r="M73" i="18"/>
  <c r="S72" i="18"/>
  <c r="R72" i="18"/>
  <c r="M72" i="18"/>
  <c r="S71" i="18"/>
  <c r="R71" i="18"/>
  <c r="M71" i="18"/>
  <c r="S70" i="18"/>
  <c r="R70" i="18"/>
  <c r="M70" i="18"/>
  <c r="S69" i="18"/>
  <c r="R69" i="18"/>
  <c r="M69" i="18"/>
  <c r="S68" i="18"/>
  <c r="R68" i="18"/>
  <c r="M68" i="18"/>
  <c r="S67" i="18"/>
  <c r="R67" i="18"/>
  <c r="M67" i="18"/>
  <c r="S66" i="18"/>
  <c r="R66" i="18"/>
  <c r="M66" i="18"/>
  <c r="S65" i="18"/>
  <c r="R65" i="18"/>
  <c r="M65" i="18"/>
  <c r="S64" i="18"/>
  <c r="R64" i="18"/>
  <c r="M64" i="18"/>
  <c r="S63" i="18"/>
  <c r="R63" i="18"/>
  <c r="M63" i="18"/>
  <c r="S62" i="18"/>
  <c r="R62" i="18"/>
  <c r="M62" i="18"/>
  <c r="S61" i="18"/>
  <c r="R61" i="18"/>
  <c r="M61" i="18"/>
  <c r="S60" i="18"/>
  <c r="R60" i="18"/>
  <c r="M60" i="18"/>
  <c r="S59" i="18"/>
  <c r="R59" i="18"/>
  <c r="M59" i="18"/>
  <c r="S58" i="18"/>
  <c r="R58" i="18"/>
  <c r="M58" i="18"/>
  <c r="S57" i="18"/>
  <c r="R57" i="18"/>
  <c r="M57" i="18"/>
  <c r="S56" i="18"/>
  <c r="R56" i="18"/>
  <c r="M56" i="18"/>
  <c r="S55" i="18"/>
  <c r="R55" i="18"/>
  <c r="M55" i="18"/>
  <c r="S54" i="18"/>
  <c r="R54" i="18"/>
  <c r="M54" i="18"/>
  <c r="S53" i="18"/>
  <c r="R53" i="18"/>
  <c r="M53" i="18"/>
  <c r="S52" i="18"/>
  <c r="R52" i="18"/>
  <c r="M52" i="18"/>
  <c r="S51" i="18"/>
  <c r="R51" i="18"/>
  <c r="M51" i="18"/>
  <c r="S50" i="18"/>
  <c r="R50" i="18"/>
  <c r="M50" i="18"/>
  <c r="S49" i="18"/>
  <c r="R49" i="18"/>
  <c r="M49" i="18"/>
  <c r="S48" i="18"/>
  <c r="R48" i="18"/>
  <c r="M48" i="18"/>
  <c r="S47" i="18"/>
  <c r="R47" i="18"/>
  <c r="M47" i="18"/>
  <c r="S46" i="18"/>
  <c r="R46" i="18"/>
  <c r="M46" i="18"/>
  <c r="S45" i="18"/>
  <c r="R45" i="18"/>
  <c r="M45" i="18"/>
  <c r="S44" i="18"/>
  <c r="R44" i="18"/>
  <c r="M44" i="18"/>
  <c r="S43" i="18"/>
  <c r="R43" i="18"/>
  <c r="M43" i="18"/>
  <c r="S42" i="18"/>
  <c r="R42" i="18"/>
  <c r="M42" i="18"/>
  <c r="S41" i="18"/>
  <c r="R41" i="18"/>
  <c r="M41" i="18"/>
  <c r="S40" i="18"/>
  <c r="R40" i="18"/>
  <c r="M40" i="18"/>
  <c r="S39" i="18"/>
  <c r="R39" i="18"/>
  <c r="M39" i="18"/>
  <c r="S38" i="18"/>
  <c r="R38" i="18"/>
  <c r="M38" i="18"/>
  <c r="S37" i="18"/>
  <c r="R37" i="18"/>
  <c r="M37" i="18"/>
  <c r="S36" i="18"/>
  <c r="R36" i="18"/>
  <c r="M36" i="18"/>
  <c r="S35" i="18"/>
  <c r="R35" i="18"/>
  <c r="M35" i="18"/>
  <c r="S34" i="18"/>
  <c r="R34" i="18"/>
  <c r="M34" i="18"/>
  <c r="S33" i="18"/>
  <c r="R33" i="18"/>
  <c r="M33" i="18"/>
  <c r="S32" i="18"/>
  <c r="R32" i="18"/>
  <c r="M32" i="18"/>
  <c r="S31" i="18"/>
  <c r="R31" i="18"/>
  <c r="M31" i="18"/>
  <c r="S30" i="18"/>
  <c r="R30" i="18"/>
  <c r="M30" i="18"/>
  <c r="S29" i="18"/>
  <c r="R29" i="18"/>
  <c r="M29" i="18"/>
  <c r="S28" i="18"/>
  <c r="R28" i="18"/>
  <c r="M28" i="18"/>
  <c r="S27" i="18"/>
  <c r="R27" i="18"/>
  <c r="M27" i="18"/>
  <c r="S26" i="18"/>
  <c r="R26" i="18"/>
  <c r="M26" i="18"/>
  <c r="S25" i="18"/>
  <c r="R25" i="18"/>
  <c r="M25" i="18"/>
  <c r="S24" i="18"/>
  <c r="R24" i="18"/>
  <c r="M24" i="18"/>
  <c r="S23" i="18"/>
  <c r="R23" i="18"/>
  <c r="M23" i="18"/>
  <c r="S22" i="18"/>
  <c r="R22" i="18"/>
  <c r="M22" i="18"/>
  <c r="S21" i="18"/>
  <c r="R21" i="18"/>
  <c r="M21" i="18"/>
  <c r="S20" i="18"/>
  <c r="R20" i="18"/>
  <c r="M20" i="18"/>
  <c r="S19" i="18"/>
  <c r="R19" i="18"/>
  <c r="M19" i="18"/>
  <c r="S18" i="18"/>
  <c r="R18" i="18"/>
  <c r="M18" i="18"/>
  <c r="S17" i="18"/>
  <c r="R17" i="18"/>
  <c r="M17" i="18"/>
  <c r="S16" i="18"/>
  <c r="R16" i="18"/>
  <c r="M16" i="18"/>
  <c r="S15" i="18"/>
  <c r="R15" i="18"/>
  <c r="M15" i="18"/>
  <c r="S14" i="18"/>
  <c r="R14" i="18"/>
  <c r="M14" i="18"/>
  <c r="S13" i="18"/>
  <c r="R13" i="18"/>
  <c r="M13" i="18"/>
  <c r="S12" i="18"/>
  <c r="R12" i="18"/>
  <c r="M12" i="18"/>
  <c r="S11" i="18"/>
  <c r="R11" i="18"/>
  <c r="M11" i="18"/>
  <c r="S10" i="18"/>
  <c r="R10" i="18"/>
  <c r="M10" i="18"/>
  <c r="S9" i="18"/>
  <c r="R9" i="18"/>
  <c r="M9" i="18"/>
  <c r="S8" i="18"/>
  <c r="R8" i="18"/>
  <c r="M8" i="18"/>
  <c r="S7" i="18"/>
  <c r="R7" i="18"/>
  <c r="M7" i="18"/>
  <c r="S6" i="18"/>
  <c r="R6" i="18"/>
  <c r="M6" i="18"/>
  <c r="X3" i="18"/>
  <c r="V3" i="18"/>
  <c r="C3" i="18"/>
  <c r="V2" i="18"/>
  <c r="C2" i="18"/>
  <c r="N302" i="17"/>
  <c r="M302" i="17"/>
  <c r="J302" i="17"/>
  <c r="N301" i="17"/>
  <c r="M301" i="17"/>
  <c r="J301" i="17"/>
  <c r="N300" i="17"/>
  <c r="M300" i="17"/>
  <c r="J300" i="17"/>
  <c r="N299" i="17"/>
  <c r="M299" i="17"/>
  <c r="J299" i="17"/>
  <c r="N298" i="17"/>
  <c r="M298" i="17"/>
  <c r="J298" i="17"/>
  <c r="N297" i="17"/>
  <c r="M297" i="17"/>
  <c r="J297" i="17"/>
  <c r="N296" i="17"/>
  <c r="M296" i="17"/>
  <c r="J296" i="17"/>
  <c r="N295" i="17"/>
  <c r="M295" i="17"/>
  <c r="J295" i="17"/>
  <c r="N294" i="17"/>
  <c r="M294" i="17"/>
  <c r="J294" i="17"/>
  <c r="N293" i="17"/>
  <c r="M293" i="17"/>
  <c r="J293" i="17"/>
  <c r="N292" i="17"/>
  <c r="M292" i="17"/>
  <c r="J292" i="17"/>
  <c r="N291" i="17"/>
  <c r="M291" i="17"/>
  <c r="J291" i="17"/>
  <c r="N290" i="17"/>
  <c r="M290" i="17"/>
  <c r="J290" i="17"/>
  <c r="N289" i="17"/>
  <c r="M289" i="17"/>
  <c r="J289" i="17"/>
  <c r="N288" i="17"/>
  <c r="M288" i="17"/>
  <c r="J288" i="17"/>
  <c r="N287" i="17"/>
  <c r="M287" i="17"/>
  <c r="J287" i="17"/>
  <c r="N286" i="17"/>
  <c r="M286" i="17"/>
  <c r="J286" i="17"/>
  <c r="N285" i="17"/>
  <c r="M285" i="17"/>
  <c r="J285" i="17"/>
  <c r="N284" i="17"/>
  <c r="M284" i="17"/>
  <c r="J284" i="17"/>
  <c r="N283" i="17"/>
  <c r="M283" i="17"/>
  <c r="J283" i="17"/>
  <c r="N282" i="17"/>
  <c r="M282" i="17"/>
  <c r="J282" i="17"/>
  <c r="N281" i="17"/>
  <c r="M281" i="17"/>
  <c r="J281" i="17"/>
  <c r="N280" i="17"/>
  <c r="M280" i="17"/>
  <c r="J280" i="17"/>
  <c r="N279" i="17"/>
  <c r="M279" i="17"/>
  <c r="J279" i="17"/>
  <c r="N278" i="17"/>
  <c r="M278" i="17"/>
  <c r="J278" i="17"/>
  <c r="N277" i="17"/>
  <c r="M277" i="17"/>
  <c r="J277" i="17"/>
  <c r="N276" i="17"/>
  <c r="M276" i="17"/>
  <c r="J276" i="17"/>
  <c r="N275" i="17"/>
  <c r="M275" i="17"/>
  <c r="J275" i="17"/>
  <c r="N274" i="17"/>
  <c r="M274" i="17"/>
  <c r="J274" i="17"/>
  <c r="N273" i="17"/>
  <c r="M273" i="17"/>
  <c r="J273" i="17"/>
  <c r="N272" i="17"/>
  <c r="M272" i="17"/>
  <c r="J272" i="17"/>
  <c r="N271" i="17"/>
  <c r="M271" i="17"/>
  <c r="J271" i="17"/>
  <c r="N270" i="17"/>
  <c r="M270" i="17"/>
  <c r="J270" i="17"/>
  <c r="N269" i="17"/>
  <c r="M269" i="17"/>
  <c r="J269" i="17"/>
  <c r="N268" i="17"/>
  <c r="M268" i="17"/>
  <c r="J268" i="17"/>
  <c r="N267" i="17"/>
  <c r="M267" i="17"/>
  <c r="J267" i="17"/>
  <c r="N266" i="17"/>
  <c r="M266" i="17"/>
  <c r="J266" i="17"/>
  <c r="N265" i="17"/>
  <c r="M265" i="17"/>
  <c r="J265" i="17"/>
  <c r="N264" i="17"/>
  <c r="M264" i="17"/>
  <c r="J264" i="17"/>
  <c r="N263" i="17"/>
  <c r="M263" i="17"/>
  <c r="J263" i="17"/>
  <c r="N262" i="17"/>
  <c r="M262" i="17"/>
  <c r="J262" i="17"/>
  <c r="N261" i="17"/>
  <c r="M261" i="17"/>
  <c r="J261" i="17"/>
  <c r="N260" i="17"/>
  <c r="M260" i="17"/>
  <c r="J260" i="17"/>
  <c r="N259" i="17"/>
  <c r="M259" i="17"/>
  <c r="J259" i="17"/>
  <c r="N258" i="17"/>
  <c r="M258" i="17"/>
  <c r="J258" i="17"/>
  <c r="N257" i="17"/>
  <c r="M257" i="17"/>
  <c r="J257" i="17"/>
  <c r="N256" i="17"/>
  <c r="M256" i="17"/>
  <c r="J256" i="17"/>
  <c r="N255" i="17"/>
  <c r="M255" i="17"/>
  <c r="J255" i="17"/>
  <c r="N254" i="17"/>
  <c r="M254" i="17"/>
  <c r="J254" i="17"/>
  <c r="N253" i="17"/>
  <c r="M253" i="17"/>
  <c r="J253" i="17"/>
  <c r="N252" i="17"/>
  <c r="M252" i="17"/>
  <c r="J252" i="17"/>
  <c r="N251" i="17"/>
  <c r="M251" i="17"/>
  <c r="J251" i="17"/>
  <c r="N250" i="17"/>
  <c r="M250" i="17"/>
  <c r="J250" i="17"/>
  <c r="N249" i="17"/>
  <c r="M249" i="17"/>
  <c r="J249" i="17"/>
  <c r="N248" i="17"/>
  <c r="M248" i="17"/>
  <c r="J248" i="17"/>
  <c r="N247" i="17"/>
  <c r="M247" i="17"/>
  <c r="J247" i="17"/>
  <c r="N246" i="17"/>
  <c r="M246" i="17"/>
  <c r="J246" i="17"/>
  <c r="N245" i="17"/>
  <c r="M245" i="17"/>
  <c r="J245" i="17"/>
  <c r="N244" i="17"/>
  <c r="M244" i="17"/>
  <c r="J244" i="17"/>
  <c r="N243" i="17"/>
  <c r="M243" i="17"/>
  <c r="J243" i="17"/>
  <c r="N242" i="17"/>
  <c r="M242" i="17"/>
  <c r="J242" i="17"/>
  <c r="N241" i="17"/>
  <c r="M241" i="17"/>
  <c r="J241" i="17"/>
  <c r="N240" i="17"/>
  <c r="M240" i="17"/>
  <c r="J240" i="17"/>
  <c r="N239" i="17"/>
  <c r="M239" i="17"/>
  <c r="J239" i="17"/>
  <c r="N238" i="17"/>
  <c r="M238" i="17"/>
  <c r="J238" i="17"/>
  <c r="N237" i="17"/>
  <c r="M237" i="17"/>
  <c r="J237" i="17"/>
  <c r="N236" i="17"/>
  <c r="M236" i="17"/>
  <c r="J236" i="17"/>
  <c r="N235" i="17"/>
  <c r="M235" i="17"/>
  <c r="J235" i="17"/>
  <c r="N234" i="17"/>
  <c r="M234" i="17"/>
  <c r="J234" i="17"/>
  <c r="N233" i="17"/>
  <c r="M233" i="17"/>
  <c r="J233" i="17"/>
  <c r="N232" i="17"/>
  <c r="M232" i="17"/>
  <c r="J232" i="17"/>
  <c r="N231" i="17"/>
  <c r="M231" i="17"/>
  <c r="J231" i="17"/>
  <c r="N230" i="17"/>
  <c r="M230" i="17"/>
  <c r="J230" i="17"/>
  <c r="N229" i="17"/>
  <c r="M229" i="17"/>
  <c r="J229" i="17"/>
  <c r="N228" i="17"/>
  <c r="M228" i="17"/>
  <c r="J228" i="17"/>
  <c r="N227" i="17"/>
  <c r="M227" i="17"/>
  <c r="J227" i="17"/>
  <c r="N226" i="17"/>
  <c r="M226" i="17"/>
  <c r="J226" i="17"/>
  <c r="N225" i="17"/>
  <c r="M225" i="17"/>
  <c r="J225" i="17"/>
  <c r="N224" i="17"/>
  <c r="M224" i="17"/>
  <c r="J224" i="17"/>
  <c r="N223" i="17"/>
  <c r="M223" i="17"/>
  <c r="J223" i="17"/>
  <c r="N222" i="17"/>
  <c r="M222" i="17"/>
  <c r="J222" i="17"/>
  <c r="N221" i="17"/>
  <c r="M221" i="17"/>
  <c r="J221" i="17"/>
  <c r="N220" i="17"/>
  <c r="M220" i="17"/>
  <c r="J220" i="17"/>
  <c r="N219" i="17"/>
  <c r="M219" i="17"/>
  <c r="J219" i="17"/>
  <c r="N218" i="17"/>
  <c r="M218" i="17"/>
  <c r="J218" i="17"/>
  <c r="N217" i="17"/>
  <c r="M217" i="17"/>
  <c r="J217" i="17"/>
  <c r="N216" i="17"/>
  <c r="M216" i="17"/>
  <c r="J216" i="17"/>
  <c r="N215" i="17"/>
  <c r="M215" i="17"/>
  <c r="J215" i="17"/>
  <c r="N214" i="17"/>
  <c r="M214" i="17"/>
  <c r="J214" i="17"/>
  <c r="N213" i="17"/>
  <c r="M213" i="17"/>
  <c r="J213" i="17"/>
  <c r="N212" i="17"/>
  <c r="M212" i="17"/>
  <c r="J212" i="17"/>
  <c r="N211" i="17"/>
  <c r="M211" i="17"/>
  <c r="J211" i="17"/>
  <c r="N210" i="17"/>
  <c r="M210" i="17"/>
  <c r="J210" i="17"/>
  <c r="N209" i="17"/>
  <c r="M209" i="17"/>
  <c r="J209" i="17"/>
  <c r="N208" i="17"/>
  <c r="M208" i="17"/>
  <c r="J208" i="17"/>
  <c r="N207" i="17"/>
  <c r="M207" i="17"/>
  <c r="J207" i="17"/>
  <c r="N206" i="17"/>
  <c r="M206" i="17"/>
  <c r="J206" i="17"/>
  <c r="N205" i="17"/>
  <c r="M205" i="17"/>
  <c r="J205" i="17"/>
  <c r="N204" i="17"/>
  <c r="M204" i="17"/>
  <c r="J204" i="17"/>
  <c r="N203" i="17"/>
  <c r="M203" i="17"/>
  <c r="J203" i="17"/>
  <c r="N202" i="17"/>
  <c r="M202" i="17"/>
  <c r="J202" i="17"/>
  <c r="N201" i="17"/>
  <c r="M201" i="17"/>
  <c r="J201" i="17"/>
  <c r="N200" i="17"/>
  <c r="M200" i="17"/>
  <c r="J200" i="17"/>
  <c r="N199" i="17"/>
  <c r="M199" i="17"/>
  <c r="J199" i="17"/>
  <c r="N198" i="17"/>
  <c r="M198" i="17"/>
  <c r="J198" i="17"/>
  <c r="N197" i="17"/>
  <c r="M197" i="17"/>
  <c r="J197" i="17"/>
  <c r="N196" i="17"/>
  <c r="M196" i="17"/>
  <c r="J196" i="17"/>
  <c r="N195" i="17"/>
  <c r="M195" i="17"/>
  <c r="J195" i="17"/>
  <c r="N194" i="17"/>
  <c r="M194" i="17"/>
  <c r="J194" i="17"/>
  <c r="N193" i="17"/>
  <c r="M193" i="17"/>
  <c r="J193" i="17"/>
  <c r="N192" i="17"/>
  <c r="M192" i="17"/>
  <c r="J192" i="17"/>
  <c r="N191" i="17"/>
  <c r="M191" i="17"/>
  <c r="J191" i="17"/>
  <c r="N190" i="17"/>
  <c r="M190" i="17"/>
  <c r="J190" i="17"/>
  <c r="N189" i="17"/>
  <c r="M189" i="17"/>
  <c r="J189" i="17"/>
  <c r="N188" i="17"/>
  <c r="M188" i="17"/>
  <c r="J188" i="17"/>
  <c r="N187" i="17"/>
  <c r="M187" i="17"/>
  <c r="J187" i="17"/>
  <c r="N186" i="17"/>
  <c r="M186" i="17"/>
  <c r="J186" i="17"/>
  <c r="N185" i="17"/>
  <c r="M185" i="17"/>
  <c r="J185" i="17"/>
  <c r="N184" i="17"/>
  <c r="M184" i="17"/>
  <c r="J184" i="17"/>
  <c r="N183" i="17"/>
  <c r="M183" i="17"/>
  <c r="J183" i="17"/>
  <c r="N182" i="17"/>
  <c r="M182" i="17"/>
  <c r="J182" i="17"/>
  <c r="N181" i="17"/>
  <c r="M181" i="17"/>
  <c r="J181" i="17"/>
  <c r="N180" i="17"/>
  <c r="M180" i="17"/>
  <c r="J180" i="17"/>
  <c r="N179" i="17"/>
  <c r="M179" i="17"/>
  <c r="J179" i="17"/>
  <c r="N178" i="17"/>
  <c r="M178" i="17"/>
  <c r="J178" i="17"/>
  <c r="N177" i="17"/>
  <c r="M177" i="17"/>
  <c r="J177" i="17"/>
  <c r="N176" i="17"/>
  <c r="M176" i="17"/>
  <c r="J176" i="17"/>
  <c r="N175" i="17"/>
  <c r="M175" i="17"/>
  <c r="J175" i="17"/>
  <c r="N174" i="17"/>
  <c r="M174" i="17"/>
  <c r="J174" i="17"/>
  <c r="N173" i="17"/>
  <c r="M173" i="17"/>
  <c r="J173" i="17"/>
  <c r="N172" i="17"/>
  <c r="M172" i="17"/>
  <c r="J172" i="17"/>
  <c r="N171" i="17"/>
  <c r="M171" i="17"/>
  <c r="J171" i="17"/>
  <c r="N170" i="17"/>
  <c r="M170" i="17"/>
  <c r="J170" i="17"/>
  <c r="N169" i="17"/>
  <c r="M169" i="17"/>
  <c r="J169" i="17"/>
  <c r="N168" i="17"/>
  <c r="M168" i="17"/>
  <c r="J168" i="17"/>
  <c r="N167" i="17"/>
  <c r="M167" i="17"/>
  <c r="J167" i="17"/>
  <c r="N166" i="17"/>
  <c r="M166" i="17"/>
  <c r="J166" i="17"/>
  <c r="N165" i="17"/>
  <c r="M165" i="17"/>
  <c r="J165" i="17"/>
  <c r="N164" i="17"/>
  <c r="M164" i="17"/>
  <c r="J164" i="17"/>
  <c r="N163" i="17"/>
  <c r="M163" i="17"/>
  <c r="J163" i="17"/>
  <c r="N162" i="17"/>
  <c r="M162" i="17"/>
  <c r="J162" i="17"/>
  <c r="N161" i="17"/>
  <c r="M161" i="17"/>
  <c r="J161" i="17"/>
  <c r="N160" i="17"/>
  <c r="M160" i="17"/>
  <c r="J160" i="17"/>
  <c r="N159" i="17"/>
  <c r="M159" i="17"/>
  <c r="J159" i="17"/>
  <c r="N158" i="17"/>
  <c r="M158" i="17"/>
  <c r="J158" i="17"/>
  <c r="N157" i="17"/>
  <c r="M157" i="17"/>
  <c r="J157" i="17"/>
  <c r="N156" i="17"/>
  <c r="M156" i="17"/>
  <c r="J156" i="17"/>
  <c r="N155" i="17"/>
  <c r="M155" i="17"/>
  <c r="J155" i="17"/>
  <c r="N154" i="17"/>
  <c r="M154" i="17"/>
  <c r="J154" i="17"/>
  <c r="N153" i="17"/>
  <c r="M153" i="17"/>
  <c r="J153" i="17"/>
  <c r="N152" i="17"/>
  <c r="M152" i="17"/>
  <c r="J152" i="17"/>
  <c r="N151" i="17"/>
  <c r="M151" i="17"/>
  <c r="J151" i="17"/>
  <c r="N150" i="17"/>
  <c r="M150" i="17"/>
  <c r="J150" i="17"/>
  <c r="N149" i="17"/>
  <c r="M149" i="17"/>
  <c r="J149" i="17"/>
  <c r="N148" i="17"/>
  <c r="M148" i="17"/>
  <c r="J148" i="17"/>
  <c r="N147" i="17"/>
  <c r="M147" i="17"/>
  <c r="J147" i="17"/>
  <c r="N146" i="17"/>
  <c r="M146" i="17"/>
  <c r="J146" i="17"/>
  <c r="N145" i="17"/>
  <c r="M145" i="17"/>
  <c r="J145" i="17"/>
  <c r="N144" i="17"/>
  <c r="M144" i="17"/>
  <c r="J144" i="17"/>
  <c r="N143" i="17"/>
  <c r="M143" i="17"/>
  <c r="J143" i="17"/>
  <c r="N142" i="17"/>
  <c r="M142" i="17"/>
  <c r="J142" i="17"/>
  <c r="N141" i="17"/>
  <c r="M141" i="17"/>
  <c r="J141" i="17"/>
  <c r="N140" i="17"/>
  <c r="M140" i="17"/>
  <c r="J140" i="17"/>
  <c r="N139" i="17"/>
  <c r="M139" i="17"/>
  <c r="J139" i="17"/>
  <c r="N138" i="17"/>
  <c r="M138" i="17"/>
  <c r="J138" i="17"/>
  <c r="N137" i="17"/>
  <c r="M137" i="17"/>
  <c r="J137" i="17"/>
  <c r="N136" i="17"/>
  <c r="M136" i="17"/>
  <c r="J136" i="17"/>
  <c r="N135" i="17"/>
  <c r="M135" i="17"/>
  <c r="J135" i="17"/>
  <c r="N134" i="17"/>
  <c r="M134" i="17"/>
  <c r="J134" i="17"/>
  <c r="N133" i="17"/>
  <c r="M133" i="17"/>
  <c r="J133" i="17"/>
  <c r="N132" i="17"/>
  <c r="M132" i="17"/>
  <c r="J132" i="17"/>
  <c r="N131" i="17"/>
  <c r="M131" i="17"/>
  <c r="J131" i="17"/>
  <c r="N130" i="17"/>
  <c r="M130" i="17"/>
  <c r="J130" i="17"/>
  <c r="N129" i="17"/>
  <c r="M129" i="17"/>
  <c r="J129" i="17"/>
  <c r="N128" i="17"/>
  <c r="M128" i="17"/>
  <c r="J128" i="17"/>
  <c r="N127" i="17"/>
  <c r="M127" i="17"/>
  <c r="J127" i="17"/>
  <c r="N126" i="17"/>
  <c r="M126" i="17"/>
  <c r="J126" i="17"/>
  <c r="N125" i="17"/>
  <c r="M125" i="17"/>
  <c r="J125" i="17"/>
  <c r="N124" i="17"/>
  <c r="M124" i="17"/>
  <c r="J124" i="17"/>
  <c r="N123" i="17"/>
  <c r="M123" i="17"/>
  <c r="J123" i="17"/>
  <c r="N122" i="17"/>
  <c r="M122" i="17"/>
  <c r="J122" i="17"/>
  <c r="N121" i="17"/>
  <c r="M121" i="17"/>
  <c r="J121" i="17"/>
  <c r="N120" i="17"/>
  <c r="M120" i="17"/>
  <c r="J120" i="17"/>
  <c r="N119" i="17"/>
  <c r="M119" i="17"/>
  <c r="J119" i="17"/>
  <c r="N118" i="17"/>
  <c r="M118" i="17"/>
  <c r="J118" i="17"/>
  <c r="N117" i="17"/>
  <c r="M117" i="17"/>
  <c r="J117" i="17"/>
  <c r="N116" i="17"/>
  <c r="M116" i="17"/>
  <c r="J116" i="17"/>
  <c r="N115" i="17"/>
  <c r="M115" i="17"/>
  <c r="J115" i="17"/>
  <c r="N114" i="17"/>
  <c r="M114" i="17"/>
  <c r="J114" i="17"/>
  <c r="N113" i="17"/>
  <c r="M113" i="17"/>
  <c r="J113" i="17"/>
  <c r="N112" i="17"/>
  <c r="M112" i="17"/>
  <c r="J112" i="17"/>
  <c r="N111" i="17"/>
  <c r="M111" i="17"/>
  <c r="J111" i="17"/>
  <c r="N110" i="17"/>
  <c r="M110" i="17"/>
  <c r="J110" i="17"/>
  <c r="N109" i="17"/>
  <c r="M109" i="17"/>
  <c r="J109" i="17"/>
  <c r="N108" i="17"/>
  <c r="M108" i="17"/>
  <c r="J108" i="17"/>
  <c r="N107" i="17"/>
  <c r="M107" i="17"/>
  <c r="J107" i="17"/>
  <c r="N106" i="17"/>
  <c r="M106" i="17"/>
  <c r="J106" i="17"/>
  <c r="N105" i="17"/>
  <c r="M105" i="17"/>
  <c r="J105" i="17"/>
  <c r="N104" i="17"/>
  <c r="M104" i="17"/>
  <c r="J104" i="17"/>
  <c r="N103" i="17"/>
  <c r="M103" i="17"/>
  <c r="J103" i="17"/>
  <c r="N102" i="17"/>
  <c r="M102" i="17"/>
  <c r="J102" i="17"/>
  <c r="N101" i="17"/>
  <c r="M101" i="17"/>
  <c r="J101" i="17"/>
  <c r="N100" i="17"/>
  <c r="M100" i="17"/>
  <c r="J100" i="17"/>
  <c r="N99" i="17"/>
  <c r="M99" i="17"/>
  <c r="J99" i="17"/>
  <c r="N98" i="17"/>
  <c r="M98" i="17"/>
  <c r="J98" i="17"/>
  <c r="N97" i="17"/>
  <c r="M97" i="17"/>
  <c r="J97" i="17"/>
  <c r="N96" i="17"/>
  <c r="M96" i="17"/>
  <c r="J96" i="17"/>
  <c r="N95" i="17"/>
  <c r="M95" i="17"/>
  <c r="J95" i="17"/>
  <c r="N94" i="17"/>
  <c r="M94" i="17"/>
  <c r="J94" i="17"/>
  <c r="N93" i="17"/>
  <c r="M93" i="17"/>
  <c r="J93" i="17"/>
  <c r="N92" i="17"/>
  <c r="M92" i="17"/>
  <c r="J92" i="17"/>
  <c r="N91" i="17"/>
  <c r="M91" i="17"/>
  <c r="J91" i="17"/>
  <c r="N90" i="17"/>
  <c r="M90" i="17"/>
  <c r="J90" i="17"/>
  <c r="N89" i="17"/>
  <c r="M89" i="17"/>
  <c r="J89" i="17"/>
  <c r="N88" i="17"/>
  <c r="M88" i="17"/>
  <c r="J88" i="17"/>
  <c r="N87" i="17"/>
  <c r="M87" i="17"/>
  <c r="J87" i="17"/>
  <c r="N86" i="17"/>
  <c r="M86" i="17"/>
  <c r="J86" i="17"/>
  <c r="N85" i="17"/>
  <c r="M85" i="17"/>
  <c r="J85" i="17"/>
  <c r="N84" i="17"/>
  <c r="M84" i="17"/>
  <c r="J84" i="17"/>
  <c r="N83" i="17"/>
  <c r="M83" i="17"/>
  <c r="J83" i="17"/>
  <c r="N82" i="17"/>
  <c r="M82" i="17"/>
  <c r="J82" i="17"/>
  <c r="N81" i="17"/>
  <c r="M81" i="17"/>
  <c r="J81" i="17"/>
  <c r="N80" i="17"/>
  <c r="M80" i="17"/>
  <c r="J80" i="17"/>
  <c r="N79" i="17"/>
  <c r="M79" i="17"/>
  <c r="J79" i="17"/>
  <c r="N78" i="17"/>
  <c r="M78" i="17"/>
  <c r="J78" i="17"/>
  <c r="N77" i="17"/>
  <c r="M77" i="17"/>
  <c r="J77" i="17"/>
  <c r="N76" i="17"/>
  <c r="M76" i="17"/>
  <c r="J76" i="17"/>
  <c r="N75" i="17"/>
  <c r="M75" i="17"/>
  <c r="J75" i="17"/>
  <c r="N74" i="17"/>
  <c r="M74" i="17"/>
  <c r="J74" i="17"/>
  <c r="N73" i="17"/>
  <c r="M73" i="17"/>
  <c r="J73" i="17"/>
  <c r="N72" i="17"/>
  <c r="M72" i="17"/>
  <c r="J72" i="17"/>
  <c r="N71" i="17"/>
  <c r="M71" i="17"/>
  <c r="J71" i="17"/>
  <c r="N70" i="17"/>
  <c r="M70" i="17"/>
  <c r="J70" i="17"/>
  <c r="N69" i="17"/>
  <c r="M69" i="17"/>
  <c r="J69" i="17"/>
  <c r="N68" i="17"/>
  <c r="M68" i="17"/>
  <c r="J68" i="17"/>
  <c r="N67" i="17"/>
  <c r="M67" i="17"/>
  <c r="J67" i="17"/>
  <c r="N66" i="17"/>
  <c r="M66" i="17"/>
  <c r="J66" i="17"/>
  <c r="N65" i="17"/>
  <c r="M65" i="17"/>
  <c r="J65" i="17"/>
  <c r="N64" i="17"/>
  <c r="M64" i="17"/>
  <c r="J64" i="17"/>
  <c r="N63" i="17"/>
  <c r="M63" i="17"/>
  <c r="J63" i="17"/>
  <c r="N62" i="17"/>
  <c r="M62" i="17"/>
  <c r="J62" i="17"/>
  <c r="N61" i="17"/>
  <c r="M61" i="17"/>
  <c r="J61" i="17"/>
  <c r="N60" i="17"/>
  <c r="M60" i="17"/>
  <c r="J60" i="17"/>
  <c r="N59" i="17"/>
  <c r="M59" i="17"/>
  <c r="J59" i="17"/>
  <c r="N58" i="17"/>
  <c r="M58" i="17"/>
  <c r="J58" i="17"/>
  <c r="N57" i="17"/>
  <c r="M57" i="17"/>
  <c r="J57" i="17"/>
  <c r="N56" i="17"/>
  <c r="M56" i="17"/>
  <c r="J56" i="17"/>
  <c r="N55" i="17"/>
  <c r="M55" i="17"/>
  <c r="J55" i="17"/>
  <c r="N54" i="17"/>
  <c r="M54" i="17"/>
  <c r="J54" i="17"/>
  <c r="N53" i="17"/>
  <c r="M53" i="17"/>
  <c r="J53" i="17"/>
  <c r="N52" i="17"/>
  <c r="M52" i="17"/>
  <c r="J52" i="17"/>
  <c r="N51" i="17"/>
  <c r="M51" i="17"/>
  <c r="J51" i="17"/>
  <c r="N50" i="17"/>
  <c r="M50" i="17"/>
  <c r="J50" i="17"/>
  <c r="N49" i="17"/>
  <c r="M49" i="17"/>
  <c r="J49" i="17"/>
  <c r="N48" i="17"/>
  <c r="M48" i="17"/>
  <c r="J48" i="17"/>
  <c r="N47" i="17"/>
  <c r="M47" i="17"/>
  <c r="J47" i="17"/>
  <c r="N46" i="17"/>
  <c r="M46" i="17"/>
  <c r="J46" i="17"/>
  <c r="N45" i="17"/>
  <c r="M45" i="17"/>
  <c r="J45" i="17"/>
  <c r="N44" i="17"/>
  <c r="M44" i="17"/>
  <c r="J44" i="17"/>
  <c r="N43" i="17"/>
  <c r="M43" i="17"/>
  <c r="J43" i="17"/>
  <c r="N42" i="17"/>
  <c r="M42" i="17"/>
  <c r="J42" i="17"/>
  <c r="N41" i="17"/>
  <c r="M41" i="17"/>
  <c r="J41" i="17"/>
  <c r="N40" i="17"/>
  <c r="M40" i="17"/>
  <c r="J40" i="17"/>
  <c r="N39" i="17"/>
  <c r="M39" i="17"/>
  <c r="J39" i="17"/>
  <c r="N38" i="17"/>
  <c r="M38" i="17"/>
  <c r="J38" i="17"/>
  <c r="N37" i="17"/>
  <c r="M37" i="17"/>
  <c r="J37" i="17"/>
  <c r="N36" i="17"/>
  <c r="M36" i="17"/>
  <c r="J36" i="17"/>
  <c r="N35" i="17"/>
  <c r="M35" i="17"/>
  <c r="J35" i="17"/>
  <c r="N34" i="17"/>
  <c r="M34" i="17"/>
  <c r="J34" i="17"/>
  <c r="N33" i="17"/>
  <c r="M33" i="17"/>
  <c r="J33" i="17"/>
  <c r="N32" i="17"/>
  <c r="M32" i="17"/>
  <c r="J32" i="17"/>
  <c r="N31" i="17"/>
  <c r="M31" i="17"/>
  <c r="J31" i="17"/>
  <c r="N30" i="17"/>
  <c r="M30" i="17"/>
  <c r="J30" i="17"/>
  <c r="N29" i="17"/>
  <c r="M29" i="17"/>
  <c r="J29" i="17"/>
  <c r="N28" i="17"/>
  <c r="M28" i="17"/>
  <c r="J28" i="17"/>
  <c r="N27" i="17"/>
  <c r="M27" i="17"/>
  <c r="J27" i="17"/>
  <c r="N26" i="17"/>
  <c r="M26" i="17"/>
  <c r="J26" i="17"/>
  <c r="N25" i="17"/>
  <c r="M25" i="17"/>
  <c r="J25" i="17"/>
  <c r="N24" i="17"/>
  <c r="M24" i="17"/>
  <c r="J24" i="17"/>
  <c r="N23" i="17"/>
  <c r="M23" i="17"/>
  <c r="J23" i="17"/>
  <c r="N22" i="17"/>
  <c r="M22" i="17"/>
  <c r="J22" i="17"/>
  <c r="N21" i="17"/>
  <c r="M21" i="17"/>
  <c r="J21" i="17"/>
  <c r="N20" i="17"/>
  <c r="M20" i="17"/>
  <c r="J20" i="17"/>
  <c r="N19" i="17"/>
  <c r="M19" i="17"/>
  <c r="J19" i="17"/>
  <c r="N18" i="17"/>
  <c r="M18" i="17"/>
  <c r="J18" i="17"/>
  <c r="N17" i="17"/>
  <c r="M17" i="17"/>
  <c r="J17" i="17"/>
  <c r="N16" i="17"/>
  <c r="M16" i="17"/>
  <c r="J16" i="17"/>
  <c r="N15" i="17"/>
  <c r="M15" i="17"/>
  <c r="J15" i="17"/>
  <c r="N14" i="17"/>
  <c r="M14" i="17"/>
  <c r="J14" i="17"/>
  <c r="N13" i="17"/>
  <c r="M13" i="17"/>
  <c r="J13" i="17"/>
  <c r="N12" i="17"/>
  <c r="M12" i="17"/>
  <c r="J12" i="17"/>
  <c r="N11" i="17"/>
  <c r="M11" i="17"/>
  <c r="J11" i="17"/>
  <c r="N10" i="17"/>
  <c r="M10" i="17"/>
  <c r="J10" i="17"/>
  <c r="N9" i="17"/>
  <c r="M9" i="17"/>
  <c r="J9" i="17"/>
  <c r="N8" i="17"/>
  <c r="M8" i="17"/>
  <c r="J8" i="17"/>
  <c r="N7" i="17"/>
  <c r="M7" i="17"/>
  <c r="J7" i="17"/>
  <c r="N6" i="17"/>
  <c r="M6" i="17"/>
  <c r="J6" i="17"/>
  <c r="C3" i="17"/>
  <c r="S2" i="17"/>
  <c r="Q2" i="17"/>
  <c r="C2" i="17"/>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H298" i="13"/>
  <c r="G298" i="13"/>
  <c r="H297" i="13"/>
  <c r="G297" i="13"/>
  <c r="H296" i="13"/>
  <c r="G296" i="13"/>
  <c r="H295" i="13"/>
  <c r="G295" i="13"/>
  <c r="H294" i="13"/>
  <c r="G294" i="13"/>
  <c r="H293" i="13"/>
  <c r="G293" i="13"/>
  <c r="H292" i="13"/>
  <c r="G292" i="13"/>
  <c r="H291" i="13"/>
  <c r="G291" i="13"/>
  <c r="H290" i="13"/>
  <c r="G290" i="13"/>
  <c r="H289" i="13"/>
  <c r="G289" i="13"/>
  <c r="H288" i="13"/>
  <c r="G288" i="13"/>
  <c r="H287" i="13"/>
  <c r="G287" i="13"/>
  <c r="H286" i="13"/>
  <c r="G286" i="13"/>
  <c r="H285" i="13"/>
  <c r="G285" i="13"/>
  <c r="H284" i="13"/>
  <c r="G284" i="13"/>
  <c r="H283" i="13"/>
  <c r="G283" i="13"/>
  <c r="H282" i="13"/>
  <c r="G282" i="13"/>
  <c r="H281" i="13"/>
  <c r="G281" i="13"/>
  <c r="H280" i="13"/>
  <c r="G280" i="13"/>
  <c r="H279" i="13"/>
  <c r="G279" i="13"/>
  <c r="H278" i="13"/>
  <c r="G278" i="13"/>
  <c r="H277" i="13"/>
  <c r="G277" i="13"/>
  <c r="H276" i="13"/>
  <c r="G276" i="13"/>
  <c r="H275" i="13"/>
  <c r="G275" i="13"/>
  <c r="H274" i="13"/>
  <c r="G274" i="13"/>
  <c r="H273" i="13"/>
  <c r="G273" i="13"/>
  <c r="H272" i="13"/>
  <c r="G272" i="13"/>
  <c r="H271" i="13"/>
  <c r="G271" i="13"/>
  <c r="H270" i="13"/>
  <c r="G270" i="13"/>
  <c r="H269" i="13"/>
  <c r="G269" i="13"/>
  <c r="H268" i="13"/>
  <c r="G268" i="13"/>
  <c r="H267" i="13"/>
  <c r="G267" i="13"/>
  <c r="H266" i="13"/>
  <c r="G266" i="13"/>
  <c r="H265" i="13"/>
  <c r="G265" i="13"/>
  <c r="H264" i="13"/>
  <c r="G264" i="13"/>
  <c r="H263" i="13"/>
  <c r="G263" i="13"/>
  <c r="H262" i="13"/>
  <c r="G262" i="13"/>
  <c r="H261" i="13"/>
  <c r="G261" i="13"/>
  <c r="H260" i="13"/>
  <c r="G260" i="13"/>
  <c r="H259" i="13"/>
  <c r="G259" i="13"/>
  <c r="H258" i="13"/>
  <c r="G258" i="13"/>
  <c r="H257" i="13"/>
  <c r="G257" i="13"/>
  <c r="H256" i="13"/>
  <c r="G256" i="13"/>
  <c r="H255" i="13"/>
  <c r="G255" i="13"/>
  <c r="H254" i="13"/>
  <c r="G254" i="13"/>
  <c r="H253" i="13"/>
  <c r="G253" i="13"/>
  <c r="H252" i="13"/>
  <c r="G252" i="13"/>
  <c r="H251" i="13"/>
  <c r="G251" i="13"/>
  <c r="H250" i="13"/>
  <c r="G250" i="13"/>
  <c r="H249" i="13"/>
  <c r="G249" i="13"/>
  <c r="H248" i="13"/>
  <c r="G248" i="13"/>
  <c r="H247" i="13"/>
  <c r="G247" i="13"/>
  <c r="H246" i="13"/>
  <c r="G246" i="13"/>
  <c r="H245" i="13"/>
  <c r="G245" i="13"/>
  <c r="H244" i="13"/>
  <c r="G244" i="13"/>
  <c r="H243" i="13"/>
  <c r="G243" i="13"/>
  <c r="H242" i="13"/>
  <c r="G242" i="13"/>
  <c r="H241" i="13"/>
  <c r="G241" i="13"/>
  <c r="H240" i="13"/>
  <c r="G240" i="13"/>
  <c r="H239" i="13"/>
  <c r="G239" i="13"/>
  <c r="H238" i="13"/>
  <c r="G238" i="13"/>
  <c r="H237" i="13"/>
  <c r="G237" i="13"/>
  <c r="H236" i="13"/>
  <c r="G236" i="13"/>
  <c r="H235" i="13"/>
  <c r="G235" i="13"/>
  <c r="H234" i="13"/>
  <c r="G234" i="13"/>
  <c r="H233" i="13"/>
  <c r="G233" i="13"/>
  <c r="H232" i="13"/>
  <c r="G232" i="13"/>
  <c r="H231" i="13"/>
  <c r="G231" i="13"/>
  <c r="H230" i="13"/>
  <c r="G230" i="13"/>
  <c r="H229" i="13"/>
  <c r="G229" i="13"/>
  <c r="H228" i="13"/>
  <c r="G228" i="13"/>
  <c r="H227" i="13"/>
  <c r="G227" i="13"/>
  <c r="H226" i="13"/>
  <c r="G226" i="13"/>
  <c r="H225" i="13"/>
  <c r="G225" i="13"/>
  <c r="H224" i="13"/>
  <c r="G224" i="13"/>
  <c r="H223" i="13"/>
  <c r="G223" i="13"/>
  <c r="H222" i="13"/>
  <c r="G222" i="13"/>
  <c r="H221" i="13"/>
  <c r="G221" i="13"/>
  <c r="H220" i="13"/>
  <c r="G220" i="13"/>
  <c r="H219" i="13"/>
  <c r="G219" i="13"/>
  <c r="H218" i="13"/>
  <c r="G218" i="13"/>
  <c r="H217" i="13"/>
  <c r="G217" i="13"/>
  <c r="H216" i="13"/>
  <c r="G216" i="13"/>
  <c r="H215" i="13"/>
  <c r="G215" i="13"/>
  <c r="H214" i="13"/>
  <c r="G214" i="13"/>
  <c r="H213" i="13"/>
  <c r="G213" i="13"/>
  <c r="H212" i="13"/>
  <c r="G212" i="13"/>
  <c r="H211" i="13"/>
  <c r="G211" i="13"/>
  <c r="H210" i="13"/>
  <c r="G210" i="13"/>
  <c r="H209" i="13"/>
  <c r="G209" i="13"/>
  <c r="H208" i="13"/>
  <c r="G208" i="13"/>
  <c r="H207" i="13"/>
  <c r="G207" i="13"/>
  <c r="H206" i="13"/>
  <c r="G206" i="13"/>
  <c r="H205" i="13"/>
  <c r="G205" i="13"/>
  <c r="H204" i="13"/>
  <c r="G204" i="13"/>
  <c r="H203" i="13"/>
  <c r="G203" i="13"/>
  <c r="H202" i="13"/>
  <c r="G202" i="13"/>
  <c r="H201" i="13"/>
  <c r="G201" i="13"/>
  <c r="H200" i="13"/>
  <c r="G200" i="13"/>
  <c r="H199" i="13"/>
  <c r="G199" i="13"/>
  <c r="H198" i="13"/>
  <c r="G198" i="13"/>
  <c r="H197" i="13"/>
  <c r="G197" i="13"/>
  <c r="H196" i="13"/>
  <c r="G196" i="13"/>
  <c r="H195" i="13"/>
  <c r="G195" i="13"/>
  <c r="H194" i="13"/>
  <c r="G194" i="13"/>
  <c r="H193" i="13"/>
  <c r="G193" i="13"/>
  <c r="H192" i="13"/>
  <c r="G192" i="13"/>
  <c r="H191" i="13"/>
  <c r="G191" i="13"/>
  <c r="H190" i="13"/>
  <c r="G190" i="13"/>
  <c r="H189" i="13"/>
  <c r="G189" i="13"/>
  <c r="H188" i="13"/>
  <c r="G188" i="13"/>
  <c r="H187" i="13"/>
  <c r="G187" i="13"/>
  <c r="H186" i="13"/>
  <c r="G186" i="13"/>
  <c r="H185" i="13"/>
  <c r="G185" i="13"/>
  <c r="H184" i="13"/>
  <c r="G184" i="13"/>
  <c r="H183" i="13"/>
  <c r="G183" i="13"/>
  <c r="H182" i="13"/>
  <c r="G182" i="13"/>
  <c r="H181" i="13"/>
  <c r="G181" i="13"/>
  <c r="H180" i="13"/>
  <c r="G180" i="13"/>
  <c r="H179" i="13"/>
  <c r="G179" i="13"/>
  <c r="H178" i="13"/>
  <c r="G178" i="13"/>
  <c r="H177" i="13"/>
  <c r="G177" i="13"/>
  <c r="H176" i="13"/>
  <c r="G176" i="13"/>
  <c r="H175" i="13"/>
  <c r="G175" i="13"/>
  <c r="H174" i="13"/>
  <c r="G174" i="13"/>
  <c r="H173" i="13"/>
  <c r="G173" i="13"/>
  <c r="H172" i="13"/>
  <c r="G172" i="13"/>
  <c r="H171" i="13"/>
  <c r="G171" i="13"/>
  <c r="H170" i="13"/>
  <c r="G170" i="13"/>
  <c r="H169" i="13"/>
  <c r="G169" i="13"/>
  <c r="H168" i="13"/>
  <c r="G168" i="13"/>
  <c r="H167" i="13"/>
  <c r="G167" i="13"/>
  <c r="H166" i="13"/>
  <c r="G166" i="13"/>
  <c r="H165" i="13"/>
  <c r="G165" i="13"/>
  <c r="H164" i="13"/>
  <c r="G164" i="13"/>
  <c r="H163" i="13"/>
  <c r="G163" i="13"/>
  <c r="H162" i="13"/>
  <c r="G162" i="13"/>
  <c r="H161" i="13"/>
  <c r="G161" i="13"/>
  <c r="H160" i="13"/>
  <c r="G160" i="13"/>
  <c r="H159" i="13"/>
  <c r="G159" i="13"/>
  <c r="H158" i="13"/>
  <c r="G158" i="13"/>
  <c r="H157" i="13"/>
  <c r="G157" i="13"/>
  <c r="H156" i="13"/>
  <c r="G156" i="13"/>
  <c r="H155" i="13"/>
  <c r="G155" i="13"/>
  <c r="H154" i="13"/>
  <c r="G154" i="13"/>
  <c r="H153" i="13"/>
  <c r="G153" i="13"/>
  <c r="H152" i="13"/>
  <c r="G152" i="13"/>
  <c r="H151" i="13"/>
  <c r="G151" i="13"/>
  <c r="H150" i="13"/>
  <c r="G150" i="13"/>
  <c r="H149" i="13"/>
  <c r="G149" i="13"/>
  <c r="H148" i="13"/>
  <c r="G148" i="13"/>
  <c r="H147" i="13"/>
  <c r="G147" i="13"/>
  <c r="H146" i="13"/>
  <c r="G146" i="13"/>
  <c r="H145" i="13"/>
  <c r="G145" i="13"/>
  <c r="H144" i="13"/>
  <c r="G144" i="13"/>
  <c r="H143" i="13"/>
  <c r="G143" i="13"/>
  <c r="H142" i="13"/>
  <c r="G142" i="13"/>
  <c r="H141" i="13"/>
  <c r="G141" i="13"/>
  <c r="H140" i="13"/>
  <c r="G140" i="13"/>
  <c r="H139" i="13"/>
  <c r="G139" i="13"/>
  <c r="H138" i="13"/>
  <c r="G138" i="13"/>
  <c r="H137" i="13"/>
  <c r="G137" i="13"/>
  <c r="H136" i="13"/>
  <c r="G136" i="13"/>
  <c r="H135" i="13"/>
  <c r="G135" i="13"/>
  <c r="H134" i="13"/>
  <c r="G134" i="13"/>
  <c r="H133" i="13"/>
  <c r="G133" i="13"/>
  <c r="H132" i="13"/>
  <c r="G132" i="13"/>
  <c r="H131" i="13"/>
  <c r="G131" i="13"/>
  <c r="H130" i="13"/>
  <c r="G130" i="13"/>
  <c r="H129" i="13"/>
  <c r="G129" i="13"/>
  <c r="H128" i="13"/>
  <c r="G128" i="13"/>
  <c r="H127" i="13"/>
  <c r="G127" i="13"/>
  <c r="H126" i="13"/>
  <c r="G126" i="13"/>
  <c r="H125" i="13"/>
  <c r="G125" i="13"/>
  <c r="H124" i="13"/>
  <c r="G124" i="13"/>
  <c r="H123" i="13"/>
  <c r="G123" i="13"/>
  <c r="H122" i="13"/>
  <c r="G122" i="13"/>
  <c r="H121" i="13"/>
  <c r="G121" i="13"/>
  <c r="H120" i="13"/>
  <c r="G120" i="13"/>
  <c r="H119" i="13"/>
  <c r="G119" i="13"/>
  <c r="H118" i="13"/>
  <c r="G118" i="13"/>
  <c r="H117" i="13"/>
  <c r="G117" i="13"/>
  <c r="H116" i="13"/>
  <c r="G116" i="13"/>
  <c r="H115" i="13"/>
  <c r="G115" i="13"/>
  <c r="H114" i="13"/>
  <c r="G114" i="13"/>
  <c r="H113" i="13"/>
  <c r="G113" i="13"/>
  <c r="H112" i="13"/>
  <c r="G112" i="13"/>
  <c r="H111" i="13"/>
  <c r="G111" i="13"/>
  <c r="H110" i="13"/>
  <c r="G110" i="13"/>
  <c r="H109" i="13"/>
  <c r="G109" i="13"/>
  <c r="H108" i="13"/>
  <c r="G108" i="13"/>
  <c r="H107" i="13"/>
  <c r="G107" i="13"/>
  <c r="H106" i="13"/>
  <c r="G106" i="13"/>
  <c r="H105" i="13"/>
  <c r="G105" i="13"/>
  <c r="H104" i="13"/>
  <c r="G104" i="13"/>
  <c r="H103" i="13"/>
  <c r="G103" i="13"/>
  <c r="H102" i="13"/>
  <c r="G102" i="13"/>
  <c r="H101" i="13"/>
  <c r="G101" i="13"/>
  <c r="H100" i="13"/>
  <c r="G100" i="13"/>
  <c r="H99" i="13"/>
  <c r="G99" i="13"/>
  <c r="H98" i="13"/>
  <c r="G98" i="13"/>
  <c r="H97" i="13"/>
  <c r="G97" i="13"/>
  <c r="H96" i="13"/>
  <c r="G96" i="13"/>
  <c r="H95" i="13"/>
  <c r="G95" i="13"/>
  <c r="H94" i="13"/>
  <c r="G94" i="13"/>
  <c r="H93" i="13"/>
  <c r="G93" i="13"/>
  <c r="H92" i="13"/>
  <c r="G92" i="13"/>
  <c r="H91" i="13"/>
  <c r="G91" i="13"/>
  <c r="H90" i="13"/>
  <c r="G90" i="13"/>
  <c r="H89" i="13"/>
  <c r="G89" i="13"/>
  <c r="H88" i="13"/>
  <c r="G88" i="13"/>
  <c r="H87" i="13"/>
  <c r="G87" i="13"/>
  <c r="H86" i="13"/>
  <c r="G86" i="13"/>
  <c r="H85" i="13"/>
  <c r="G85" i="13"/>
  <c r="H84" i="13"/>
  <c r="G84" i="13"/>
  <c r="H83" i="13"/>
  <c r="G83" i="13"/>
  <c r="H82" i="13"/>
  <c r="G82" i="13"/>
  <c r="H81" i="13"/>
  <c r="G81" i="13"/>
  <c r="H80" i="13"/>
  <c r="G80" i="13"/>
  <c r="H79" i="13"/>
  <c r="G79" i="13"/>
  <c r="H78" i="13"/>
  <c r="G78" i="13"/>
  <c r="H77" i="13"/>
  <c r="G77" i="13"/>
  <c r="H76" i="13"/>
  <c r="G76" i="13"/>
  <c r="H75" i="13"/>
  <c r="G75" i="13"/>
  <c r="H74" i="13"/>
  <c r="G74" i="13"/>
  <c r="H73" i="13"/>
  <c r="G73" i="13"/>
  <c r="H72" i="13"/>
  <c r="G72" i="13"/>
  <c r="H71" i="13"/>
  <c r="G71" i="13"/>
  <c r="H70" i="13"/>
  <c r="G70" i="13"/>
  <c r="H69" i="13"/>
  <c r="G69" i="13"/>
  <c r="H68" i="13"/>
  <c r="G68" i="13"/>
  <c r="H67" i="13"/>
  <c r="G67" i="13"/>
  <c r="H66" i="13"/>
  <c r="G66" i="13"/>
  <c r="H65" i="13"/>
  <c r="G65" i="13"/>
  <c r="H64" i="13"/>
  <c r="G64" i="13"/>
  <c r="H63" i="13"/>
  <c r="G63" i="13"/>
  <c r="H62" i="13"/>
  <c r="G62" i="13"/>
  <c r="H61" i="13"/>
  <c r="G61" i="13"/>
  <c r="H60" i="13"/>
  <c r="G60" i="13"/>
  <c r="H59" i="13"/>
  <c r="G59" i="13"/>
  <c r="H58" i="13"/>
  <c r="G58" i="13"/>
  <c r="H57" i="13"/>
  <c r="G57" i="13"/>
  <c r="H56" i="13"/>
  <c r="G56" i="13"/>
  <c r="H55" i="13"/>
  <c r="G55" i="13"/>
  <c r="H54" i="13"/>
  <c r="G54" i="13"/>
  <c r="H53" i="13"/>
  <c r="G53" i="13"/>
  <c r="H52" i="13"/>
  <c r="G52" i="13"/>
  <c r="H51" i="13"/>
  <c r="G51" i="13"/>
  <c r="H50" i="13"/>
  <c r="G50" i="13"/>
  <c r="H49" i="13"/>
  <c r="G49" i="13"/>
  <c r="H48" i="13"/>
  <c r="G48" i="13"/>
  <c r="H47" i="13"/>
  <c r="G47" i="13"/>
  <c r="H46" i="13"/>
  <c r="G46" i="13"/>
  <c r="H45" i="13"/>
  <c r="G45" i="13"/>
  <c r="H44" i="13"/>
  <c r="G44" i="13"/>
  <c r="H43" i="13"/>
  <c r="G43" i="13"/>
  <c r="H42" i="13"/>
  <c r="G42" i="13"/>
  <c r="H41" i="13"/>
  <c r="G41" i="13"/>
  <c r="H40" i="13"/>
  <c r="G40" i="13"/>
  <c r="H39" i="13"/>
  <c r="G39" i="13"/>
  <c r="H38" i="13"/>
  <c r="G38" i="13"/>
  <c r="H37" i="13"/>
  <c r="G37" i="13"/>
  <c r="H36" i="13"/>
  <c r="G36" i="13"/>
  <c r="H35" i="13"/>
  <c r="G35" i="13"/>
  <c r="H34" i="13"/>
  <c r="G34" i="13"/>
  <c r="H33" i="13"/>
  <c r="G33" i="13"/>
  <c r="H32" i="13"/>
  <c r="G32" i="13"/>
  <c r="H31" i="13"/>
  <c r="G31" i="13"/>
  <c r="H30" i="13"/>
  <c r="G30" i="13"/>
  <c r="H29" i="13"/>
  <c r="G29" i="13"/>
  <c r="H28" i="13"/>
  <c r="G28" i="13"/>
  <c r="H27" i="13"/>
  <c r="G27" i="13"/>
  <c r="H26" i="13"/>
  <c r="G26" i="13"/>
  <c r="H25" i="13"/>
  <c r="G25" i="13"/>
  <c r="H24" i="13"/>
  <c r="G24" i="13"/>
  <c r="H23" i="13"/>
  <c r="G23" i="13"/>
  <c r="H22" i="13"/>
  <c r="G22" i="13"/>
  <c r="H21" i="13"/>
  <c r="G21" i="13"/>
  <c r="H20" i="13"/>
  <c r="G20" i="13"/>
  <c r="H19" i="13"/>
  <c r="G19" i="13"/>
  <c r="H18" i="13"/>
  <c r="G18" i="13"/>
  <c r="H17" i="13"/>
  <c r="G17" i="13"/>
  <c r="H16" i="13"/>
  <c r="G16" i="13"/>
  <c r="H15" i="13"/>
  <c r="G15" i="13"/>
  <c r="H14" i="13"/>
  <c r="G14" i="13"/>
  <c r="H13" i="13"/>
  <c r="G13" i="13"/>
  <c r="H12" i="13"/>
  <c r="G12" i="13"/>
  <c r="H11" i="13"/>
  <c r="G11" i="13"/>
  <c r="H10" i="13"/>
  <c r="G10" i="13"/>
  <c r="H9" i="13"/>
  <c r="G9" i="13"/>
  <c r="H8" i="13"/>
  <c r="G8" i="13"/>
  <c r="H7" i="13"/>
  <c r="G7" i="13"/>
  <c r="H6" i="13"/>
  <c r="G6" i="13"/>
  <c r="H5" i="13"/>
  <c r="G5" i="13"/>
  <c r="H4" i="13"/>
  <c r="G4" i="13"/>
  <c r="H3" i="13"/>
  <c r="G3" i="13"/>
  <c r="H2" i="13"/>
  <c r="G2" i="13"/>
  <c r="O298" i="9"/>
  <c r="G298" i="9"/>
  <c r="H298" i="9" s="1"/>
  <c r="O297" i="9"/>
  <c r="G297" i="9"/>
  <c r="H297" i="9" s="1"/>
  <c r="O296" i="9"/>
  <c r="G296" i="9"/>
  <c r="H296" i="9" s="1"/>
  <c r="O295" i="9"/>
  <c r="G295" i="9"/>
  <c r="H295" i="9" s="1"/>
  <c r="O294" i="9"/>
  <c r="G294" i="9"/>
  <c r="H294" i="9" s="1"/>
  <c r="O293" i="9"/>
  <c r="G293" i="9"/>
  <c r="H293" i="9" s="1"/>
  <c r="O292" i="9"/>
  <c r="G292" i="9"/>
  <c r="H292" i="9" s="1"/>
  <c r="O291" i="9"/>
  <c r="G291" i="9"/>
  <c r="H291" i="9" s="1"/>
  <c r="O290" i="9"/>
  <c r="G290" i="9"/>
  <c r="H290" i="9" s="1"/>
  <c r="O289" i="9"/>
  <c r="G289" i="9"/>
  <c r="H289" i="9" s="1"/>
  <c r="O288" i="9"/>
  <c r="G288" i="9"/>
  <c r="H288" i="9" s="1"/>
  <c r="O287" i="9"/>
  <c r="G287" i="9"/>
  <c r="H287" i="9" s="1"/>
  <c r="O286" i="9"/>
  <c r="G286" i="9"/>
  <c r="H286" i="9" s="1"/>
  <c r="O285" i="9"/>
  <c r="G285" i="9"/>
  <c r="H285" i="9" s="1"/>
  <c r="O284" i="9"/>
  <c r="G284" i="9"/>
  <c r="H284" i="9" s="1"/>
  <c r="O283" i="9"/>
  <c r="G283" i="9"/>
  <c r="H283" i="9" s="1"/>
  <c r="O282" i="9"/>
  <c r="G282" i="9"/>
  <c r="H282" i="9" s="1"/>
  <c r="O281" i="9"/>
  <c r="G281" i="9"/>
  <c r="H281" i="9" s="1"/>
  <c r="O280" i="9"/>
  <c r="G280" i="9"/>
  <c r="H280" i="9" s="1"/>
  <c r="O279" i="9"/>
  <c r="G279" i="9"/>
  <c r="H279" i="9" s="1"/>
  <c r="O278" i="9"/>
  <c r="G278" i="9"/>
  <c r="H278" i="9" s="1"/>
  <c r="O277" i="9"/>
  <c r="G277" i="9"/>
  <c r="H277" i="9" s="1"/>
  <c r="O276" i="9"/>
  <c r="G276" i="9"/>
  <c r="H276" i="9" s="1"/>
  <c r="O275" i="9"/>
  <c r="G275" i="9"/>
  <c r="H275" i="9" s="1"/>
  <c r="O274" i="9"/>
  <c r="G274" i="9"/>
  <c r="H274" i="9" s="1"/>
  <c r="O273" i="9"/>
  <c r="G273" i="9"/>
  <c r="H273" i="9" s="1"/>
  <c r="O272" i="9"/>
  <c r="G272" i="9"/>
  <c r="H272" i="9" s="1"/>
  <c r="O271" i="9"/>
  <c r="G271" i="9"/>
  <c r="H271" i="9" s="1"/>
  <c r="O270" i="9"/>
  <c r="G270" i="9"/>
  <c r="H270" i="9" s="1"/>
  <c r="O269" i="9"/>
  <c r="G269" i="9"/>
  <c r="H269" i="9" s="1"/>
  <c r="O268" i="9"/>
  <c r="G268" i="9"/>
  <c r="H268" i="9" s="1"/>
  <c r="O267" i="9"/>
  <c r="G267" i="9"/>
  <c r="H267" i="9" s="1"/>
  <c r="O266" i="9"/>
  <c r="G266" i="9"/>
  <c r="H266" i="9" s="1"/>
  <c r="O265" i="9"/>
  <c r="G265" i="9"/>
  <c r="H265" i="9" s="1"/>
  <c r="O264" i="9"/>
  <c r="G264" i="9"/>
  <c r="H264" i="9" s="1"/>
  <c r="O263" i="9"/>
  <c r="G263" i="9"/>
  <c r="H263" i="9" s="1"/>
  <c r="O262" i="9"/>
  <c r="G262" i="9"/>
  <c r="H262" i="9" s="1"/>
  <c r="O261" i="9"/>
  <c r="G261" i="9"/>
  <c r="H261" i="9" s="1"/>
  <c r="O260" i="9"/>
  <c r="G260" i="9"/>
  <c r="H260" i="9" s="1"/>
  <c r="O259" i="9"/>
  <c r="G259" i="9"/>
  <c r="H259" i="9" s="1"/>
  <c r="O258" i="9"/>
  <c r="G258" i="9"/>
  <c r="H258" i="9" s="1"/>
  <c r="O257" i="9"/>
  <c r="G257" i="9"/>
  <c r="H257" i="9" s="1"/>
  <c r="O256" i="9"/>
  <c r="G256" i="9"/>
  <c r="H256" i="9" s="1"/>
  <c r="O255" i="9"/>
  <c r="G255" i="9"/>
  <c r="H255" i="9" s="1"/>
  <c r="O254" i="9"/>
  <c r="G254" i="9"/>
  <c r="H254" i="9" s="1"/>
  <c r="O253" i="9"/>
  <c r="G253" i="9"/>
  <c r="H253" i="9" s="1"/>
  <c r="O252" i="9"/>
  <c r="G252" i="9"/>
  <c r="H252" i="9" s="1"/>
  <c r="O251" i="9"/>
  <c r="G251" i="9"/>
  <c r="H251" i="9" s="1"/>
  <c r="O250" i="9"/>
  <c r="G250" i="9"/>
  <c r="H250" i="9" s="1"/>
  <c r="O249" i="9"/>
  <c r="G249" i="9"/>
  <c r="H249" i="9" s="1"/>
  <c r="O248" i="9"/>
  <c r="G248" i="9"/>
  <c r="H248" i="9" s="1"/>
  <c r="O247" i="9"/>
  <c r="G247" i="9"/>
  <c r="H247" i="9" s="1"/>
  <c r="O246" i="9"/>
  <c r="G246" i="9"/>
  <c r="H246" i="9" s="1"/>
  <c r="O245" i="9"/>
  <c r="G245" i="9"/>
  <c r="H245" i="9" s="1"/>
  <c r="O244" i="9"/>
  <c r="G244" i="9"/>
  <c r="H244" i="9" s="1"/>
  <c r="O243" i="9"/>
  <c r="G243" i="9"/>
  <c r="H243" i="9" s="1"/>
  <c r="O242" i="9"/>
  <c r="G242" i="9"/>
  <c r="H242" i="9" s="1"/>
  <c r="O241" i="9"/>
  <c r="G241" i="9"/>
  <c r="H241" i="9" s="1"/>
  <c r="O240" i="9"/>
  <c r="G240" i="9"/>
  <c r="H240" i="9" s="1"/>
  <c r="O239" i="9"/>
  <c r="G239" i="9"/>
  <c r="H239" i="9" s="1"/>
  <c r="O238" i="9"/>
  <c r="G238" i="9"/>
  <c r="H238" i="9" s="1"/>
  <c r="O237" i="9"/>
  <c r="G237" i="9"/>
  <c r="H237" i="9" s="1"/>
  <c r="O236" i="9"/>
  <c r="G236" i="9"/>
  <c r="H236" i="9" s="1"/>
  <c r="O235" i="9"/>
  <c r="G235" i="9"/>
  <c r="H235" i="9" s="1"/>
  <c r="O234" i="9"/>
  <c r="G234" i="9"/>
  <c r="H234" i="9" s="1"/>
  <c r="O233" i="9"/>
  <c r="G233" i="9"/>
  <c r="H233" i="9" s="1"/>
  <c r="O232" i="9"/>
  <c r="G232" i="9"/>
  <c r="H232" i="9" s="1"/>
  <c r="O231" i="9"/>
  <c r="G231" i="9"/>
  <c r="H231" i="9" s="1"/>
  <c r="O230" i="9"/>
  <c r="G230" i="9"/>
  <c r="H230" i="9" s="1"/>
  <c r="O229" i="9"/>
  <c r="G229" i="9"/>
  <c r="H229" i="9" s="1"/>
  <c r="O228" i="9"/>
  <c r="G228" i="9"/>
  <c r="H228" i="9" s="1"/>
  <c r="O227" i="9"/>
  <c r="G227" i="9"/>
  <c r="H227" i="9" s="1"/>
  <c r="O226" i="9"/>
  <c r="G226" i="9"/>
  <c r="H226" i="9" s="1"/>
  <c r="O225" i="9"/>
  <c r="G225" i="9"/>
  <c r="H225" i="9" s="1"/>
  <c r="O224" i="9"/>
  <c r="G224" i="9"/>
  <c r="H224" i="9" s="1"/>
  <c r="O223" i="9"/>
  <c r="G223" i="9"/>
  <c r="H223" i="9" s="1"/>
  <c r="O222" i="9"/>
  <c r="G222" i="9"/>
  <c r="H222" i="9" s="1"/>
  <c r="O221" i="9"/>
  <c r="G221" i="9"/>
  <c r="H221" i="9" s="1"/>
  <c r="O220" i="9"/>
  <c r="G220" i="9"/>
  <c r="H220" i="9" s="1"/>
  <c r="O219" i="9"/>
  <c r="G219" i="9"/>
  <c r="H219" i="9" s="1"/>
  <c r="O218" i="9"/>
  <c r="G218" i="9"/>
  <c r="H218" i="9" s="1"/>
  <c r="O217" i="9"/>
  <c r="G217" i="9"/>
  <c r="H217" i="9" s="1"/>
  <c r="O216" i="9"/>
  <c r="G216" i="9"/>
  <c r="H216" i="9" s="1"/>
  <c r="O215" i="9"/>
  <c r="G215" i="9"/>
  <c r="H215" i="9" s="1"/>
  <c r="O214" i="9"/>
  <c r="G214" i="9"/>
  <c r="H214" i="9" s="1"/>
  <c r="O213" i="9"/>
  <c r="G213" i="9"/>
  <c r="H213" i="9" s="1"/>
  <c r="O212" i="9"/>
  <c r="G212" i="9"/>
  <c r="H212" i="9" s="1"/>
  <c r="O211" i="9"/>
  <c r="G211" i="9"/>
  <c r="H211" i="9" s="1"/>
  <c r="O210" i="9"/>
  <c r="G210" i="9"/>
  <c r="H210" i="9" s="1"/>
  <c r="O209" i="9"/>
  <c r="G209" i="9"/>
  <c r="H209" i="9" s="1"/>
  <c r="O208" i="9"/>
  <c r="G208" i="9"/>
  <c r="H208" i="9" s="1"/>
  <c r="O207" i="9"/>
  <c r="G207" i="9"/>
  <c r="H207" i="9" s="1"/>
  <c r="O206" i="9"/>
  <c r="G206" i="9"/>
  <c r="H206" i="9" s="1"/>
  <c r="O205" i="9"/>
  <c r="G205" i="9"/>
  <c r="H205" i="9" s="1"/>
  <c r="O204" i="9"/>
  <c r="G204" i="9"/>
  <c r="H204" i="9" s="1"/>
  <c r="O203" i="9"/>
  <c r="G203" i="9"/>
  <c r="H203" i="9" s="1"/>
  <c r="O202" i="9"/>
  <c r="G202" i="9"/>
  <c r="H202" i="9" s="1"/>
  <c r="O201" i="9"/>
  <c r="G201" i="9"/>
  <c r="H201" i="9" s="1"/>
  <c r="O200" i="9"/>
  <c r="G200" i="9"/>
  <c r="H200" i="9" s="1"/>
  <c r="O199" i="9"/>
  <c r="G199" i="9"/>
  <c r="H199" i="9" s="1"/>
  <c r="O198" i="9"/>
  <c r="G198" i="9"/>
  <c r="H198" i="9" s="1"/>
  <c r="O197" i="9"/>
  <c r="G197" i="9"/>
  <c r="H197" i="9" s="1"/>
  <c r="O196" i="9"/>
  <c r="G196" i="9"/>
  <c r="H196" i="9" s="1"/>
  <c r="O195" i="9"/>
  <c r="G195" i="9"/>
  <c r="H195" i="9" s="1"/>
  <c r="O194" i="9"/>
  <c r="G194" i="9"/>
  <c r="H194" i="9" s="1"/>
  <c r="O193" i="9"/>
  <c r="G193" i="9"/>
  <c r="H193" i="9" s="1"/>
  <c r="O192" i="9"/>
  <c r="G192" i="9"/>
  <c r="H192" i="9" s="1"/>
  <c r="O191" i="9"/>
  <c r="G191" i="9"/>
  <c r="H191" i="9" s="1"/>
  <c r="O190" i="9"/>
  <c r="G190" i="9"/>
  <c r="H190" i="9" s="1"/>
  <c r="O189" i="9"/>
  <c r="G189" i="9"/>
  <c r="H189" i="9" s="1"/>
  <c r="O188" i="9"/>
  <c r="G188" i="9"/>
  <c r="H188" i="9" s="1"/>
  <c r="O187" i="9"/>
  <c r="G187" i="9"/>
  <c r="H187" i="9" s="1"/>
  <c r="O186" i="9"/>
  <c r="G186" i="9"/>
  <c r="H186" i="9" s="1"/>
  <c r="O185" i="9"/>
  <c r="G185" i="9"/>
  <c r="H185" i="9" s="1"/>
  <c r="O184" i="9"/>
  <c r="G184" i="9"/>
  <c r="H184" i="9" s="1"/>
  <c r="O183" i="9"/>
  <c r="G183" i="9"/>
  <c r="H183" i="9" s="1"/>
  <c r="O182" i="9"/>
  <c r="G182" i="9"/>
  <c r="H182" i="9" s="1"/>
  <c r="O181" i="9"/>
  <c r="G181" i="9"/>
  <c r="H181" i="9" s="1"/>
  <c r="O180" i="9"/>
  <c r="G180" i="9"/>
  <c r="H180" i="9" s="1"/>
  <c r="O179" i="9"/>
  <c r="G179" i="9"/>
  <c r="H179" i="9" s="1"/>
  <c r="O178" i="9"/>
  <c r="G178" i="9"/>
  <c r="H178" i="9" s="1"/>
  <c r="O177" i="9"/>
  <c r="G177" i="9"/>
  <c r="H177" i="9" s="1"/>
  <c r="O176" i="9"/>
  <c r="G176" i="9"/>
  <c r="H176" i="9" s="1"/>
  <c r="O175" i="9"/>
  <c r="G175" i="9"/>
  <c r="H175" i="9" s="1"/>
  <c r="O174" i="9"/>
  <c r="G174" i="9"/>
  <c r="H174" i="9" s="1"/>
  <c r="O173" i="9"/>
  <c r="G173" i="9"/>
  <c r="H173" i="9" s="1"/>
  <c r="O172" i="9"/>
  <c r="G172" i="9"/>
  <c r="H172" i="9" s="1"/>
  <c r="O171" i="9"/>
  <c r="G171" i="9"/>
  <c r="H171" i="9" s="1"/>
  <c r="O170" i="9"/>
  <c r="G170" i="9"/>
  <c r="H170" i="9" s="1"/>
  <c r="O169" i="9"/>
  <c r="G169" i="9"/>
  <c r="H169" i="9" s="1"/>
  <c r="O168" i="9"/>
  <c r="G168" i="9"/>
  <c r="H168" i="9" s="1"/>
  <c r="O167" i="9"/>
  <c r="G167" i="9"/>
  <c r="H167" i="9" s="1"/>
  <c r="O166" i="9"/>
  <c r="G166" i="9"/>
  <c r="H166" i="9" s="1"/>
  <c r="O165" i="9"/>
  <c r="G165" i="9"/>
  <c r="H165" i="9" s="1"/>
  <c r="O164" i="9"/>
  <c r="G164" i="9"/>
  <c r="H164" i="9" s="1"/>
  <c r="O163" i="9"/>
  <c r="G163" i="9"/>
  <c r="H163" i="9" s="1"/>
  <c r="O162" i="9"/>
  <c r="G162" i="9"/>
  <c r="H162" i="9" s="1"/>
  <c r="O161" i="9"/>
  <c r="G161" i="9"/>
  <c r="H161" i="9" s="1"/>
  <c r="O160" i="9"/>
  <c r="G160" i="9"/>
  <c r="H160" i="9" s="1"/>
  <c r="O159" i="9"/>
  <c r="G159" i="9"/>
  <c r="H159" i="9" s="1"/>
  <c r="O158" i="9"/>
  <c r="G158" i="9"/>
  <c r="H158" i="9" s="1"/>
  <c r="O157" i="9"/>
  <c r="G157" i="9"/>
  <c r="H157" i="9" s="1"/>
  <c r="O156" i="9"/>
  <c r="G156" i="9"/>
  <c r="H156" i="9" s="1"/>
  <c r="O155" i="9"/>
  <c r="G155" i="9"/>
  <c r="H155" i="9" s="1"/>
  <c r="O154" i="9"/>
  <c r="G154" i="9"/>
  <c r="H154" i="9" s="1"/>
  <c r="O153" i="9"/>
  <c r="G153" i="9"/>
  <c r="H153" i="9" s="1"/>
  <c r="O152" i="9"/>
  <c r="G152" i="9"/>
  <c r="H152" i="9" s="1"/>
  <c r="O151" i="9"/>
  <c r="G151" i="9"/>
  <c r="H151" i="9" s="1"/>
  <c r="O150" i="9"/>
  <c r="G150" i="9"/>
  <c r="H150" i="9" s="1"/>
  <c r="O149" i="9"/>
  <c r="G149" i="9"/>
  <c r="H149" i="9" s="1"/>
  <c r="O148" i="9"/>
  <c r="G148" i="9"/>
  <c r="H148" i="9" s="1"/>
  <c r="O147" i="9"/>
  <c r="G147" i="9"/>
  <c r="H147" i="9" s="1"/>
  <c r="O146" i="9"/>
  <c r="G146" i="9"/>
  <c r="H146" i="9" s="1"/>
  <c r="O145" i="9"/>
  <c r="G145" i="9"/>
  <c r="H145" i="9" s="1"/>
  <c r="O144" i="9"/>
  <c r="G144" i="9"/>
  <c r="H144" i="9" s="1"/>
  <c r="O143" i="9"/>
  <c r="G143" i="9"/>
  <c r="H143" i="9" s="1"/>
  <c r="O142" i="9"/>
  <c r="G142" i="9"/>
  <c r="H142" i="9" s="1"/>
  <c r="O141" i="9"/>
  <c r="G141" i="9"/>
  <c r="H141" i="9" s="1"/>
  <c r="O140" i="9"/>
  <c r="G140" i="9"/>
  <c r="H140" i="9" s="1"/>
  <c r="O139" i="9"/>
  <c r="G139" i="9"/>
  <c r="H139" i="9" s="1"/>
  <c r="O138" i="9"/>
  <c r="G138" i="9"/>
  <c r="H138" i="9" s="1"/>
  <c r="O137" i="9"/>
  <c r="G137" i="9"/>
  <c r="H137" i="9" s="1"/>
  <c r="O136" i="9"/>
  <c r="G136" i="9"/>
  <c r="H136" i="9" s="1"/>
  <c r="O135" i="9"/>
  <c r="G135" i="9"/>
  <c r="H135" i="9" s="1"/>
  <c r="O134" i="9"/>
  <c r="G134" i="9"/>
  <c r="H134" i="9" s="1"/>
  <c r="O133" i="9"/>
  <c r="G133" i="9"/>
  <c r="H133" i="9" s="1"/>
  <c r="O132" i="9"/>
  <c r="G132" i="9"/>
  <c r="H132" i="9" s="1"/>
  <c r="O131" i="9"/>
  <c r="G131" i="9"/>
  <c r="H131" i="9" s="1"/>
  <c r="O130" i="9"/>
  <c r="G130" i="9"/>
  <c r="H130" i="9" s="1"/>
  <c r="O129" i="9"/>
  <c r="G129" i="9"/>
  <c r="H129" i="9" s="1"/>
  <c r="O128" i="9"/>
  <c r="G128" i="9"/>
  <c r="H128" i="9" s="1"/>
  <c r="O127" i="9"/>
  <c r="G127" i="9"/>
  <c r="H127" i="9" s="1"/>
  <c r="O126" i="9"/>
  <c r="G126" i="9"/>
  <c r="H126" i="9" s="1"/>
  <c r="O125" i="9"/>
  <c r="G125" i="9"/>
  <c r="H125" i="9" s="1"/>
  <c r="O124" i="9"/>
  <c r="G124" i="9"/>
  <c r="H124" i="9" s="1"/>
  <c r="O123" i="9"/>
  <c r="G123" i="9"/>
  <c r="H123" i="9" s="1"/>
  <c r="O122" i="9"/>
  <c r="G122" i="9"/>
  <c r="H122" i="9" s="1"/>
  <c r="O121" i="9"/>
  <c r="G121" i="9"/>
  <c r="H121" i="9" s="1"/>
  <c r="O120" i="9"/>
  <c r="G120" i="9"/>
  <c r="H120" i="9" s="1"/>
  <c r="O119" i="9"/>
  <c r="G119" i="9"/>
  <c r="H119" i="9" s="1"/>
  <c r="O118" i="9"/>
  <c r="G118" i="9"/>
  <c r="H118" i="9" s="1"/>
  <c r="O117" i="9"/>
  <c r="G117" i="9"/>
  <c r="H117" i="9" s="1"/>
  <c r="O116" i="9"/>
  <c r="G116" i="9"/>
  <c r="H116" i="9" s="1"/>
  <c r="O115" i="9"/>
  <c r="G115" i="9"/>
  <c r="H115" i="9" s="1"/>
  <c r="O114" i="9"/>
  <c r="G114" i="9"/>
  <c r="H114" i="9" s="1"/>
  <c r="O113" i="9"/>
  <c r="G113" i="9"/>
  <c r="H113" i="9" s="1"/>
  <c r="O112" i="9"/>
  <c r="G112" i="9"/>
  <c r="H112" i="9" s="1"/>
  <c r="O111" i="9"/>
  <c r="G111" i="9"/>
  <c r="H111" i="9" s="1"/>
  <c r="O110" i="9"/>
  <c r="G110" i="9"/>
  <c r="H110" i="9" s="1"/>
  <c r="O109" i="9"/>
  <c r="G109" i="9"/>
  <c r="H109" i="9" s="1"/>
  <c r="O108" i="9"/>
  <c r="G108" i="9"/>
  <c r="H108" i="9" s="1"/>
  <c r="O107" i="9"/>
  <c r="G107" i="9"/>
  <c r="H107" i="9" s="1"/>
  <c r="O106" i="9"/>
  <c r="G106" i="9"/>
  <c r="H106" i="9" s="1"/>
  <c r="O105" i="9"/>
  <c r="G105" i="9"/>
  <c r="H105" i="9" s="1"/>
  <c r="O104" i="9"/>
  <c r="G104" i="9"/>
  <c r="H104" i="9" s="1"/>
  <c r="O103" i="9"/>
  <c r="G103" i="9"/>
  <c r="H103" i="9" s="1"/>
  <c r="O102" i="9"/>
  <c r="G102" i="9"/>
  <c r="H102" i="9" s="1"/>
  <c r="O101" i="9"/>
  <c r="G101" i="9"/>
  <c r="H101" i="9" s="1"/>
  <c r="O100" i="9"/>
  <c r="G100" i="9"/>
  <c r="H100" i="9" s="1"/>
  <c r="O99" i="9"/>
  <c r="G99" i="9"/>
  <c r="H99" i="9" s="1"/>
  <c r="O98" i="9"/>
  <c r="G98" i="9"/>
  <c r="H98" i="9" s="1"/>
  <c r="O97" i="9"/>
  <c r="G97" i="9"/>
  <c r="H97" i="9" s="1"/>
  <c r="O96" i="9"/>
  <c r="G96" i="9"/>
  <c r="H96" i="9" s="1"/>
  <c r="O95" i="9"/>
  <c r="G95" i="9"/>
  <c r="H95" i="9" s="1"/>
  <c r="O94" i="9"/>
  <c r="G94" i="9"/>
  <c r="H94" i="9" s="1"/>
  <c r="O93" i="9"/>
  <c r="G93" i="9"/>
  <c r="H93" i="9" s="1"/>
  <c r="O92" i="9"/>
  <c r="G92" i="9"/>
  <c r="H92" i="9" s="1"/>
  <c r="O91" i="9"/>
  <c r="G91" i="9"/>
  <c r="H91" i="9" s="1"/>
  <c r="O90" i="9"/>
  <c r="G90" i="9"/>
  <c r="H90" i="9" s="1"/>
  <c r="O89" i="9"/>
  <c r="G89" i="9"/>
  <c r="H89" i="9" s="1"/>
  <c r="O88" i="9"/>
  <c r="G88" i="9"/>
  <c r="H88" i="9" s="1"/>
  <c r="O87" i="9"/>
  <c r="G87" i="9"/>
  <c r="H87" i="9" s="1"/>
  <c r="O86" i="9"/>
  <c r="G86" i="9"/>
  <c r="H86" i="9" s="1"/>
  <c r="O85" i="9"/>
  <c r="G85" i="9"/>
  <c r="H85" i="9" s="1"/>
  <c r="O84" i="9"/>
  <c r="G84" i="9"/>
  <c r="H84" i="9" s="1"/>
  <c r="O83" i="9"/>
  <c r="G83" i="9"/>
  <c r="H83" i="9" s="1"/>
  <c r="O82" i="9"/>
  <c r="G82" i="9"/>
  <c r="H82" i="9" s="1"/>
  <c r="O81" i="9"/>
  <c r="G81" i="9"/>
  <c r="H81" i="9" s="1"/>
  <c r="O80" i="9"/>
  <c r="G80" i="9"/>
  <c r="H80" i="9" s="1"/>
  <c r="O79" i="9"/>
  <c r="G79" i="9"/>
  <c r="H79" i="9" s="1"/>
  <c r="O78" i="9"/>
  <c r="G78" i="9"/>
  <c r="H78" i="9" s="1"/>
  <c r="O77" i="9"/>
  <c r="G77" i="9"/>
  <c r="H77" i="9" s="1"/>
  <c r="O76" i="9"/>
  <c r="G76" i="9"/>
  <c r="H76" i="9" s="1"/>
  <c r="O75" i="9"/>
  <c r="G75" i="9"/>
  <c r="H75" i="9" s="1"/>
  <c r="O74" i="9"/>
  <c r="G74" i="9"/>
  <c r="H74" i="9" s="1"/>
  <c r="O73" i="9"/>
  <c r="G73" i="9"/>
  <c r="H73" i="9" s="1"/>
  <c r="O72" i="9"/>
  <c r="G72" i="9"/>
  <c r="H72" i="9" s="1"/>
  <c r="O71" i="9"/>
  <c r="G71" i="9"/>
  <c r="H71" i="9" s="1"/>
  <c r="O70" i="9"/>
  <c r="G70" i="9"/>
  <c r="H70" i="9" s="1"/>
  <c r="O69" i="9"/>
  <c r="G69" i="9"/>
  <c r="H69" i="9" s="1"/>
  <c r="O68" i="9"/>
  <c r="G68" i="9"/>
  <c r="H68" i="9" s="1"/>
  <c r="O67" i="9"/>
  <c r="G67" i="9"/>
  <c r="H67" i="9" s="1"/>
  <c r="O66" i="9"/>
  <c r="G66" i="9"/>
  <c r="H66" i="9" s="1"/>
  <c r="O65" i="9"/>
  <c r="G65" i="9"/>
  <c r="H65" i="9" s="1"/>
  <c r="O64" i="9"/>
  <c r="G64" i="9"/>
  <c r="H64" i="9" s="1"/>
  <c r="O63" i="9"/>
  <c r="G63" i="9"/>
  <c r="H63" i="9" s="1"/>
  <c r="O62" i="9"/>
  <c r="G62" i="9"/>
  <c r="H62" i="9" s="1"/>
  <c r="O61" i="9"/>
  <c r="G61" i="9"/>
  <c r="H61" i="9" s="1"/>
  <c r="O60" i="9"/>
  <c r="G60" i="9"/>
  <c r="H60" i="9" s="1"/>
  <c r="O59" i="9"/>
  <c r="G59" i="9"/>
  <c r="H59" i="9" s="1"/>
  <c r="O58" i="9"/>
  <c r="G58" i="9"/>
  <c r="H58" i="9" s="1"/>
  <c r="O57" i="9"/>
  <c r="G57" i="9"/>
  <c r="H57" i="9" s="1"/>
  <c r="O56" i="9"/>
  <c r="G56" i="9"/>
  <c r="H56" i="9" s="1"/>
  <c r="O55" i="9"/>
  <c r="G55" i="9"/>
  <c r="H55" i="9" s="1"/>
  <c r="O54" i="9"/>
  <c r="G54" i="9"/>
  <c r="H54" i="9" s="1"/>
  <c r="O53" i="9"/>
  <c r="G53" i="9"/>
  <c r="H53" i="9" s="1"/>
  <c r="O52" i="9"/>
  <c r="G52" i="9"/>
  <c r="H52" i="9" s="1"/>
  <c r="O51" i="9"/>
  <c r="G51" i="9"/>
  <c r="H51" i="9" s="1"/>
  <c r="O50" i="9"/>
  <c r="G50" i="9"/>
  <c r="H50" i="9" s="1"/>
  <c r="O49" i="9"/>
  <c r="G49" i="9"/>
  <c r="H49" i="9" s="1"/>
  <c r="O48" i="9"/>
  <c r="G48" i="9"/>
  <c r="H48" i="9" s="1"/>
  <c r="O47" i="9"/>
  <c r="G47" i="9"/>
  <c r="H47" i="9" s="1"/>
  <c r="O46" i="9"/>
  <c r="G46" i="9"/>
  <c r="H46" i="9" s="1"/>
  <c r="O45" i="9"/>
  <c r="G45" i="9"/>
  <c r="H45" i="9" s="1"/>
  <c r="O44" i="9"/>
  <c r="G44" i="9"/>
  <c r="H44" i="9" s="1"/>
  <c r="O43" i="9"/>
  <c r="G43" i="9"/>
  <c r="H43" i="9" s="1"/>
  <c r="O42" i="9"/>
  <c r="G42" i="9"/>
  <c r="H42" i="9" s="1"/>
  <c r="O41" i="9"/>
  <c r="G41" i="9"/>
  <c r="H41" i="9" s="1"/>
  <c r="O40" i="9"/>
  <c r="G40" i="9"/>
  <c r="H40" i="9" s="1"/>
  <c r="O39" i="9"/>
  <c r="G39" i="9"/>
  <c r="H39" i="9" s="1"/>
  <c r="O38" i="9"/>
  <c r="H38" i="9"/>
  <c r="G38" i="9"/>
  <c r="O37" i="9"/>
  <c r="G37" i="9"/>
  <c r="H37" i="9" s="1"/>
  <c r="O36" i="9"/>
  <c r="G36" i="9"/>
  <c r="H36" i="9" s="1"/>
  <c r="O35" i="9"/>
  <c r="G35" i="9"/>
  <c r="H35" i="9" s="1"/>
  <c r="O34" i="9"/>
  <c r="G34" i="9"/>
  <c r="H34" i="9" s="1"/>
  <c r="O33" i="9"/>
  <c r="G33" i="9"/>
  <c r="H33" i="9" s="1"/>
  <c r="O32" i="9"/>
  <c r="G32" i="9"/>
  <c r="H32" i="9" s="1"/>
  <c r="O31" i="9"/>
  <c r="G31" i="9"/>
  <c r="H31" i="9" s="1"/>
  <c r="O30" i="9"/>
  <c r="G30" i="9"/>
  <c r="H30" i="9" s="1"/>
  <c r="O29" i="9"/>
  <c r="G29" i="9"/>
  <c r="H29" i="9" s="1"/>
  <c r="O28" i="9"/>
  <c r="G28" i="9"/>
  <c r="H28" i="9" s="1"/>
  <c r="O27" i="9"/>
  <c r="G27" i="9"/>
  <c r="H27" i="9" s="1"/>
  <c r="O26" i="9"/>
  <c r="G26" i="9"/>
  <c r="H26" i="9" s="1"/>
  <c r="O25" i="9"/>
  <c r="G25" i="9"/>
  <c r="H25" i="9" s="1"/>
  <c r="O24" i="9"/>
  <c r="G24" i="9"/>
  <c r="H24" i="9" s="1"/>
  <c r="O23" i="9"/>
  <c r="G23" i="9"/>
  <c r="H23" i="9" s="1"/>
  <c r="O22" i="9"/>
  <c r="G22" i="9"/>
  <c r="H22" i="9" s="1"/>
  <c r="O21" i="9"/>
  <c r="G21" i="9"/>
  <c r="H21" i="9" s="1"/>
  <c r="O20" i="9"/>
  <c r="G20" i="9"/>
  <c r="H20" i="9" s="1"/>
  <c r="O19" i="9"/>
  <c r="G19" i="9"/>
  <c r="H19" i="9" s="1"/>
  <c r="O18" i="9"/>
  <c r="G18" i="9"/>
  <c r="H18" i="9" s="1"/>
  <c r="O17" i="9"/>
  <c r="G17" i="9"/>
  <c r="H17" i="9" s="1"/>
  <c r="O16" i="9"/>
  <c r="G16" i="9"/>
  <c r="H16" i="9" s="1"/>
  <c r="O15" i="9"/>
  <c r="G15" i="9"/>
  <c r="H15" i="9" s="1"/>
  <c r="O14" i="9"/>
  <c r="G14" i="9"/>
  <c r="H14" i="9" s="1"/>
  <c r="O13" i="9"/>
  <c r="G13" i="9"/>
  <c r="H13" i="9" s="1"/>
  <c r="O12" i="9"/>
  <c r="G12" i="9"/>
  <c r="H12" i="9" s="1"/>
  <c r="O11" i="9"/>
  <c r="G11" i="9"/>
  <c r="H11" i="9" s="1"/>
  <c r="O10" i="9"/>
  <c r="G10" i="9"/>
  <c r="H10" i="9" s="1"/>
  <c r="O9" i="9"/>
  <c r="G9" i="9"/>
  <c r="H9" i="9" s="1"/>
  <c r="O8" i="9"/>
  <c r="G8" i="9"/>
  <c r="H8" i="9" s="1"/>
  <c r="O7" i="9"/>
  <c r="G7" i="9"/>
  <c r="H7" i="9" s="1"/>
  <c r="O6" i="9"/>
  <c r="G6" i="9"/>
  <c r="H6" i="9" s="1"/>
  <c r="O5" i="9"/>
  <c r="G5" i="9"/>
  <c r="H5" i="9" s="1"/>
  <c r="O4" i="9"/>
  <c r="G4" i="9"/>
  <c r="H4" i="9" s="1"/>
  <c r="O3" i="9"/>
  <c r="G3" i="9"/>
  <c r="H3" i="9" s="1"/>
  <c r="O2" i="9"/>
  <c r="G2" i="9"/>
  <c r="H2" i="9" s="1"/>
  <c r="C28" i="3" s="1"/>
  <c r="P298" i="8"/>
  <c r="O298" i="8"/>
  <c r="F298" i="8"/>
  <c r="D298" i="8"/>
  <c r="P297" i="8"/>
  <c r="O297" i="8"/>
  <c r="F297" i="8"/>
  <c r="D297" i="8"/>
  <c r="P296" i="8"/>
  <c r="O296" i="8"/>
  <c r="F296" i="8"/>
  <c r="D296" i="8"/>
  <c r="P295" i="8"/>
  <c r="O295" i="8"/>
  <c r="F295" i="8"/>
  <c r="D295" i="8"/>
  <c r="P294" i="8"/>
  <c r="O294" i="8"/>
  <c r="F294" i="8"/>
  <c r="D294" i="8"/>
  <c r="P293" i="8"/>
  <c r="O293" i="8"/>
  <c r="F293" i="8"/>
  <c r="D293" i="8"/>
  <c r="P292" i="8"/>
  <c r="O292" i="8"/>
  <c r="F292" i="8"/>
  <c r="D292" i="8"/>
  <c r="P291" i="8"/>
  <c r="O291" i="8"/>
  <c r="F291" i="8"/>
  <c r="D291" i="8"/>
  <c r="P290" i="8"/>
  <c r="O290" i="8"/>
  <c r="F290" i="8"/>
  <c r="D290" i="8"/>
  <c r="P289" i="8"/>
  <c r="O289" i="8"/>
  <c r="F289" i="8"/>
  <c r="D289" i="8"/>
  <c r="P288" i="8"/>
  <c r="O288" i="8"/>
  <c r="F288" i="8"/>
  <c r="D288" i="8"/>
  <c r="P287" i="8"/>
  <c r="O287" i="8"/>
  <c r="F287" i="8"/>
  <c r="D287" i="8"/>
  <c r="P286" i="8"/>
  <c r="O286" i="8"/>
  <c r="F286" i="8"/>
  <c r="D286" i="8"/>
  <c r="P285" i="8"/>
  <c r="O285" i="8"/>
  <c r="F285" i="8"/>
  <c r="D285" i="8"/>
  <c r="P284" i="8"/>
  <c r="O284" i="8"/>
  <c r="F284" i="8"/>
  <c r="D284" i="8"/>
  <c r="P283" i="8"/>
  <c r="O283" i="8"/>
  <c r="F283" i="8"/>
  <c r="D283" i="8"/>
  <c r="P282" i="8"/>
  <c r="O282" i="8"/>
  <c r="F282" i="8"/>
  <c r="D282" i="8"/>
  <c r="P281" i="8"/>
  <c r="O281" i="8"/>
  <c r="F281" i="8"/>
  <c r="D281" i="8"/>
  <c r="P280" i="8"/>
  <c r="O280" i="8"/>
  <c r="F280" i="8"/>
  <c r="D280" i="8"/>
  <c r="P279" i="8"/>
  <c r="O279" i="8"/>
  <c r="F279" i="8"/>
  <c r="D279" i="8"/>
  <c r="P278" i="8"/>
  <c r="O278" i="8"/>
  <c r="F278" i="8"/>
  <c r="D278" i="8"/>
  <c r="P277" i="8"/>
  <c r="O277" i="8"/>
  <c r="F277" i="8"/>
  <c r="D277" i="8"/>
  <c r="P276" i="8"/>
  <c r="O276" i="8"/>
  <c r="F276" i="8"/>
  <c r="D276" i="8"/>
  <c r="P275" i="8"/>
  <c r="O275" i="8"/>
  <c r="F275" i="8"/>
  <c r="D275" i="8"/>
  <c r="P274" i="8"/>
  <c r="O274" i="8"/>
  <c r="F274" i="8"/>
  <c r="D274" i="8"/>
  <c r="P273" i="8"/>
  <c r="O273" i="8"/>
  <c r="F273" i="8"/>
  <c r="D273" i="8"/>
  <c r="P272" i="8"/>
  <c r="O272" i="8"/>
  <c r="F272" i="8"/>
  <c r="D272" i="8"/>
  <c r="P271" i="8"/>
  <c r="O271" i="8"/>
  <c r="F271" i="8"/>
  <c r="D271" i="8"/>
  <c r="P270" i="8"/>
  <c r="O270" i="8"/>
  <c r="F270" i="8"/>
  <c r="D270" i="8"/>
  <c r="P269" i="8"/>
  <c r="O269" i="8"/>
  <c r="F269" i="8"/>
  <c r="D269" i="8"/>
  <c r="P268" i="8"/>
  <c r="O268" i="8"/>
  <c r="F268" i="8"/>
  <c r="D268" i="8"/>
  <c r="P267" i="8"/>
  <c r="O267" i="8"/>
  <c r="F267" i="8"/>
  <c r="D267" i="8"/>
  <c r="P266" i="8"/>
  <c r="O266" i="8"/>
  <c r="F266" i="8"/>
  <c r="D266" i="8"/>
  <c r="P265" i="8"/>
  <c r="O265" i="8"/>
  <c r="F265" i="8"/>
  <c r="D265" i="8"/>
  <c r="P264" i="8"/>
  <c r="O264" i="8"/>
  <c r="F264" i="8"/>
  <c r="D264" i="8"/>
  <c r="P263" i="8"/>
  <c r="O263" i="8"/>
  <c r="F263" i="8"/>
  <c r="D263" i="8"/>
  <c r="P262" i="8"/>
  <c r="O262" i="8"/>
  <c r="F262" i="8"/>
  <c r="D262" i="8"/>
  <c r="P261" i="8"/>
  <c r="O261" i="8"/>
  <c r="F261" i="8"/>
  <c r="D261" i="8"/>
  <c r="P260" i="8"/>
  <c r="O260" i="8"/>
  <c r="F260" i="8"/>
  <c r="D260" i="8"/>
  <c r="P259" i="8"/>
  <c r="O259" i="8"/>
  <c r="F259" i="8"/>
  <c r="D259" i="8"/>
  <c r="P258" i="8"/>
  <c r="O258" i="8"/>
  <c r="F258" i="8"/>
  <c r="D258" i="8"/>
  <c r="P257" i="8"/>
  <c r="O257" i="8"/>
  <c r="F257" i="8"/>
  <c r="D257" i="8"/>
  <c r="P256" i="8"/>
  <c r="O256" i="8"/>
  <c r="F256" i="8"/>
  <c r="D256" i="8"/>
  <c r="P255" i="8"/>
  <c r="O255" i="8"/>
  <c r="F255" i="8"/>
  <c r="D255" i="8"/>
  <c r="P254" i="8"/>
  <c r="O254" i="8"/>
  <c r="F254" i="8"/>
  <c r="D254" i="8"/>
  <c r="P253" i="8"/>
  <c r="O253" i="8"/>
  <c r="F253" i="8"/>
  <c r="D253" i="8"/>
  <c r="P252" i="8"/>
  <c r="O252" i="8"/>
  <c r="F252" i="8"/>
  <c r="D252" i="8"/>
  <c r="P251" i="8"/>
  <c r="O251" i="8"/>
  <c r="F251" i="8"/>
  <c r="D251" i="8"/>
  <c r="P250" i="8"/>
  <c r="O250" i="8"/>
  <c r="F250" i="8"/>
  <c r="D250" i="8"/>
  <c r="P249" i="8"/>
  <c r="O249" i="8"/>
  <c r="F249" i="8"/>
  <c r="D249" i="8"/>
  <c r="P248" i="8"/>
  <c r="O248" i="8"/>
  <c r="F248" i="8"/>
  <c r="D248" i="8"/>
  <c r="P247" i="8"/>
  <c r="O247" i="8"/>
  <c r="F247" i="8"/>
  <c r="D247" i="8"/>
  <c r="P246" i="8"/>
  <c r="O246" i="8"/>
  <c r="F246" i="8"/>
  <c r="D246" i="8"/>
  <c r="P245" i="8"/>
  <c r="O245" i="8"/>
  <c r="F245" i="8"/>
  <c r="D245" i="8"/>
  <c r="P244" i="8"/>
  <c r="O244" i="8"/>
  <c r="F244" i="8"/>
  <c r="D244" i="8"/>
  <c r="P243" i="8"/>
  <c r="O243" i="8"/>
  <c r="F243" i="8"/>
  <c r="D243" i="8"/>
  <c r="P242" i="8"/>
  <c r="O242" i="8"/>
  <c r="F242" i="8"/>
  <c r="D242" i="8"/>
  <c r="P241" i="8"/>
  <c r="O241" i="8"/>
  <c r="F241" i="8"/>
  <c r="D241" i="8"/>
  <c r="P240" i="8"/>
  <c r="O240" i="8"/>
  <c r="F240" i="8"/>
  <c r="D240" i="8"/>
  <c r="P239" i="8"/>
  <c r="O239" i="8"/>
  <c r="F239" i="8"/>
  <c r="D239" i="8"/>
  <c r="P238" i="8"/>
  <c r="O238" i="8"/>
  <c r="F238" i="8"/>
  <c r="D238" i="8"/>
  <c r="P237" i="8"/>
  <c r="O237" i="8"/>
  <c r="F237" i="8"/>
  <c r="D237" i="8"/>
  <c r="P236" i="8"/>
  <c r="O236" i="8"/>
  <c r="F236" i="8"/>
  <c r="D236" i="8"/>
  <c r="P235" i="8"/>
  <c r="O235" i="8"/>
  <c r="F235" i="8"/>
  <c r="D235" i="8"/>
  <c r="P234" i="8"/>
  <c r="O234" i="8"/>
  <c r="F234" i="8"/>
  <c r="D234" i="8"/>
  <c r="P233" i="8"/>
  <c r="O233" i="8"/>
  <c r="F233" i="8"/>
  <c r="D233" i="8"/>
  <c r="P232" i="8"/>
  <c r="O232" i="8"/>
  <c r="F232" i="8"/>
  <c r="D232" i="8"/>
  <c r="P231" i="8"/>
  <c r="O231" i="8"/>
  <c r="F231" i="8"/>
  <c r="D231" i="8"/>
  <c r="P230" i="8"/>
  <c r="O230" i="8"/>
  <c r="F230" i="8"/>
  <c r="D230" i="8"/>
  <c r="P229" i="8"/>
  <c r="O229" i="8"/>
  <c r="F229" i="8"/>
  <c r="D229" i="8"/>
  <c r="P228" i="8"/>
  <c r="O228" i="8"/>
  <c r="F228" i="8"/>
  <c r="D228" i="8"/>
  <c r="P227" i="8"/>
  <c r="O227" i="8"/>
  <c r="F227" i="8"/>
  <c r="D227" i="8"/>
  <c r="P226" i="8"/>
  <c r="O226" i="8"/>
  <c r="F226" i="8"/>
  <c r="D226" i="8"/>
  <c r="P225" i="8"/>
  <c r="O225" i="8"/>
  <c r="F225" i="8"/>
  <c r="D225" i="8"/>
  <c r="P224" i="8"/>
  <c r="O224" i="8"/>
  <c r="F224" i="8"/>
  <c r="D224" i="8"/>
  <c r="P223" i="8"/>
  <c r="O223" i="8"/>
  <c r="F223" i="8"/>
  <c r="D223" i="8"/>
  <c r="P222" i="8"/>
  <c r="O222" i="8"/>
  <c r="F222" i="8"/>
  <c r="D222" i="8"/>
  <c r="P221" i="8"/>
  <c r="O221" i="8"/>
  <c r="F221" i="8"/>
  <c r="D221" i="8"/>
  <c r="P220" i="8"/>
  <c r="O220" i="8"/>
  <c r="F220" i="8"/>
  <c r="D220" i="8"/>
  <c r="P219" i="8"/>
  <c r="O219" i="8"/>
  <c r="F219" i="8"/>
  <c r="D219" i="8"/>
  <c r="P218" i="8"/>
  <c r="O218" i="8"/>
  <c r="F218" i="8"/>
  <c r="D218" i="8"/>
  <c r="P217" i="8"/>
  <c r="O217" i="8"/>
  <c r="F217" i="8"/>
  <c r="D217" i="8"/>
  <c r="P216" i="8"/>
  <c r="O216" i="8"/>
  <c r="F216" i="8"/>
  <c r="D216" i="8"/>
  <c r="P215" i="8"/>
  <c r="O215" i="8"/>
  <c r="F215" i="8"/>
  <c r="D215" i="8"/>
  <c r="P214" i="8"/>
  <c r="O214" i="8"/>
  <c r="F214" i="8"/>
  <c r="D214" i="8"/>
  <c r="P213" i="8"/>
  <c r="O213" i="8"/>
  <c r="F213" i="8"/>
  <c r="D213" i="8"/>
  <c r="P212" i="8"/>
  <c r="O212" i="8"/>
  <c r="F212" i="8"/>
  <c r="D212" i="8"/>
  <c r="P211" i="8"/>
  <c r="O211" i="8"/>
  <c r="F211" i="8"/>
  <c r="D211" i="8"/>
  <c r="P210" i="8"/>
  <c r="O210" i="8"/>
  <c r="F210" i="8"/>
  <c r="D210" i="8"/>
  <c r="P209" i="8"/>
  <c r="O209" i="8"/>
  <c r="F209" i="8"/>
  <c r="D209" i="8"/>
  <c r="P208" i="8"/>
  <c r="O208" i="8"/>
  <c r="F208" i="8"/>
  <c r="D208" i="8"/>
  <c r="P207" i="8"/>
  <c r="O207" i="8"/>
  <c r="F207" i="8"/>
  <c r="D207" i="8"/>
  <c r="P206" i="8"/>
  <c r="O206" i="8"/>
  <c r="F206" i="8"/>
  <c r="D206" i="8"/>
  <c r="P205" i="8"/>
  <c r="O205" i="8"/>
  <c r="F205" i="8"/>
  <c r="D205" i="8"/>
  <c r="P204" i="8"/>
  <c r="O204" i="8"/>
  <c r="F204" i="8"/>
  <c r="D204" i="8"/>
  <c r="P203" i="8"/>
  <c r="O203" i="8"/>
  <c r="F203" i="8"/>
  <c r="D203" i="8"/>
  <c r="P202" i="8"/>
  <c r="O202" i="8"/>
  <c r="F202" i="8"/>
  <c r="D202" i="8"/>
  <c r="P201" i="8"/>
  <c r="O201" i="8"/>
  <c r="F201" i="8"/>
  <c r="D201" i="8"/>
  <c r="P200" i="8"/>
  <c r="O200" i="8"/>
  <c r="F200" i="8"/>
  <c r="D200" i="8"/>
  <c r="P199" i="8"/>
  <c r="O199" i="8"/>
  <c r="F199" i="8"/>
  <c r="D199" i="8"/>
  <c r="P198" i="8"/>
  <c r="O198" i="8"/>
  <c r="F198" i="8"/>
  <c r="D198" i="8"/>
  <c r="P197" i="8"/>
  <c r="O197" i="8"/>
  <c r="F197" i="8"/>
  <c r="D197" i="8"/>
  <c r="P196" i="8"/>
  <c r="O196" i="8"/>
  <c r="F196" i="8"/>
  <c r="D196" i="8"/>
  <c r="P195" i="8"/>
  <c r="O195" i="8"/>
  <c r="F195" i="8"/>
  <c r="D195" i="8"/>
  <c r="P194" i="8"/>
  <c r="O194" i="8"/>
  <c r="F194" i="8"/>
  <c r="D194" i="8"/>
  <c r="P193" i="8"/>
  <c r="O193" i="8"/>
  <c r="F193" i="8"/>
  <c r="D193" i="8"/>
  <c r="P192" i="8"/>
  <c r="O192" i="8"/>
  <c r="F192" i="8"/>
  <c r="D192" i="8"/>
  <c r="P191" i="8"/>
  <c r="O191" i="8"/>
  <c r="F191" i="8"/>
  <c r="D191" i="8"/>
  <c r="P190" i="8"/>
  <c r="O190" i="8"/>
  <c r="F190" i="8"/>
  <c r="D190" i="8"/>
  <c r="P189" i="8"/>
  <c r="O189" i="8"/>
  <c r="F189" i="8"/>
  <c r="D189" i="8"/>
  <c r="P188" i="8"/>
  <c r="O188" i="8"/>
  <c r="F188" i="8"/>
  <c r="D188" i="8"/>
  <c r="P187" i="8"/>
  <c r="O187" i="8"/>
  <c r="F187" i="8"/>
  <c r="D187" i="8"/>
  <c r="P186" i="8"/>
  <c r="O186" i="8"/>
  <c r="F186" i="8"/>
  <c r="D186" i="8"/>
  <c r="P185" i="8"/>
  <c r="O185" i="8"/>
  <c r="F185" i="8"/>
  <c r="D185" i="8"/>
  <c r="P184" i="8"/>
  <c r="O184" i="8"/>
  <c r="F184" i="8"/>
  <c r="D184" i="8"/>
  <c r="P183" i="8"/>
  <c r="O183" i="8"/>
  <c r="F183" i="8"/>
  <c r="D183" i="8"/>
  <c r="P182" i="8"/>
  <c r="O182" i="8"/>
  <c r="F182" i="8"/>
  <c r="D182" i="8"/>
  <c r="P181" i="8"/>
  <c r="O181" i="8"/>
  <c r="F181" i="8"/>
  <c r="D181" i="8"/>
  <c r="P180" i="8"/>
  <c r="O180" i="8"/>
  <c r="F180" i="8"/>
  <c r="D180" i="8"/>
  <c r="P179" i="8"/>
  <c r="O179" i="8"/>
  <c r="F179" i="8"/>
  <c r="D179" i="8"/>
  <c r="P178" i="8"/>
  <c r="O178" i="8"/>
  <c r="F178" i="8"/>
  <c r="D178" i="8"/>
  <c r="P177" i="8"/>
  <c r="O177" i="8"/>
  <c r="F177" i="8"/>
  <c r="D177" i="8"/>
  <c r="P176" i="8"/>
  <c r="O176" i="8"/>
  <c r="F176" i="8"/>
  <c r="D176" i="8"/>
  <c r="P175" i="8"/>
  <c r="O175" i="8"/>
  <c r="F175" i="8"/>
  <c r="D175" i="8"/>
  <c r="P174" i="8"/>
  <c r="O174" i="8"/>
  <c r="F174" i="8"/>
  <c r="D174" i="8"/>
  <c r="P173" i="8"/>
  <c r="O173" i="8"/>
  <c r="F173" i="8"/>
  <c r="D173" i="8"/>
  <c r="P172" i="8"/>
  <c r="O172" i="8"/>
  <c r="F172" i="8"/>
  <c r="D172" i="8"/>
  <c r="P171" i="8"/>
  <c r="O171" i="8"/>
  <c r="F171" i="8"/>
  <c r="D171" i="8"/>
  <c r="P170" i="8"/>
  <c r="O170" i="8"/>
  <c r="F170" i="8"/>
  <c r="D170" i="8"/>
  <c r="P169" i="8"/>
  <c r="O169" i="8"/>
  <c r="F169" i="8"/>
  <c r="D169" i="8"/>
  <c r="P168" i="8"/>
  <c r="O168" i="8"/>
  <c r="F168" i="8"/>
  <c r="D168" i="8"/>
  <c r="P167" i="8"/>
  <c r="O167" i="8"/>
  <c r="F167" i="8"/>
  <c r="D167" i="8"/>
  <c r="P166" i="8"/>
  <c r="O166" i="8"/>
  <c r="F166" i="8"/>
  <c r="D166" i="8"/>
  <c r="P165" i="8"/>
  <c r="O165" i="8"/>
  <c r="F165" i="8"/>
  <c r="D165" i="8"/>
  <c r="P164" i="8"/>
  <c r="O164" i="8"/>
  <c r="F164" i="8"/>
  <c r="D164" i="8"/>
  <c r="P163" i="8"/>
  <c r="O163" i="8"/>
  <c r="F163" i="8"/>
  <c r="D163" i="8"/>
  <c r="P162" i="8"/>
  <c r="O162" i="8"/>
  <c r="F162" i="8"/>
  <c r="D162" i="8"/>
  <c r="P161" i="8"/>
  <c r="O161" i="8"/>
  <c r="F161" i="8"/>
  <c r="D161" i="8"/>
  <c r="P160" i="8"/>
  <c r="O160" i="8"/>
  <c r="F160" i="8"/>
  <c r="D160" i="8"/>
  <c r="P159" i="8"/>
  <c r="O159" i="8"/>
  <c r="F159" i="8"/>
  <c r="D159" i="8"/>
  <c r="P158" i="8"/>
  <c r="O158" i="8"/>
  <c r="F158" i="8"/>
  <c r="D158" i="8"/>
  <c r="P157" i="8"/>
  <c r="O157" i="8"/>
  <c r="F157" i="8"/>
  <c r="D157" i="8"/>
  <c r="P156" i="8"/>
  <c r="O156" i="8"/>
  <c r="F156" i="8"/>
  <c r="D156" i="8"/>
  <c r="P155" i="8"/>
  <c r="O155" i="8"/>
  <c r="F155" i="8"/>
  <c r="D155" i="8"/>
  <c r="P154" i="8"/>
  <c r="O154" i="8"/>
  <c r="F154" i="8"/>
  <c r="D154" i="8"/>
  <c r="P153" i="8"/>
  <c r="O153" i="8"/>
  <c r="F153" i="8"/>
  <c r="D153" i="8"/>
  <c r="P152" i="8"/>
  <c r="O152" i="8"/>
  <c r="F152" i="8"/>
  <c r="D152" i="8"/>
  <c r="P151" i="8"/>
  <c r="O151" i="8"/>
  <c r="F151" i="8"/>
  <c r="D151" i="8"/>
  <c r="P150" i="8"/>
  <c r="O150" i="8"/>
  <c r="F150" i="8"/>
  <c r="D150" i="8"/>
  <c r="P149" i="8"/>
  <c r="O149" i="8"/>
  <c r="F149" i="8"/>
  <c r="D149" i="8"/>
  <c r="P148" i="8"/>
  <c r="O148" i="8"/>
  <c r="F148" i="8"/>
  <c r="D148" i="8"/>
  <c r="P147" i="8"/>
  <c r="O147" i="8"/>
  <c r="F147" i="8"/>
  <c r="D147" i="8"/>
  <c r="P146" i="8"/>
  <c r="O146" i="8"/>
  <c r="F146" i="8"/>
  <c r="D146" i="8"/>
  <c r="P145" i="8"/>
  <c r="O145" i="8"/>
  <c r="F145" i="8"/>
  <c r="D145" i="8"/>
  <c r="P144" i="8"/>
  <c r="O144" i="8"/>
  <c r="F144" i="8"/>
  <c r="D144" i="8"/>
  <c r="P143" i="8"/>
  <c r="O143" i="8"/>
  <c r="F143" i="8"/>
  <c r="D143" i="8"/>
  <c r="P142" i="8"/>
  <c r="O142" i="8"/>
  <c r="F142" i="8"/>
  <c r="D142" i="8"/>
  <c r="P141" i="8"/>
  <c r="O141" i="8"/>
  <c r="F141" i="8"/>
  <c r="D141" i="8"/>
  <c r="P140" i="8"/>
  <c r="O140" i="8"/>
  <c r="F140" i="8"/>
  <c r="D140" i="8"/>
  <c r="P139" i="8"/>
  <c r="O139" i="8"/>
  <c r="F139" i="8"/>
  <c r="D139" i="8"/>
  <c r="P138" i="8"/>
  <c r="O138" i="8"/>
  <c r="F138" i="8"/>
  <c r="D138" i="8"/>
  <c r="P137" i="8"/>
  <c r="O137" i="8"/>
  <c r="F137" i="8"/>
  <c r="D137" i="8"/>
  <c r="P136" i="8"/>
  <c r="O136" i="8"/>
  <c r="F136" i="8"/>
  <c r="D136" i="8"/>
  <c r="P135" i="8"/>
  <c r="O135" i="8"/>
  <c r="F135" i="8"/>
  <c r="D135" i="8"/>
  <c r="P134" i="8"/>
  <c r="O134" i="8"/>
  <c r="F134" i="8"/>
  <c r="D134" i="8"/>
  <c r="P133" i="8"/>
  <c r="O133" i="8"/>
  <c r="F133" i="8"/>
  <c r="D133" i="8"/>
  <c r="P132" i="8"/>
  <c r="O132" i="8"/>
  <c r="F132" i="8"/>
  <c r="D132" i="8"/>
  <c r="P131" i="8"/>
  <c r="O131" i="8"/>
  <c r="F131" i="8"/>
  <c r="D131" i="8"/>
  <c r="P130" i="8"/>
  <c r="O130" i="8"/>
  <c r="F130" i="8"/>
  <c r="D130" i="8"/>
  <c r="P129" i="8"/>
  <c r="O129" i="8"/>
  <c r="F129" i="8"/>
  <c r="D129" i="8"/>
  <c r="P128" i="8"/>
  <c r="O128" i="8"/>
  <c r="F128" i="8"/>
  <c r="D128" i="8"/>
  <c r="P127" i="8"/>
  <c r="O127" i="8"/>
  <c r="F127" i="8"/>
  <c r="D127" i="8"/>
  <c r="P126" i="8"/>
  <c r="O126" i="8"/>
  <c r="F126" i="8"/>
  <c r="D126" i="8"/>
  <c r="P125" i="8"/>
  <c r="O125" i="8"/>
  <c r="F125" i="8"/>
  <c r="D125" i="8"/>
  <c r="P124" i="8"/>
  <c r="O124" i="8"/>
  <c r="F124" i="8"/>
  <c r="D124" i="8"/>
  <c r="P123" i="8"/>
  <c r="O123" i="8"/>
  <c r="F123" i="8"/>
  <c r="D123" i="8"/>
  <c r="P122" i="8"/>
  <c r="O122" i="8"/>
  <c r="F122" i="8"/>
  <c r="D122" i="8"/>
  <c r="P121" i="8"/>
  <c r="O121" i="8"/>
  <c r="F121" i="8"/>
  <c r="D121" i="8"/>
  <c r="P120" i="8"/>
  <c r="O120" i="8"/>
  <c r="F120" i="8"/>
  <c r="D120" i="8"/>
  <c r="P119" i="8"/>
  <c r="O119" i="8"/>
  <c r="F119" i="8"/>
  <c r="D119" i="8"/>
  <c r="P118" i="8"/>
  <c r="O118" i="8"/>
  <c r="F118" i="8"/>
  <c r="D118" i="8"/>
  <c r="P117" i="8"/>
  <c r="O117" i="8"/>
  <c r="F117" i="8"/>
  <c r="D117" i="8"/>
  <c r="P116" i="8"/>
  <c r="O116" i="8"/>
  <c r="F116" i="8"/>
  <c r="D116" i="8"/>
  <c r="P115" i="8"/>
  <c r="O115" i="8"/>
  <c r="F115" i="8"/>
  <c r="D115" i="8"/>
  <c r="P114" i="8"/>
  <c r="O114" i="8"/>
  <c r="F114" i="8"/>
  <c r="D114" i="8"/>
  <c r="P113" i="8"/>
  <c r="O113" i="8"/>
  <c r="F113" i="8"/>
  <c r="D113" i="8"/>
  <c r="P112" i="8"/>
  <c r="O112" i="8"/>
  <c r="F112" i="8"/>
  <c r="D112" i="8"/>
  <c r="P111" i="8"/>
  <c r="O111" i="8"/>
  <c r="F111" i="8"/>
  <c r="D111" i="8"/>
  <c r="P110" i="8"/>
  <c r="O110" i="8"/>
  <c r="F110" i="8"/>
  <c r="D110" i="8"/>
  <c r="P109" i="8"/>
  <c r="O109" i="8"/>
  <c r="F109" i="8"/>
  <c r="D109" i="8"/>
  <c r="P108" i="8"/>
  <c r="O108" i="8"/>
  <c r="F108" i="8"/>
  <c r="D108" i="8"/>
  <c r="P107" i="8"/>
  <c r="O107" i="8"/>
  <c r="F107" i="8"/>
  <c r="D107" i="8"/>
  <c r="P106" i="8"/>
  <c r="O106" i="8"/>
  <c r="F106" i="8"/>
  <c r="D106" i="8"/>
  <c r="P105" i="8"/>
  <c r="O105" i="8"/>
  <c r="F105" i="8"/>
  <c r="D105" i="8"/>
  <c r="P104" i="8"/>
  <c r="O104" i="8"/>
  <c r="F104" i="8"/>
  <c r="D104" i="8"/>
  <c r="P103" i="8"/>
  <c r="O103" i="8"/>
  <c r="F103" i="8"/>
  <c r="D103" i="8"/>
  <c r="P102" i="8"/>
  <c r="O102" i="8"/>
  <c r="F102" i="8"/>
  <c r="D102" i="8"/>
  <c r="P101" i="8"/>
  <c r="O101" i="8"/>
  <c r="F101" i="8"/>
  <c r="D101" i="8"/>
  <c r="P100" i="8"/>
  <c r="O100" i="8"/>
  <c r="F100" i="8"/>
  <c r="D100" i="8"/>
  <c r="P99" i="8"/>
  <c r="O99" i="8"/>
  <c r="F99" i="8"/>
  <c r="D99" i="8"/>
  <c r="P98" i="8"/>
  <c r="O98" i="8"/>
  <c r="F98" i="8"/>
  <c r="D98" i="8"/>
  <c r="P97" i="8"/>
  <c r="O97" i="8"/>
  <c r="F97" i="8"/>
  <c r="D97" i="8"/>
  <c r="P96" i="8"/>
  <c r="O96" i="8"/>
  <c r="F96" i="8"/>
  <c r="D96" i="8"/>
  <c r="P95" i="8"/>
  <c r="O95" i="8"/>
  <c r="F95" i="8"/>
  <c r="D95" i="8"/>
  <c r="P94" i="8"/>
  <c r="O94" i="8"/>
  <c r="F94" i="8"/>
  <c r="D94" i="8"/>
  <c r="P93" i="8"/>
  <c r="O93" i="8"/>
  <c r="F93" i="8"/>
  <c r="D93" i="8"/>
  <c r="P92" i="8"/>
  <c r="O92" i="8"/>
  <c r="F92" i="8"/>
  <c r="D92" i="8"/>
  <c r="P91" i="8"/>
  <c r="O91" i="8"/>
  <c r="F91" i="8"/>
  <c r="D91" i="8"/>
  <c r="P90" i="8"/>
  <c r="O90" i="8"/>
  <c r="F90" i="8"/>
  <c r="D90" i="8"/>
  <c r="P89" i="8"/>
  <c r="O89" i="8"/>
  <c r="F89" i="8"/>
  <c r="D89" i="8"/>
  <c r="P88" i="8"/>
  <c r="O88" i="8"/>
  <c r="F88" i="8"/>
  <c r="D88" i="8"/>
  <c r="P87" i="8"/>
  <c r="O87" i="8"/>
  <c r="F87" i="8"/>
  <c r="D87" i="8"/>
  <c r="P86" i="8"/>
  <c r="O86" i="8"/>
  <c r="F86" i="8"/>
  <c r="D86" i="8"/>
  <c r="P85" i="8"/>
  <c r="O85" i="8"/>
  <c r="F85" i="8"/>
  <c r="D85" i="8"/>
  <c r="P84" i="8"/>
  <c r="O84" i="8"/>
  <c r="F84" i="8"/>
  <c r="D84" i="8"/>
  <c r="P83" i="8"/>
  <c r="O83" i="8"/>
  <c r="F83" i="8"/>
  <c r="D83" i="8"/>
  <c r="P82" i="8"/>
  <c r="O82" i="8"/>
  <c r="F82" i="8"/>
  <c r="D82" i="8"/>
  <c r="P81" i="8"/>
  <c r="O81" i="8"/>
  <c r="F81" i="8"/>
  <c r="D81" i="8"/>
  <c r="P80" i="8"/>
  <c r="O80" i="8"/>
  <c r="F80" i="8"/>
  <c r="D80" i="8"/>
  <c r="P79" i="8"/>
  <c r="O79" i="8"/>
  <c r="F79" i="8"/>
  <c r="D79" i="8"/>
  <c r="P78" i="8"/>
  <c r="O78" i="8"/>
  <c r="F78" i="8"/>
  <c r="D78" i="8"/>
  <c r="P77" i="8"/>
  <c r="O77" i="8"/>
  <c r="F77" i="8"/>
  <c r="D77" i="8"/>
  <c r="P76" i="8"/>
  <c r="O76" i="8"/>
  <c r="F76" i="8"/>
  <c r="D76" i="8"/>
  <c r="P75" i="8"/>
  <c r="O75" i="8"/>
  <c r="F75" i="8"/>
  <c r="D75" i="8"/>
  <c r="P74" i="8"/>
  <c r="O74" i="8"/>
  <c r="F74" i="8"/>
  <c r="D74" i="8"/>
  <c r="P73" i="8"/>
  <c r="O73" i="8"/>
  <c r="F73" i="8"/>
  <c r="D73" i="8"/>
  <c r="P72" i="8"/>
  <c r="O72" i="8"/>
  <c r="F72" i="8"/>
  <c r="D72" i="8"/>
  <c r="P71" i="8"/>
  <c r="O71" i="8"/>
  <c r="F71" i="8"/>
  <c r="D71" i="8"/>
  <c r="P70" i="8"/>
  <c r="O70" i="8"/>
  <c r="F70" i="8"/>
  <c r="D70" i="8"/>
  <c r="P69" i="8"/>
  <c r="O69" i="8"/>
  <c r="F69" i="8"/>
  <c r="D69" i="8"/>
  <c r="P68" i="8"/>
  <c r="O68" i="8"/>
  <c r="F68" i="8"/>
  <c r="D68" i="8"/>
  <c r="P67" i="8"/>
  <c r="O67" i="8"/>
  <c r="F67" i="8"/>
  <c r="D67" i="8"/>
  <c r="P66" i="8"/>
  <c r="O66" i="8"/>
  <c r="F66" i="8"/>
  <c r="D66" i="8"/>
  <c r="P65" i="8"/>
  <c r="O65" i="8"/>
  <c r="F65" i="8"/>
  <c r="D65" i="8"/>
  <c r="P64" i="8"/>
  <c r="O64" i="8"/>
  <c r="F64" i="8"/>
  <c r="D64" i="8"/>
  <c r="P63" i="8"/>
  <c r="O63" i="8"/>
  <c r="F63" i="8"/>
  <c r="D63" i="8"/>
  <c r="P62" i="8"/>
  <c r="O62" i="8"/>
  <c r="F62" i="8"/>
  <c r="D62" i="8"/>
  <c r="P61" i="8"/>
  <c r="O61" i="8"/>
  <c r="F61" i="8"/>
  <c r="D61" i="8"/>
  <c r="P60" i="8"/>
  <c r="O60" i="8"/>
  <c r="F60" i="8"/>
  <c r="D60" i="8"/>
  <c r="P59" i="8"/>
  <c r="O59" i="8"/>
  <c r="F59" i="8"/>
  <c r="D59" i="8"/>
  <c r="P58" i="8"/>
  <c r="O58" i="8"/>
  <c r="F58" i="8"/>
  <c r="D58" i="8"/>
  <c r="P57" i="8"/>
  <c r="O57" i="8"/>
  <c r="F57" i="8"/>
  <c r="D57" i="8"/>
  <c r="P56" i="8"/>
  <c r="O56" i="8"/>
  <c r="F56" i="8"/>
  <c r="D56" i="8"/>
  <c r="P55" i="8"/>
  <c r="O55" i="8"/>
  <c r="F55" i="8"/>
  <c r="D55" i="8"/>
  <c r="P54" i="8"/>
  <c r="O54" i="8"/>
  <c r="F54" i="8"/>
  <c r="D54" i="8"/>
  <c r="P53" i="8"/>
  <c r="O53" i="8"/>
  <c r="F53" i="8"/>
  <c r="D53" i="8"/>
  <c r="P52" i="8"/>
  <c r="O52" i="8"/>
  <c r="F52" i="8"/>
  <c r="D52" i="8"/>
  <c r="P51" i="8"/>
  <c r="O51" i="8"/>
  <c r="F51" i="8"/>
  <c r="D51" i="8"/>
  <c r="P50" i="8"/>
  <c r="O50" i="8"/>
  <c r="F50" i="8"/>
  <c r="D50" i="8"/>
  <c r="P49" i="8"/>
  <c r="O49" i="8"/>
  <c r="F49" i="8"/>
  <c r="D49" i="8"/>
  <c r="P48" i="8"/>
  <c r="O48" i="8"/>
  <c r="F48" i="8"/>
  <c r="D48" i="8"/>
  <c r="P47" i="8"/>
  <c r="O47" i="8"/>
  <c r="F47" i="8"/>
  <c r="D47" i="8"/>
  <c r="P46" i="8"/>
  <c r="O46" i="8"/>
  <c r="F46" i="8"/>
  <c r="D46" i="8"/>
  <c r="P45" i="8"/>
  <c r="O45" i="8"/>
  <c r="F45" i="8"/>
  <c r="D45" i="8"/>
  <c r="P44" i="8"/>
  <c r="O44" i="8"/>
  <c r="F44" i="8"/>
  <c r="D44" i="8"/>
  <c r="P43" i="8"/>
  <c r="O43" i="8"/>
  <c r="F43" i="8"/>
  <c r="D43" i="8"/>
  <c r="P42" i="8"/>
  <c r="O42" i="8"/>
  <c r="F42" i="8"/>
  <c r="D42" i="8"/>
  <c r="P41" i="8"/>
  <c r="O41" i="8"/>
  <c r="F41" i="8"/>
  <c r="D41" i="8"/>
  <c r="P40" i="8"/>
  <c r="O40" i="8"/>
  <c r="F40" i="8"/>
  <c r="D40" i="8"/>
  <c r="P39" i="8"/>
  <c r="O39" i="8"/>
  <c r="F39" i="8"/>
  <c r="D39" i="8"/>
  <c r="P38" i="8"/>
  <c r="O38" i="8"/>
  <c r="F38" i="8"/>
  <c r="D38" i="8"/>
  <c r="P37" i="8"/>
  <c r="O37" i="8"/>
  <c r="F37" i="8"/>
  <c r="D37" i="8"/>
  <c r="P36" i="8"/>
  <c r="O36" i="8"/>
  <c r="F36" i="8"/>
  <c r="D36" i="8"/>
  <c r="P35" i="8"/>
  <c r="O35" i="8"/>
  <c r="F35" i="8"/>
  <c r="D35" i="8"/>
  <c r="P34" i="8"/>
  <c r="O34" i="8"/>
  <c r="F34" i="8"/>
  <c r="D34" i="8"/>
  <c r="P33" i="8"/>
  <c r="O33" i="8"/>
  <c r="F33" i="8"/>
  <c r="D33" i="8"/>
  <c r="P32" i="8"/>
  <c r="O32" i="8"/>
  <c r="F32" i="8"/>
  <c r="D32" i="8"/>
  <c r="P31" i="8"/>
  <c r="O31" i="8"/>
  <c r="F31" i="8"/>
  <c r="D31" i="8"/>
  <c r="P30" i="8"/>
  <c r="O30" i="8"/>
  <c r="F30" i="8"/>
  <c r="D30" i="8"/>
  <c r="P29" i="8"/>
  <c r="O29" i="8"/>
  <c r="F29" i="8"/>
  <c r="D29" i="8"/>
  <c r="P28" i="8"/>
  <c r="O28" i="8"/>
  <c r="F28" i="8"/>
  <c r="D28" i="8"/>
  <c r="P27" i="8"/>
  <c r="O27" i="8"/>
  <c r="F27" i="8"/>
  <c r="D27" i="8"/>
  <c r="P26" i="8"/>
  <c r="O26" i="8"/>
  <c r="F26" i="8"/>
  <c r="D26" i="8"/>
  <c r="P25" i="8"/>
  <c r="O25" i="8"/>
  <c r="F25" i="8"/>
  <c r="D25" i="8"/>
  <c r="P24" i="8"/>
  <c r="O24" i="8"/>
  <c r="F24" i="8"/>
  <c r="D24" i="8"/>
  <c r="P23" i="8"/>
  <c r="O23" i="8"/>
  <c r="F23" i="8"/>
  <c r="D23" i="8"/>
  <c r="P22" i="8"/>
  <c r="O22" i="8"/>
  <c r="F22" i="8"/>
  <c r="D22" i="8"/>
  <c r="P21" i="8"/>
  <c r="O21" i="8"/>
  <c r="F21" i="8"/>
  <c r="D21" i="8"/>
  <c r="P20" i="8"/>
  <c r="O20" i="8"/>
  <c r="F20" i="8"/>
  <c r="D20" i="8"/>
  <c r="P19" i="8"/>
  <c r="O19" i="8"/>
  <c r="F19" i="8"/>
  <c r="D19" i="8"/>
  <c r="P18" i="8"/>
  <c r="O18" i="8"/>
  <c r="F18" i="8"/>
  <c r="D18" i="8"/>
  <c r="P17" i="8"/>
  <c r="O17" i="8"/>
  <c r="F17" i="8"/>
  <c r="D17" i="8"/>
  <c r="P16" i="8"/>
  <c r="O16" i="8"/>
  <c r="F16" i="8"/>
  <c r="D16" i="8"/>
  <c r="P15" i="8"/>
  <c r="O15" i="8"/>
  <c r="F15" i="8"/>
  <c r="D15" i="8"/>
  <c r="P14" i="8"/>
  <c r="O14" i="8"/>
  <c r="F14" i="8"/>
  <c r="D14" i="8"/>
  <c r="P13" i="8"/>
  <c r="O13" i="8"/>
  <c r="F13" i="8"/>
  <c r="D13" i="8"/>
  <c r="P12" i="8"/>
  <c r="O12" i="8"/>
  <c r="F12" i="8"/>
  <c r="D12" i="8"/>
  <c r="P11" i="8"/>
  <c r="O11" i="8"/>
  <c r="F11" i="8"/>
  <c r="D11" i="8"/>
  <c r="P10" i="8"/>
  <c r="O10" i="8"/>
  <c r="F10" i="8"/>
  <c r="D10" i="8"/>
  <c r="P9" i="8"/>
  <c r="O9" i="8"/>
  <c r="F9" i="8"/>
  <c r="D9" i="8"/>
  <c r="P8" i="8"/>
  <c r="O8" i="8"/>
  <c r="F8" i="8"/>
  <c r="D8" i="8"/>
  <c r="P7" i="8"/>
  <c r="O7" i="8"/>
  <c r="F7" i="8"/>
  <c r="D7" i="8"/>
  <c r="P6" i="8"/>
  <c r="O6" i="8"/>
  <c r="F6" i="8"/>
  <c r="D6" i="8"/>
  <c r="P5" i="8"/>
  <c r="O5" i="8"/>
  <c r="F5" i="8"/>
  <c r="D5" i="8"/>
  <c r="P4" i="8"/>
  <c r="O4" i="8"/>
  <c r="F4" i="8"/>
  <c r="D4" i="8"/>
  <c r="P3" i="8"/>
  <c r="O3" i="8"/>
  <c r="F3" i="8"/>
  <c r="D3" i="8"/>
  <c r="P2" i="8"/>
  <c r="O2" i="8"/>
  <c r="F2" i="8"/>
  <c r="D2" i="8"/>
  <c r="S298" i="7"/>
  <c r="R298" i="7"/>
  <c r="O298" i="7"/>
  <c r="S297" i="7"/>
  <c r="R297" i="7"/>
  <c r="O297" i="7"/>
  <c r="S296" i="7"/>
  <c r="R296" i="7"/>
  <c r="O296" i="7"/>
  <c r="S295" i="7"/>
  <c r="R295" i="7"/>
  <c r="O295" i="7"/>
  <c r="S294" i="7"/>
  <c r="R294" i="7"/>
  <c r="O294" i="7"/>
  <c r="S293" i="7"/>
  <c r="R293" i="7"/>
  <c r="O293" i="7"/>
  <c r="S292" i="7"/>
  <c r="R292" i="7"/>
  <c r="O292" i="7"/>
  <c r="S291" i="7"/>
  <c r="R291" i="7"/>
  <c r="O291" i="7"/>
  <c r="S290" i="7"/>
  <c r="R290" i="7"/>
  <c r="O290" i="7"/>
  <c r="S289" i="7"/>
  <c r="R289" i="7"/>
  <c r="O289" i="7"/>
  <c r="S288" i="7"/>
  <c r="R288" i="7"/>
  <c r="O288" i="7"/>
  <c r="S287" i="7"/>
  <c r="R287" i="7"/>
  <c r="O287" i="7"/>
  <c r="S286" i="7"/>
  <c r="R286" i="7"/>
  <c r="O286" i="7"/>
  <c r="S285" i="7"/>
  <c r="R285" i="7"/>
  <c r="O285" i="7"/>
  <c r="S284" i="7"/>
  <c r="R284" i="7"/>
  <c r="O284" i="7"/>
  <c r="S283" i="7"/>
  <c r="R283" i="7"/>
  <c r="O283" i="7"/>
  <c r="S282" i="7"/>
  <c r="R282" i="7"/>
  <c r="O282" i="7"/>
  <c r="S281" i="7"/>
  <c r="R281" i="7"/>
  <c r="O281" i="7"/>
  <c r="S280" i="7"/>
  <c r="R280" i="7"/>
  <c r="O280" i="7"/>
  <c r="S279" i="7"/>
  <c r="R279" i="7"/>
  <c r="O279" i="7"/>
  <c r="S278" i="7"/>
  <c r="R278" i="7"/>
  <c r="O278" i="7"/>
  <c r="S277" i="7"/>
  <c r="R277" i="7"/>
  <c r="O277" i="7"/>
  <c r="S276" i="7"/>
  <c r="R276" i="7"/>
  <c r="O276" i="7"/>
  <c r="S275" i="7"/>
  <c r="R275" i="7"/>
  <c r="O275" i="7"/>
  <c r="S274" i="7"/>
  <c r="R274" i="7"/>
  <c r="O274" i="7"/>
  <c r="S273" i="7"/>
  <c r="R273" i="7"/>
  <c r="O273" i="7"/>
  <c r="S272" i="7"/>
  <c r="R272" i="7"/>
  <c r="O272" i="7"/>
  <c r="S271" i="7"/>
  <c r="R271" i="7"/>
  <c r="O271" i="7"/>
  <c r="S270" i="7"/>
  <c r="R270" i="7"/>
  <c r="O270" i="7"/>
  <c r="S269" i="7"/>
  <c r="R269" i="7"/>
  <c r="O269" i="7"/>
  <c r="S268" i="7"/>
  <c r="R268" i="7"/>
  <c r="O268" i="7"/>
  <c r="S267" i="7"/>
  <c r="R267" i="7"/>
  <c r="O267" i="7"/>
  <c r="S266" i="7"/>
  <c r="R266" i="7"/>
  <c r="O266" i="7"/>
  <c r="S265" i="7"/>
  <c r="R265" i="7"/>
  <c r="O265" i="7"/>
  <c r="S264" i="7"/>
  <c r="R264" i="7"/>
  <c r="O264" i="7"/>
  <c r="S263" i="7"/>
  <c r="R263" i="7"/>
  <c r="O263" i="7"/>
  <c r="S262" i="7"/>
  <c r="R262" i="7"/>
  <c r="O262" i="7"/>
  <c r="S261" i="7"/>
  <c r="R261" i="7"/>
  <c r="O261" i="7"/>
  <c r="S260" i="7"/>
  <c r="R260" i="7"/>
  <c r="O260" i="7"/>
  <c r="S259" i="7"/>
  <c r="R259" i="7"/>
  <c r="O259" i="7"/>
  <c r="S258" i="7"/>
  <c r="R258" i="7"/>
  <c r="O258" i="7"/>
  <c r="S257" i="7"/>
  <c r="R257" i="7"/>
  <c r="O257" i="7"/>
  <c r="S256" i="7"/>
  <c r="R256" i="7"/>
  <c r="O256" i="7"/>
  <c r="S255" i="7"/>
  <c r="R255" i="7"/>
  <c r="O255" i="7"/>
  <c r="S254" i="7"/>
  <c r="R254" i="7"/>
  <c r="O254" i="7"/>
  <c r="S253" i="7"/>
  <c r="R253" i="7"/>
  <c r="O253" i="7"/>
  <c r="S252" i="7"/>
  <c r="R252" i="7"/>
  <c r="O252" i="7"/>
  <c r="S251" i="7"/>
  <c r="R251" i="7"/>
  <c r="O251" i="7"/>
  <c r="S250" i="7"/>
  <c r="R250" i="7"/>
  <c r="O250" i="7"/>
  <c r="S249" i="7"/>
  <c r="R249" i="7"/>
  <c r="O249" i="7"/>
  <c r="S248" i="7"/>
  <c r="R248" i="7"/>
  <c r="O248" i="7"/>
  <c r="S247" i="7"/>
  <c r="R247" i="7"/>
  <c r="O247" i="7"/>
  <c r="S246" i="7"/>
  <c r="R246" i="7"/>
  <c r="O246" i="7"/>
  <c r="S245" i="7"/>
  <c r="R245" i="7"/>
  <c r="O245" i="7"/>
  <c r="S244" i="7"/>
  <c r="R244" i="7"/>
  <c r="O244" i="7"/>
  <c r="S243" i="7"/>
  <c r="R243" i="7"/>
  <c r="O243" i="7"/>
  <c r="S242" i="7"/>
  <c r="R242" i="7"/>
  <c r="O242" i="7"/>
  <c r="S241" i="7"/>
  <c r="R241" i="7"/>
  <c r="O241" i="7"/>
  <c r="S240" i="7"/>
  <c r="R240" i="7"/>
  <c r="O240" i="7"/>
  <c r="S239" i="7"/>
  <c r="R239" i="7"/>
  <c r="O239" i="7"/>
  <c r="S238" i="7"/>
  <c r="R238" i="7"/>
  <c r="O238" i="7"/>
  <c r="S237" i="7"/>
  <c r="R237" i="7"/>
  <c r="O237" i="7"/>
  <c r="S236" i="7"/>
  <c r="R236" i="7"/>
  <c r="O236" i="7"/>
  <c r="S235" i="7"/>
  <c r="R235" i="7"/>
  <c r="O235" i="7"/>
  <c r="S234" i="7"/>
  <c r="R234" i="7"/>
  <c r="O234" i="7"/>
  <c r="S233" i="7"/>
  <c r="R233" i="7"/>
  <c r="O233" i="7"/>
  <c r="S232" i="7"/>
  <c r="R232" i="7"/>
  <c r="O232" i="7"/>
  <c r="S231" i="7"/>
  <c r="R231" i="7"/>
  <c r="O231" i="7"/>
  <c r="S230" i="7"/>
  <c r="R230" i="7"/>
  <c r="O230" i="7"/>
  <c r="S229" i="7"/>
  <c r="R229" i="7"/>
  <c r="O229" i="7"/>
  <c r="S228" i="7"/>
  <c r="R228" i="7"/>
  <c r="O228" i="7"/>
  <c r="S227" i="7"/>
  <c r="R227" i="7"/>
  <c r="O227" i="7"/>
  <c r="S226" i="7"/>
  <c r="R226" i="7"/>
  <c r="O226" i="7"/>
  <c r="S225" i="7"/>
  <c r="R225" i="7"/>
  <c r="O225" i="7"/>
  <c r="S224" i="7"/>
  <c r="R224" i="7"/>
  <c r="O224" i="7"/>
  <c r="S223" i="7"/>
  <c r="R223" i="7"/>
  <c r="O223" i="7"/>
  <c r="S222" i="7"/>
  <c r="R222" i="7"/>
  <c r="O222" i="7"/>
  <c r="S221" i="7"/>
  <c r="R221" i="7"/>
  <c r="O221" i="7"/>
  <c r="S220" i="7"/>
  <c r="R220" i="7"/>
  <c r="O220" i="7"/>
  <c r="S219" i="7"/>
  <c r="R219" i="7"/>
  <c r="O219" i="7"/>
  <c r="S218" i="7"/>
  <c r="R218" i="7"/>
  <c r="O218" i="7"/>
  <c r="S217" i="7"/>
  <c r="R217" i="7"/>
  <c r="O217" i="7"/>
  <c r="S216" i="7"/>
  <c r="R216" i="7"/>
  <c r="O216" i="7"/>
  <c r="S215" i="7"/>
  <c r="R215" i="7"/>
  <c r="O215" i="7"/>
  <c r="S214" i="7"/>
  <c r="R214" i="7"/>
  <c r="O214" i="7"/>
  <c r="S213" i="7"/>
  <c r="R213" i="7"/>
  <c r="O213" i="7"/>
  <c r="S212" i="7"/>
  <c r="R212" i="7"/>
  <c r="O212" i="7"/>
  <c r="S211" i="7"/>
  <c r="R211" i="7"/>
  <c r="O211" i="7"/>
  <c r="S210" i="7"/>
  <c r="R210" i="7"/>
  <c r="O210" i="7"/>
  <c r="S209" i="7"/>
  <c r="R209" i="7"/>
  <c r="O209" i="7"/>
  <c r="S208" i="7"/>
  <c r="R208" i="7"/>
  <c r="O208" i="7"/>
  <c r="S207" i="7"/>
  <c r="R207" i="7"/>
  <c r="O207" i="7"/>
  <c r="S206" i="7"/>
  <c r="R206" i="7"/>
  <c r="O206" i="7"/>
  <c r="S205" i="7"/>
  <c r="R205" i="7"/>
  <c r="O205" i="7"/>
  <c r="S204" i="7"/>
  <c r="R204" i="7"/>
  <c r="O204" i="7"/>
  <c r="S203" i="7"/>
  <c r="R203" i="7"/>
  <c r="O203" i="7"/>
  <c r="S202" i="7"/>
  <c r="R202" i="7"/>
  <c r="O202" i="7"/>
  <c r="S201" i="7"/>
  <c r="R201" i="7"/>
  <c r="O201" i="7"/>
  <c r="S200" i="7"/>
  <c r="R200" i="7"/>
  <c r="O200" i="7"/>
  <c r="S199" i="7"/>
  <c r="R199" i="7"/>
  <c r="O199" i="7"/>
  <c r="S198" i="7"/>
  <c r="R198" i="7"/>
  <c r="O198" i="7"/>
  <c r="S197" i="7"/>
  <c r="R197" i="7"/>
  <c r="O197" i="7"/>
  <c r="S196" i="7"/>
  <c r="R196" i="7"/>
  <c r="O196" i="7"/>
  <c r="S195" i="7"/>
  <c r="R195" i="7"/>
  <c r="O195" i="7"/>
  <c r="S194" i="7"/>
  <c r="R194" i="7"/>
  <c r="O194" i="7"/>
  <c r="S193" i="7"/>
  <c r="R193" i="7"/>
  <c r="O193" i="7"/>
  <c r="S192" i="7"/>
  <c r="R192" i="7"/>
  <c r="O192" i="7"/>
  <c r="S191" i="7"/>
  <c r="R191" i="7"/>
  <c r="O191" i="7"/>
  <c r="S190" i="7"/>
  <c r="R190" i="7"/>
  <c r="O190" i="7"/>
  <c r="S189" i="7"/>
  <c r="R189" i="7"/>
  <c r="O189" i="7"/>
  <c r="S188" i="7"/>
  <c r="R188" i="7"/>
  <c r="O188" i="7"/>
  <c r="S187" i="7"/>
  <c r="R187" i="7"/>
  <c r="O187" i="7"/>
  <c r="S186" i="7"/>
  <c r="R186" i="7"/>
  <c r="O186" i="7"/>
  <c r="S185" i="7"/>
  <c r="R185" i="7"/>
  <c r="O185" i="7"/>
  <c r="S184" i="7"/>
  <c r="R184" i="7"/>
  <c r="O184" i="7"/>
  <c r="S183" i="7"/>
  <c r="R183" i="7"/>
  <c r="O183" i="7"/>
  <c r="S182" i="7"/>
  <c r="R182" i="7"/>
  <c r="O182" i="7"/>
  <c r="S181" i="7"/>
  <c r="R181" i="7"/>
  <c r="O181" i="7"/>
  <c r="S180" i="7"/>
  <c r="R180" i="7"/>
  <c r="O180" i="7"/>
  <c r="S179" i="7"/>
  <c r="R179" i="7"/>
  <c r="O179" i="7"/>
  <c r="S178" i="7"/>
  <c r="R178" i="7"/>
  <c r="O178" i="7"/>
  <c r="S177" i="7"/>
  <c r="R177" i="7"/>
  <c r="O177" i="7"/>
  <c r="S176" i="7"/>
  <c r="R176" i="7"/>
  <c r="O176" i="7"/>
  <c r="S175" i="7"/>
  <c r="R175" i="7"/>
  <c r="O175" i="7"/>
  <c r="S174" i="7"/>
  <c r="R174" i="7"/>
  <c r="O174" i="7"/>
  <c r="S173" i="7"/>
  <c r="R173" i="7"/>
  <c r="O173" i="7"/>
  <c r="S172" i="7"/>
  <c r="R172" i="7"/>
  <c r="O172" i="7"/>
  <c r="S171" i="7"/>
  <c r="R171" i="7"/>
  <c r="O171" i="7"/>
  <c r="S170" i="7"/>
  <c r="R170" i="7"/>
  <c r="O170" i="7"/>
  <c r="S169" i="7"/>
  <c r="R169" i="7"/>
  <c r="O169" i="7"/>
  <c r="S168" i="7"/>
  <c r="R168" i="7"/>
  <c r="O168" i="7"/>
  <c r="S167" i="7"/>
  <c r="R167" i="7"/>
  <c r="O167" i="7"/>
  <c r="S166" i="7"/>
  <c r="R166" i="7"/>
  <c r="O166" i="7"/>
  <c r="S165" i="7"/>
  <c r="R165" i="7"/>
  <c r="O165" i="7"/>
  <c r="S164" i="7"/>
  <c r="R164" i="7"/>
  <c r="O164" i="7"/>
  <c r="S163" i="7"/>
  <c r="R163" i="7"/>
  <c r="O163" i="7"/>
  <c r="S162" i="7"/>
  <c r="R162" i="7"/>
  <c r="O162" i="7"/>
  <c r="S161" i="7"/>
  <c r="R161" i="7"/>
  <c r="O161" i="7"/>
  <c r="S160" i="7"/>
  <c r="R160" i="7"/>
  <c r="O160" i="7"/>
  <c r="S159" i="7"/>
  <c r="R159" i="7"/>
  <c r="O159" i="7"/>
  <c r="S158" i="7"/>
  <c r="R158" i="7"/>
  <c r="O158" i="7"/>
  <c r="S157" i="7"/>
  <c r="R157" i="7"/>
  <c r="O157" i="7"/>
  <c r="S156" i="7"/>
  <c r="R156" i="7"/>
  <c r="O156" i="7"/>
  <c r="S155" i="7"/>
  <c r="R155" i="7"/>
  <c r="O155" i="7"/>
  <c r="S154" i="7"/>
  <c r="R154" i="7"/>
  <c r="O154" i="7"/>
  <c r="S153" i="7"/>
  <c r="R153" i="7"/>
  <c r="O153" i="7"/>
  <c r="S152" i="7"/>
  <c r="R152" i="7"/>
  <c r="O152" i="7"/>
  <c r="S151" i="7"/>
  <c r="R151" i="7"/>
  <c r="O151" i="7"/>
  <c r="S150" i="7"/>
  <c r="R150" i="7"/>
  <c r="O150" i="7"/>
  <c r="S149" i="7"/>
  <c r="R149" i="7"/>
  <c r="O149" i="7"/>
  <c r="S148" i="7"/>
  <c r="R148" i="7"/>
  <c r="O148" i="7"/>
  <c r="S147" i="7"/>
  <c r="R147" i="7"/>
  <c r="O147" i="7"/>
  <c r="S146" i="7"/>
  <c r="R146" i="7"/>
  <c r="O146" i="7"/>
  <c r="S145" i="7"/>
  <c r="R145" i="7"/>
  <c r="O145" i="7"/>
  <c r="S144" i="7"/>
  <c r="R144" i="7"/>
  <c r="O144" i="7"/>
  <c r="S143" i="7"/>
  <c r="R143" i="7"/>
  <c r="O143" i="7"/>
  <c r="S142" i="7"/>
  <c r="R142" i="7"/>
  <c r="O142" i="7"/>
  <c r="S141" i="7"/>
  <c r="R141" i="7"/>
  <c r="O141" i="7"/>
  <c r="S140" i="7"/>
  <c r="R140" i="7"/>
  <c r="O140" i="7"/>
  <c r="S139" i="7"/>
  <c r="R139" i="7"/>
  <c r="O139" i="7"/>
  <c r="S138" i="7"/>
  <c r="R138" i="7"/>
  <c r="O138" i="7"/>
  <c r="S137" i="7"/>
  <c r="R137" i="7"/>
  <c r="O137" i="7"/>
  <c r="S136" i="7"/>
  <c r="R136" i="7"/>
  <c r="O136" i="7"/>
  <c r="S135" i="7"/>
  <c r="R135" i="7"/>
  <c r="O135" i="7"/>
  <c r="S134" i="7"/>
  <c r="R134" i="7"/>
  <c r="O134" i="7"/>
  <c r="S133" i="7"/>
  <c r="R133" i="7"/>
  <c r="O133" i="7"/>
  <c r="S132" i="7"/>
  <c r="R132" i="7"/>
  <c r="O132" i="7"/>
  <c r="S131" i="7"/>
  <c r="R131" i="7"/>
  <c r="O131" i="7"/>
  <c r="S130" i="7"/>
  <c r="R130" i="7"/>
  <c r="O130" i="7"/>
  <c r="S129" i="7"/>
  <c r="R129" i="7"/>
  <c r="O129" i="7"/>
  <c r="S128" i="7"/>
  <c r="R128" i="7"/>
  <c r="O128" i="7"/>
  <c r="S127" i="7"/>
  <c r="R127" i="7"/>
  <c r="O127" i="7"/>
  <c r="S126" i="7"/>
  <c r="R126" i="7"/>
  <c r="O126" i="7"/>
  <c r="S125" i="7"/>
  <c r="R125" i="7"/>
  <c r="O125" i="7"/>
  <c r="S124" i="7"/>
  <c r="R124" i="7"/>
  <c r="O124" i="7"/>
  <c r="S123" i="7"/>
  <c r="R123" i="7"/>
  <c r="O123" i="7"/>
  <c r="S122" i="7"/>
  <c r="R122" i="7"/>
  <c r="O122" i="7"/>
  <c r="S121" i="7"/>
  <c r="R121" i="7"/>
  <c r="O121" i="7"/>
  <c r="S120" i="7"/>
  <c r="R120" i="7"/>
  <c r="O120" i="7"/>
  <c r="S119" i="7"/>
  <c r="R119" i="7"/>
  <c r="O119" i="7"/>
  <c r="S118" i="7"/>
  <c r="R118" i="7"/>
  <c r="O118" i="7"/>
  <c r="S117" i="7"/>
  <c r="R117" i="7"/>
  <c r="O117" i="7"/>
  <c r="S116" i="7"/>
  <c r="R116" i="7"/>
  <c r="O116" i="7"/>
  <c r="S115" i="7"/>
  <c r="R115" i="7"/>
  <c r="O115" i="7"/>
  <c r="S114" i="7"/>
  <c r="R114" i="7"/>
  <c r="O114" i="7"/>
  <c r="S113" i="7"/>
  <c r="R113" i="7"/>
  <c r="O113" i="7"/>
  <c r="S112" i="7"/>
  <c r="R112" i="7"/>
  <c r="O112" i="7"/>
  <c r="S111" i="7"/>
  <c r="R111" i="7"/>
  <c r="O111" i="7"/>
  <c r="S110" i="7"/>
  <c r="R110" i="7"/>
  <c r="O110" i="7"/>
  <c r="S109" i="7"/>
  <c r="R109" i="7"/>
  <c r="O109" i="7"/>
  <c r="S108" i="7"/>
  <c r="R108" i="7"/>
  <c r="O108" i="7"/>
  <c r="S107" i="7"/>
  <c r="R107" i="7"/>
  <c r="O107" i="7"/>
  <c r="S106" i="7"/>
  <c r="R106" i="7"/>
  <c r="O106" i="7"/>
  <c r="S105" i="7"/>
  <c r="R105" i="7"/>
  <c r="O105" i="7"/>
  <c r="S104" i="7"/>
  <c r="R104" i="7"/>
  <c r="O104" i="7"/>
  <c r="S103" i="7"/>
  <c r="R103" i="7"/>
  <c r="O103" i="7"/>
  <c r="S102" i="7"/>
  <c r="R102" i="7"/>
  <c r="O102" i="7"/>
  <c r="S101" i="7"/>
  <c r="R101" i="7"/>
  <c r="O101" i="7"/>
  <c r="S100" i="7"/>
  <c r="R100" i="7"/>
  <c r="O100" i="7"/>
  <c r="S99" i="7"/>
  <c r="R99" i="7"/>
  <c r="O99" i="7"/>
  <c r="S98" i="7"/>
  <c r="R98" i="7"/>
  <c r="O98" i="7"/>
  <c r="S97" i="7"/>
  <c r="R97" i="7"/>
  <c r="O97" i="7"/>
  <c r="S96" i="7"/>
  <c r="R96" i="7"/>
  <c r="O96" i="7"/>
  <c r="S95" i="7"/>
  <c r="R95" i="7"/>
  <c r="O95" i="7"/>
  <c r="S94" i="7"/>
  <c r="R94" i="7"/>
  <c r="O94" i="7"/>
  <c r="S93" i="7"/>
  <c r="R93" i="7"/>
  <c r="O93" i="7"/>
  <c r="S92" i="7"/>
  <c r="R92" i="7"/>
  <c r="O92" i="7"/>
  <c r="S91" i="7"/>
  <c r="R91" i="7"/>
  <c r="O91" i="7"/>
  <c r="S90" i="7"/>
  <c r="R90" i="7"/>
  <c r="O90" i="7"/>
  <c r="S89" i="7"/>
  <c r="R89" i="7"/>
  <c r="O89" i="7"/>
  <c r="S88" i="7"/>
  <c r="R88" i="7"/>
  <c r="O88" i="7"/>
  <c r="S87" i="7"/>
  <c r="R87" i="7"/>
  <c r="O87" i="7"/>
  <c r="S86" i="7"/>
  <c r="R86" i="7"/>
  <c r="O86" i="7"/>
  <c r="S85" i="7"/>
  <c r="R85" i="7"/>
  <c r="O85" i="7"/>
  <c r="S84" i="7"/>
  <c r="R84" i="7"/>
  <c r="O84" i="7"/>
  <c r="S83" i="7"/>
  <c r="R83" i="7"/>
  <c r="O83" i="7"/>
  <c r="S82" i="7"/>
  <c r="R82" i="7"/>
  <c r="O82" i="7"/>
  <c r="S81" i="7"/>
  <c r="R81" i="7"/>
  <c r="O81" i="7"/>
  <c r="S80" i="7"/>
  <c r="R80" i="7"/>
  <c r="O80" i="7"/>
  <c r="S79" i="7"/>
  <c r="R79" i="7"/>
  <c r="O79" i="7"/>
  <c r="S78" i="7"/>
  <c r="R78" i="7"/>
  <c r="O78" i="7"/>
  <c r="S77" i="7"/>
  <c r="R77" i="7"/>
  <c r="O77" i="7"/>
  <c r="S76" i="7"/>
  <c r="R76" i="7"/>
  <c r="O76" i="7"/>
  <c r="S75" i="7"/>
  <c r="R75" i="7"/>
  <c r="O75" i="7"/>
  <c r="S74" i="7"/>
  <c r="R74" i="7"/>
  <c r="O74" i="7"/>
  <c r="S73" i="7"/>
  <c r="R73" i="7"/>
  <c r="O73" i="7"/>
  <c r="S72" i="7"/>
  <c r="R72" i="7"/>
  <c r="O72" i="7"/>
  <c r="S71" i="7"/>
  <c r="R71" i="7"/>
  <c r="O71" i="7"/>
  <c r="S70" i="7"/>
  <c r="R70" i="7"/>
  <c r="O70" i="7"/>
  <c r="S69" i="7"/>
  <c r="R69" i="7"/>
  <c r="O69" i="7"/>
  <c r="S68" i="7"/>
  <c r="R68" i="7"/>
  <c r="O68" i="7"/>
  <c r="S67" i="7"/>
  <c r="R67" i="7"/>
  <c r="O67" i="7"/>
  <c r="S66" i="7"/>
  <c r="R66" i="7"/>
  <c r="O66" i="7"/>
  <c r="S65" i="7"/>
  <c r="R65" i="7"/>
  <c r="O65" i="7"/>
  <c r="S64" i="7"/>
  <c r="R64" i="7"/>
  <c r="O64" i="7"/>
  <c r="S63" i="7"/>
  <c r="R63" i="7"/>
  <c r="O63" i="7"/>
  <c r="S62" i="7"/>
  <c r="R62" i="7"/>
  <c r="O62" i="7"/>
  <c r="S61" i="7"/>
  <c r="R61" i="7"/>
  <c r="O61" i="7"/>
  <c r="S60" i="7"/>
  <c r="R60" i="7"/>
  <c r="O60" i="7"/>
  <c r="S59" i="7"/>
  <c r="R59" i="7"/>
  <c r="O59" i="7"/>
  <c r="S58" i="7"/>
  <c r="R58" i="7"/>
  <c r="O58" i="7"/>
  <c r="S57" i="7"/>
  <c r="R57" i="7"/>
  <c r="O57" i="7"/>
  <c r="S56" i="7"/>
  <c r="R56" i="7"/>
  <c r="O56" i="7"/>
  <c r="S55" i="7"/>
  <c r="R55" i="7"/>
  <c r="O55" i="7"/>
  <c r="S54" i="7"/>
  <c r="R54" i="7"/>
  <c r="O54" i="7"/>
  <c r="S53" i="7"/>
  <c r="R53" i="7"/>
  <c r="O53" i="7"/>
  <c r="S52" i="7"/>
  <c r="R52" i="7"/>
  <c r="O52" i="7"/>
  <c r="S51" i="7"/>
  <c r="R51" i="7"/>
  <c r="O51" i="7"/>
  <c r="S50" i="7"/>
  <c r="R50" i="7"/>
  <c r="O50" i="7"/>
  <c r="S49" i="7"/>
  <c r="R49" i="7"/>
  <c r="O49" i="7"/>
  <c r="S48" i="7"/>
  <c r="R48" i="7"/>
  <c r="O48" i="7"/>
  <c r="S47" i="7"/>
  <c r="R47" i="7"/>
  <c r="O47" i="7"/>
  <c r="S46" i="7"/>
  <c r="R46" i="7"/>
  <c r="O46" i="7"/>
  <c r="S45" i="7"/>
  <c r="R45" i="7"/>
  <c r="O45" i="7"/>
  <c r="S44" i="7"/>
  <c r="R44" i="7"/>
  <c r="O44" i="7"/>
  <c r="S43" i="7"/>
  <c r="R43" i="7"/>
  <c r="O43" i="7"/>
  <c r="S42" i="7"/>
  <c r="R42" i="7"/>
  <c r="O42" i="7"/>
  <c r="S41" i="7"/>
  <c r="R41" i="7"/>
  <c r="O41" i="7"/>
  <c r="S40" i="7"/>
  <c r="R40" i="7"/>
  <c r="O40" i="7"/>
  <c r="S39" i="7"/>
  <c r="R39" i="7"/>
  <c r="O39" i="7"/>
  <c r="S38" i="7"/>
  <c r="R38" i="7"/>
  <c r="O38" i="7"/>
  <c r="S37" i="7"/>
  <c r="R37" i="7"/>
  <c r="O37" i="7"/>
  <c r="S36" i="7"/>
  <c r="R36" i="7"/>
  <c r="O36" i="7"/>
  <c r="S35" i="7"/>
  <c r="R35" i="7"/>
  <c r="O35" i="7"/>
  <c r="S34" i="7"/>
  <c r="R34" i="7"/>
  <c r="O34" i="7"/>
  <c r="S33" i="7"/>
  <c r="R33" i="7"/>
  <c r="O33" i="7"/>
  <c r="S32" i="7"/>
  <c r="R32" i="7"/>
  <c r="O32" i="7"/>
  <c r="S31" i="7"/>
  <c r="R31" i="7"/>
  <c r="O31" i="7"/>
  <c r="S30" i="7"/>
  <c r="R30" i="7"/>
  <c r="O30" i="7"/>
  <c r="S29" i="7"/>
  <c r="R29" i="7"/>
  <c r="O29" i="7"/>
  <c r="S28" i="7"/>
  <c r="R28" i="7"/>
  <c r="O28" i="7"/>
  <c r="S27" i="7"/>
  <c r="R27" i="7"/>
  <c r="O27" i="7"/>
  <c r="S26" i="7"/>
  <c r="R26" i="7"/>
  <c r="O26" i="7"/>
  <c r="S25" i="7"/>
  <c r="R25" i="7"/>
  <c r="O25" i="7"/>
  <c r="S24" i="7"/>
  <c r="R24" i="7"/>
  <c r="O24" i="7"/>
  <c r="S23" i="7"/>
  <c r="R23" i="7"/>
  <c r="O23" i="7"/>
  <c r="S22" i="7"/>
  <c r="R22" i="7"/>
  <c r="O22" i="7"/>
  <c r="S21" i="7"/>
  <c r="R21" i="7"/>
  <c r="O21" i="7"/>
  <c r="S20" i="7"/>
  <c r="R20" i="7"/>
  <c r="O20" i="7"/>
  <c r="S19" i="7"/>
  <c r="R19" i="7"/>
  <c r="O19" i="7"/>
  <c r="S18" i="7"/>
  <c r="R18" i="7"/>
  <c r="O18" i="7"/>
  <c r="S17" i="7"/>
  <c r="R17" i="7"/>
  <c r="O17" i="7"/>
  <c r="S16" i="7"/>
  <c r="R16" i="7"/>
  <c r="O16" i="7"/>
  <c r="S15" i="7"/>
  <c r="R15" i="7"/>
  <c r="O15" i="7"/>
  <c r="S14" i="7"/>
  <c r="R14" i="7"/>
  <c r="O14" i="7"/>
  <c r="S13" i="7"/>
  <c r="R13" i="7"/>
  <c r="O13" i="7"/>
  <c r="S12" i="7"/>
  <c r="R12" i="7"/>
  <c r="O12" i="7"/>
  <c r="S11" i="7"/>
  <c r="R11" i="7"/>
  <c r="O11" i="7"/>
  <c r="S10" i="7"/>
  <c r="R10" i="7"/>
  <c r="O10" i="7"/>
  <c r="S9" i="7"/>
  <c r="R9" i="7"/>
  <c r="O9" i="7"/>
  <c r="S8" i="7"/>
  <c r="R8" i="7"/>
  <c r="O8" i="7"/>
  <c r="S7" i="7"/>
  <c r="R7" i="7"/>
  <c r="O7" i="7"/>
  <c r="S6" i="7"/>
  <c r="R6" i="7"/>
  <c r="O6" i="7"/>
  <c r="S5" i="7"/>
  <c r="R5" i="7"/>
  <c r="O5" i="7"/>
  <c r="S4" i="7"/>
  <c r="R4" i="7"/>
  <c r="O4" i="7"/>
  <c r="S3" i="7"/>
  <c r="R3" i="7"/>
  <c r="O3" i="7"/>
  <c r="R2" i="7"/>
  <c r="S2" i="7" s="1"/>
  <c r="O2" i="7"/>
  <c r="Q298" i="6"/>
  <c r="P298" i="6"/>
  <c r="M298" i="6"/>
  <c r="Q297" i="6"/>
  <c r="P297" i="6"/>
  <c r="M297" i="6"/>
  <c r="Q296" i="6"/>
  <c r="P296" i="6"/>
  <c r="M296" i="6"/>
  <c r="Q295" i="6"/>
  <c r="P295" i="6"/>
  <c r="M295" i="6"/>
  <c r="Q294" i="6"/>
  <c r="P294" i="6"/>
  <c r="M294" i="6"/>
  <c r="Q293" i="6"/>
  <c r="P293" i="6"/>
  <c r="M293" i="6"/>
  <c r="Q292" i="6"/>
  <c r="P292" i="6"/>
  <c r="M292" i="6"/>
  <c r="Q291" i="6"/>
  <c r="P291" i="6"/>
  <c r="M291" i="6"/>
  <c r="Q290" i="6"/>
  <c r="P290" i="6"/>
  <c r="M290" i="6"/>
  <c r="Q289" i="6"/>
  <c r="P289" i="6"/>
  <c r="M289" i="6"/>
  <c r="Q288" i="6"/>
  <c r="P288" i="6"/>
  <c r="M288" i="6"/>
  <c r="Q287" i="6"/>
  <c r="P287" i="6"/>
  <c r="M287" i="6"/>
  <c r="Q286" i="6"/>
  <c r="P286" i="6"/>
  <c r="M286" i="6"/>
  <c r="Q285" i="6"/>
  <c r="P285" i="6"/>
  <c r="M285" i="6"/>
  <c r="Q284" i="6"/>
  <c r="P284" i="6"/>
  <c r="M284" i="6"/>
  <c r="Q283" i="6"/>
  <c r="P283" i="6"/>
  <c r="M283" i="6"/>
  <c r="Q282" i="6"/>
  <c r="P282" i="6"/>
  <c r="M282" i="6"/>
  <c r="Q281" i="6"/>
  <c r="P281" i="6"/>
  <c r="M281" i="6"/>
  <c r="Q280" i="6"/>
  <c r="P280" i="6"/>
  <c r="M280" i="6"/>
  <c r="Q279" i="6"/>
  <c r="P279" i="6"/>
  <c r="M279" i="6"/>
  <c r="Q278" i="6"/>
  <c r="P278" i="6"/>
  <c r="M278" i="6"/>
  <c r="Q277" i="6"/>
  <c r="P277" i="6"/>
  <c r="M277" i="6"/>
  <c r="Q276" i="6"/>
  <c r="P276" i="6"/>
  <c r="M276" i="6"/>
  <c r="Q275" i="6"/>
  <c r="P275" i="6"/>
  <c r="M275" i="6"/>
  <c r="Q274" i="6"/>
  <c r="P274" i="6"/>
  <c r="M274" i="6"/>
  <c r="Q273" i="6"/>
  <c r="P273" i="6"/>
  <c r="M273" i="6"/>
  <c r="Q272" i="6"/>
  <c r="P272" i="6"/>
  <c r="M272" i="6"/>
  <c r="Q271" i="6"/>
  <c r="P271" i="6"/>
  <c r="M271" i="6"/>
  <c r="Q270" i="6"/>
  <c r="P270" i="6"/>
  <c r="M270" i="6"/>
  <c r="Q269" i="6"/>
  <c r="P269" i="6"/>
  <c r="M269" i="6"/>
  <c r="Q268" i="6"/>
  <c r="P268" i="6"/>
  <c r="M268" i="6"/>
  <c r="Q267" i="6"/>
  <c r="P267" i="6"/>
  <c r="M267" i="6"/>
  <c r="Q266" i="6"/>
  <c r="P266" i="6"/>
  <c r="M266" i="6"/>
  <c r="Q265" i="6"/>
  <c r="P265" i="6"/>
  <c r="M265" i="6"/>
  <c r="Q264" i="6"/>
  <c r="P264" i="6"/>
  <c r="M264" i="6"/>
  <c r="Q263" i="6"/>
  <c r="P263" i="6"/>
  <c r="M263" i="6"/>
  <c r="Q262" i="6"/>
  <c r="P262" i="6"/>
  <c r="M262" i="6"/>
  <c r="Q261" i="6"/>
  <c r="P261" i="6"/>
  <c r="M261" i="6"/>
  <c r="Q260" i="6"/>
  <c r="P260" i="6"/>
  <c r="M260" i="6"/>
  <c r="Q259" i="6"/>
  <c r="P259" i="6"/>
  <c r="M259" i="6"/>
  <c r="Q258" i="6"/>
  <c r="P258" i="6"/>
  <c r="M258" i="6"/>
  <c r="Q257" i="6"/>
  <c r="P257" i="6"/>
  <c r="M257" i="6"/>
  <c r="Q256" i="6"/>
  <c r="P256" i="6"/>
  <c r="M256" i="6"/>
  <c r="Q255" i="6"/>
  <c r="P255" i="6"/>
  <c r="M255" i="6"/>
  <c r="Q254" i="6"/>
  <c r="P254" i="6"/>
  <c r="M254" i="6"/>
  <c r="Q253" i="6"/>
  <c r="P253" i="6"/>
  <c r="M253" i="6"/>
  <c r="Q252" i="6"/>
  <c r="P252" i="6"/>
  <c r="M252" i="6"/>
  <c r="Q251" i="6"/>
  <c r="P251" i="6"/>
  <c r="M251" i="6"/>
  <c r="Q250" i="6"/>
  <c r="P250" i="6"/>
  <c r="M250" i="6"/>
  <c r="Q249" i="6"/>
  <c r="P249" i="6"/>
  <c r="M249" i="6"/>
  <c r="Q248" i="6"/>
  <c r="P248" i="6"/>
  <c r="M248" i="6"/>
  <c r="Q247" i="6"/>
  <c r="P247" i="6"/>
  <c r="M247" i="6"/>
  <c r="Q246" i="6"/>
  <c r="P246" i="6"/>
  <c r="M246" i="6"/>
  <c r="Q245" i="6"/>
  <c r="P245" i="6"/>
  <c r="M245" i="6"/>
  <c r="Q244" i="6"/>
  <c r="P244" i="6"/>
  <c r="M244" i="6"/>
  <c r="Q243" i="6"/>
  <c r="P243" i="6"/>
  <c r="M243" i="6"/>
  <c r="Q242" i="6"/>
  <c r="P242" i="6"/>
  <c r="M242" i="6"/>
  <c r="Q241" i="6"/>
  <c r="P241" i="6"/>
  <c r="M241" i="6"/>
  <c r="Q240" i="6"/>
  <c r="P240" i="6"/>
  <c r="M240" i="6"/>
  <c r="Q239" i="6"/>
  <c r="P239" i="6"/>
  <c r="M239" i="6"/>
  <c r="Q238" i="6"/>
  <c r="P238" i="6"/>
  <c r="M238" i="6"/>
  <c r="Q237" i="6"/>
  <c r="P237" i="6"/>
  <c r="M237" i="6"/>
  <c r="Q236" i="6"/>
  <c r="P236" i="6"/>
  <c r="M236" i="6"/>
  <c r="Q235" i="6"/>
  <c r="P235" i="6"/>
  <c r="M235" i="6"/>
  <c r="Q234" i="6"/>
  <c r="P234" i="6"/>
  <c r="M234" i="6"/>
  <c r="Q233" i="6"/>
  <c r="P233" i="6"/>
  <c r="M233" i="6"/>
  <c r="Q232" i="6"/>
  <c r="P232" i="6"/>
  <c r="M232" i="6"/>
  <c r="Q231" i="6"/>
  <c r="P231" i="6"/>
  <c r="M231" i="6"/>
  <c r="Q230" i="6"/>
  <c r="P230" i="6"/>
  <c r="M230" i="6"/>
  <c r="Q229" i="6"/>
  <c r="P229" i="6"/>
  <c r="M229" i="6"/>
  <c r="Q228" i="6"/>
  <c r="P228" i="6"/>
  <c r="M228" i="6"/>
  <c r="Q227" i="6"/>
  <c r="P227" i="6"/>
  <c r="M227" i="6"/>
  <c r="Q226" i="6"/>
  <c r="P226" i="6"/>
  <c r="M226" i="6"/>
  <c r="Q225" i="6"/>
  <c r="P225" i="6"/>
  <c r="M225" i="6"/>
  <c r="Q224" i="6"/>
  <c r="P224" i="6"/>
  <c r="M224" i="6"/>
  <c r="Q223" i="6"/>
  <c r="P223" i="6"/>
  <c r="M223" i="6"/>
  <c r="Q222" i="6"/>
  <c r="P222" i="6"/>
  <c r="M222" i="6"/>
  <c r="Q221" i="6"/>
  <c r="P221" i="6"/>
  <c r="M221" i="6"/>
  <c r="Q220" i="6"/>
  <c r="P220" i="6"/>
  <c r="M220" i="6"/>
  <c r="Q219" i="6"/>
  <c r="P219" i="6"/>
  <c r="M219" i="6"/>
  <c r="Q218" i="6"/>
  <c r="P218" i="6"/>
  <c r="M218" i="6"/>
  <c r="Q217" i="6"/>
  <c r="P217" i="6"/>
  <c r="M217" i="6"/>
  <c r="Q216" i="6"/>
  <c r="P216" i="6"/>
  <c r="M216" i="6"/>
  <c r="Q215" i="6"/>
  <c r="P215" i="6"/>
  <c r="M215" i="6"/>
  <c r="Q214" i="6"/>
  <c r="P214" i="6"/>
  <c r="M214" i="6"/>
  <c r="Q213" i="6"/>
  <c r="P213" i="6"/>
  <c r="M213" i="6"/>
  <c r="Q212" i="6"/>
  <c r="P212" i="6"/>
  <c r="M212" i="6"/>
  <c r="Q211" i="6"/>
  <c r="P211" i="6"/>
  <c r="M211" i="6"/>
  <c r="Q210" i="6"/>
  <c r="P210" i="6"/>
  <c r="M210" i="6"/>
  <c r="Q209" i="6"/>
  <c r="P209" i="6"/>
  <c r="M209" i="6"/>
  <c r="Q208" i="6"/>
  <c r="P208" i="6"/>
  <c r="M208" i="6"/>
  <c r="Q207" i="6"/>
  <c r="P207" i="6"/>
  <c r="M207" i="6"/>
  <c r="Q206" i="6"/>
  <c r="P206" i="6"/>
  <c r="M206" i="6"/>
  <c r="Q205" i="6"/>
  <c r="P205" i="6"/>
  <c r="M205" i="6"/>
  <c r="Q204" i="6"/>
  <c r="P204" i="6"/>
  <c r="M204" i="6"/>
  <c r="Q203" i="6"/>
  <c r="P203" i="6"/>
  <c r="M203" i="6"/>
  <c r="Q202" i="6"/>
  <c r="P202" i="6"/>
  <c r="M202" i="6"/>
  <c r="Q201" i="6"/>
  <c r="P201" i="6"/>
  <c r="M201" i="6"/>
  <c r="Q200" i="6"/>
  <c r="P200" i="6"/>
  <c r="M200" i="6"/>
  <c r="Q199" i="6"/>
  <c r="P199" i="6"/>
  <c r="M199" i="6"/>
  <c r="Q198" i="6"/>
  <c r="P198" i="6"/>
  <c r="M198" i="6"/>
  <c r="Q197" i="6"/>
  <c r="P197" i="6"/>
  <c r="M197" i="6"/>
  <c r="Q196" i="6"/>
  <c r="P196" i="6"/>
  <c r="M196" i="6"/>
  <c r="Q195" i="6"/>
  <c r="P195" i="6"/>
  <c r="M195" i="6"/>
  <c r="Q194" i="6"/>
  <c r="P194" i="6"/>
  <c r="M194" i="6"/>
  <c r="Q193" i="6"/>
  <c r="P193" i="6"/>
  <c r="M193" i="6"/>
  <c r="Q192" i="6"/>
  <c r="P192" i="6"/>
  <c r="M192" i="6"/>
  <c r="Q191" i="6"/>
  <c r="P191" i="6"/>
  <c r="M191" i="6"/>
  <c r="Q190" i="6"/>
  <c r="P190" i="6"/>
  <c r="M190" i="6"/>
  <c r="Q189" i="6"/>
  <c r="P189" i="6"/>
  <c r="M189" i="6"/>
  <c r="Q188" i="6"/>
  <c r="P188" i="6"/>
  <c r="M188" i="6"/>
  <c r="Q187" i="6"/>
  <c r="P187" i="6"/>
  <c r="M187" i="6"/>
  <c r="Q186" i="6"/>
  <c r="P186" i="6"/>
  <c r="M186" i="6"/>
  <c r="Q185" i="6"/>
  <c r="P185" i="6"/>
  <c r="M185" i="6"/>
  <c r="Q184" i="6"/>
  <c r="P184" i="6"/>
  <c r="M184" i="6"/>
  <c r="Q183" i="6"/>
  <c r="P183" i="6"/>
  <c r="M183" i="6"/>
  <c r="Q182" i="6"/>
  <c r="P182" i="6"/>
  <c r="M182" i="6"/>
  <c r="Q181" i="6"/>
  <c r="P181" i="6"/>
  <c r="M181" i="6"/>
  <c r="Q180" i="6"/>
  <c r="P180" i="6"/>
  <c r="M180" i="6"/>
  <c r="Q179" i="6"/>
  <c r="P179" i="6"/>
  <c r="M179" i="6"/>
  <c r="Q178" i="6"/>
  <c r="P178" i="6"/>
  <c r="M178" i="6"/>
  <c r="Q177" i="6"/>
  <c r="P177" i="6"/>
  <c r="M177" i="6"/>
  <c r="Q176" i="6"/>
  <c r="P176" i="6"/>
  <c r="M176" i="6"/>
  <c r="Q175" i="6"/>
  <c r="P175" i="6"/>
  <c r="M175" i="6"/>
  <c r="Q174" i="6"/>
  <c r="P174" i="6"/>
  <c r="M174" i="6"/>
  <c r="Q173" i="6"/>
  <c r="P173" i="6"/>
  <c r="M173" i="6"/>
  <c r="Q172" i="6"/>
  <c r="P172" i="6"/>
  <c r="M172" i="6"/>
  <c r="Q171" i="6"/>
  <c r="P171" i="6"/>
  <c r="M171" i="6"/>
  <c r="Q170" i="6"/>
  <c r="P170" i="6"/>
  <c r="M170" i="6"/>
  <c r="Q169" i="6"/>
  <c r="P169" i="6"/>
  <c r="M169" i="6"/>
  <c r="Q168" i="6"/>
  <c r="P168" i="6"/>
  <c r="M168" i="6"/>
  <c r="Q167" i="6"/>
  <c r="P167" i="6"/>
  <c r="M167" i="6"/>
  <c r="Q166" i="6"/>
  <c r="P166" i="6"/>
  <c r="M166" i="6"/>
  <c r="Q165" i="6"/>
  <c r="P165" i="6"/>
  <c r="M165" i="6"/>
  <c r="Q164" i="6"/>
  <c r="P164" i="6"/>
  <c r="M164" i="6"/>
  <c r="Q163" i="6"/>
  <c r="P163" i="6"/>
  <c r="M163" i="6"/>
  <c r="Q162" i="6"/>
  <c r="P162" i="6"/>
  <c r="M162" i="6"/>
  <c r="Q161" i="6"/>
  <c r="P161" i="6"/>
  <c r="M161" i="6"/>
  <c r="Q160" i="6"/>
  <c r="P160" i="6"/>
  <c r="M160" i="6"/>
  <c r="Q159" i="6"/>
  <c r="P159" i="6"/>
  <c r="M159" i="6"/>
  <c r="Q158" i="6"/>
  <c r="P158" i="6"/>
  <c r="M158" i="6"/>
  <c r="Q157" i="6"/>
  <c r="P157" i="6"/>
  <c r="M157" i="6"/>
  <c r="Q156" i="6"/>
  <c r="P156" i="6"/>
  <c r="M156" i="6"/>
  <c r="Q155" i="6"/>
  <c r="P155" i="6"/>
  <c r="M155" i="6"/>
  <c r="Q154" i="6"/>
  <c r="P154" i="6"/>
  <c r="M154" i="6"/>
  <c r="Q153" i="6"/>
  <c r="P153" i="6"/>
  <c r="M153" i="6"/>
  <c r="Q152" i="6"/>
  <c r="P152" i="6"/>
  <c r="M152" i="6"/>
  <c r="Q151" i="6"/>
  <c r="P151" i="6"/>
  <c r="M151" i="6"/>
  <c r="Q150" i="6"/>
  <c r="P150" i="6"/>
  <c r="M150" i="6"/>
  <c r="Q149" i="6"/>
  <c r="P149" i="6"/>
  <c r="M149" i="6"/>
  <c r="Q148" i="6"/>
  <c r="P148" i="6"/>
  <c r="M148" i="6"/>
  <c r="Q147" i="6"/>
  <c r="P147" i="6"/>
  <c r="M147" i="6"/>
  <c r="Q146" i="6"/>
  <c r="P146" i="6"/>
  <c r="M146" i="6"/>
  <c r="Q145" i="6"/>
  <c r="P145" i="6"/>
  <c r="M145" i="6"/>
  <c r="Q144" i="6"/>
  <c r="P144" i="6"/>
  <c r="M144" i="6"/>
  <c r="Q143" i="6"/>
  <c r="P143" i="6"/>
  <c r="M143" i="6"/>
  <c r="Q142" i="6"/>
  <c r="P142" i="6"/>
  <c r="M142" i="6"/>
  <c r="Q141" i="6"/>
  <c r="P141" i="6"/>
  <c r="M141" i="6"/>
  <c r="Q140" i="6"/>
  <c r="P140" i="6"/>
  <c r="M140" i="6"/>
  <c r="Q139" i="6"/>
  <c r="P139" i="6"/>
  <c r="M139" i="6"/>
  <c r="Q138" i="6"/>
  <c r="P138" i="6"/>
  <c r="M138" i="6"/>
  <c r="Q137" i="6"/>
  <c r="P137" i="6"/>
  <c r="M137" i="6"/>
  <c r="Q136" i="6"/>
  <c r="P136" i="6"/>
  <c r="M136" i="6"/>
  <c r="Q135" i="6"/>
  <c r="P135" i="6"/>
  <c r="M135" i="6"/>
  <c r="Q134" i="6"/>
  <c r="P134" i="6"/>
  <c r="M134" i="6"/>
  <c r="Q133" i="6"/>
  <c r="P133" i="6"/>
  <c r="M133" i="6"/>
  <c r="Q132" i="6"/>
  <c r="P132" i="6"/>
  <c r="M132" i="6"/>
  <c r="Q131" i="6"/>
  <c r="P131" i="6"/>
  <c r="M131" i="6"/>
  <c r="Q130" i="6"/>
  <c r="P130" i="6"/>
  <c r="M130" i="6"/>
  <c r="Q129" i="6"/>
  <c r="P129" i="6"/>
  <c r="M129" i="6"/>
  <c r="Q128" i="6"/>
  <c r="P128" i="6"/>
  <c r="M128" i="6"/>
  <c r="Q127" i="6"/>
  <c r="P127" i="6"/>
  <c r="M127" i="6"/>
  <c r="Q126" i="6"/>
  <c r="P126" i="6"/>
  <c r="M126" i="6"/>
  <c r="Q125" i="6"/>
  <c r="P125" i="6"/>
  <c r="M125" i="6"/>
  <c r="Q124" i="6"/>
  <c r="P124" i="6"/>
  <c r="M124" i="6"/>
  <c r="Q123" i="6"/>
  <c r="P123" i="6"/>
  <c r="M123" i="6"/>
  <c r="Q122" i="6"/>
  <c r="P122" i="6"/>
  <c r="M122" i="6"/>
  <c r="Q121" i="6"/>
  <c r="P121" i="6"/>
  <c r="M121" i="6"/>
  <c r="Q120" i="6"/>
  <c r="P120" i="6"/>
  <c r="M120" i="6"/>
  <c r="Q119" i="6"/>
  <c r="P119" i="6"/>
  <c r="M119" i="6"/>
  <c r="Q118" i="6"/>
  <c r="P118" i="6"/>
  <c r="M118" i="6"/>
  <c r="Q117" i="6"/>
  <c r="P117" i="6"/>
  <c r="M117" i="6"/>
  <c r="Q116" i="6"/>
  <c r="P116" i="6"/>
  <c r="M116" i="6"/>
  <c r="Q115" i="6"/>
  <c r="P115" i="6"/>
  <c r="M115" i="6"/>
  <c r="Q114" i="6"/>
  <c r="P114" i="6"/>
  <c r="M114" i="6"/>
  <c r="Q113" i="6"/>
  <c r="P113" i="6"/>
  <c r="M113" i="6"/>
  <c r="Q112" i="6"/>
  <c r="P112" i="6"/>
  <c r="M112" i="6"/>
  <c r="Q111" i="6"/>
  <c r="P111" i="6"/>
  <c r="M111" i="6"/>
  <c r="Q110" i="6"/>
  <c r="P110" i="6"/>
  <c r="M110" i="6"/>
  <c r="Q109" i="6"/>
  <c r="P109" i="6"/>
  <c r="M109" i="6"/>
  <c r="Q108" i="6"/>
  <c r="P108" i="6"/>
  <c r="M108" i="6"/>
  <c r="Q107" i="6"/>
  <c r="P107" i="6"/>
  <c r="M107" i="6"/>
  <c r="Q106" i="6"/>
  <c r="P106" i="6"/>
  <c r="M106" i="6"/>
  <c r="Q105" i="6"/>
  <c r="P105" i="6"/>
  <c r="M105" i="6"/>
  <c r="Q104" i="6"/>
  <c r="P104" i="6"/>
  <c r="M104" i="6"/>
  <c r="Q103" i="6"/>
  <c r="P103" i="6"/>
  <c r="M103" i="6"/>
  <c r="Q102" i="6"/>
  <c r="P102" i="6"/>
  <c r="M102" i="6"/>
  <c r="Q101" i="6"/>
  <c r="P101" i="6"/>
  <c r="M101" i="6"/>
  <c r="Q100" i="6"/>
  <c r="P100" i="6"/>
  <c r="M100" i="6"/>
  <c r="Q99" i="6"/>
  <c r="P99" i="6"/>
  <c r="M99" i="6"/>
  <c r="Q98" i="6"/>
  <c r="P98" i="6"/>
  <c r="M98" i="6"/>
  <c r="Q97" i="6"/>
  <c r="P97" i="6"/>
  <c r="M97" i="6"/>
  <c r="Q96" i="6"/>
  <c r="P96" i="6"/>
  <c r="M96" i="6"/>
  <c r="Q95" i="6"/>
  <c r="P95" i="6"/>
  <c r="M95" i="6"/>
  <c r="Q94" i="6"/>
  <c r="P94" i="6"/>
  <c r="M94" i="6"/>
  <c r="Q93" i="6"/>
  <c r="P93" i="6"/>
  <c r="M93" i="6"/>
  <c r="Q92" i="6"/>
  <c r="P92" i="6"/>
  <c r="M92" i="6"/>
  <c r="Q91" i="6"/>
  <c r="P91" i="6"/>
  <c r="M91" i="6"/>
  <c r="Q90" i="6"/>
  <c r="P90" i="6"/>
  <c r="M90" i="6"/>
  <c r="Q89" i="6"/>
  <c r="P89" i="6"/>
  <c r="M89" i="6"/>
  <c r="Q88" i="6"/>
  <c r="P88" i="6"/>
  <c r="M88" i="6"/>
  <c r="Q87" i="6"/>
  <c r="P87" i="6"/>
  <c r="M87" i="6"/>
  <c r="Q86" i="6"/>
  <c r="P86" i="6"/>
  <c r="M86" i="6"/>
  <c r="Q85" i="6"/>
  <c r="P85" i="6"/>
  <c r="M85" i="6"/>
  <c r="Q84" i="6"/>
  <c r="P84" i="6"/>
  <c r="M84" i="6"/>
  <c r="Q83" i="6"/>
  <c r="P83" i="6"/>
  <c r="M83" i="6"/>
  <c r="Q82" i="6"/>
  <c r="P82" i="6"/>
  <c r="M82" i="6"/>
  <c r="Q81" i="6"/>
  <c r="P81" i="6"/>
  <c r="M81" i="6"/>
  <c r="Q80" i="6"/>
  <c r="P80" i="6"/>
  <c r="M80" i="6"/>
  <c r="Q79" i="6"/>
  <c r="P79" i="6"/>
  <c r="M79" i="6"/>
  <c r="Q78" i="6"/>
  <c r="P78" i="6"/>
  <c r="M78" i="6"/>
  <c r="Q77" i="6"/>
  <c r="P77" i="6"/>
  <c r="M77" i="6"/>
  <c r="Q76" i="6"/>
  <c r="P76" i="6"/>
  <c r="M76" i="6"/>
  <c r="Q75" i="6"/>
  <c r="P75" i="6"/>
  <c r="M75" i="6"/>
  <c r="Q74" i="6"/>
  <c r="P74" i="6"/>
  <c r="M74" i="6"/>
  <c r="Q73" i="6"/>
  <c r="P73" i="6"/>
  <c r="M73" i="6"/>
  <c r="Q72" i="6"/>
  <c r="P72" i="6"/>
  <c r="M72" i="6"/>
  <c r="Q71" i="6"/>
  <c r="P71" i="6"/>
  <c r="M71" i="6"/>
  <c r="Q70" i="6"/>
  <c r="P70" i="6"/>
  <c r="M70" i="6"/>
  <c r="Q69" i="6"/>
  <c r="P69" i="6"/>
  <c r="M69" i="6"/>
  <c r="Q68" i="6"/>
  <c r="P68" i="6"/>
  <c r="M68" i="6"/>
  <c r="Q67" i="6"/>
  <c r="P67" i="6"/>
  <c r="M67" i="6"/>
  <c r="Q66" i="6"/>
  <c r="P66" i="6"/>
  <c r="M66" i="6"/>
  <c r="Q65" i="6"/>
  <c r="P65" i="6"/>
  <c r="M65" i="6"/>
  <c r="Q64" i="6"/>
  <c r="P64" i="6"/>
  <c r="M64" i="6"/>
  <c r="Q63" i="6"/>
  <c r="P63" i="6"/>
  <c r="M63" i="6"/>
  <c r="Q62" i="6"/>
  <c r="P62" i="6"/>
  <c r="M62" i="6"/>
  <c r="Q61" i="6"/>
  <c r="P61" i="6"/>
  <c r="M61" i="6"/>
  <c r="Q60" i="6"/>
  <c r="P60" i="6"/>
  <c r="M60" i="6"/>
  <c r="Q59" i="6"/>
  <c r="P59" i="6"/>
  <c r="M59" i="6"/>
  <c r="Q58" i="6"/>
  <c r="P58" i="6"/>
  <c r="M58" i="6"/>
  <c r="Q57" i="6"/>
  <c r="P57" i="6"/>
  <c r="M57" i="6"/>
  <c r="Q56" i="6"/>
  <c r="P56" i="6"/>
  <c r="M56" i="6"/>
  <c r="Q55" i="6"/>
  <c r="P55" i="6"/>
  <c r="M55" i="6"/>
  <c r="Q54" i="6"/>
  <c r="P54" i="6"/>
  <c r="M54" i="6"/>
  <c r="Q53" i="6"/>
  <c r="P53" i="6"/>
  <c r="M53" i="6"/>
  <c r="Q52" i="6"/>
  <c r="P52" i="6"/>
  <c r="M52" i="6"/>
  <c r="Q51" i="6"/>
  <c r="P51" i="6"/>
  <c r="M51" i="6"/>
  <c r="Q50" i="6"/>
  <c r="P50" i="6"/>
  <c r="M50" i="6"/>
  <c r="Q49" i="6"/>
  <c r="P49" i="6"/>
  <c r="M49" i="6"/>
  <c r="Q48" i="6"/>
  <c r="P48" i="6"/>
  <c r="M48" i="6"/>
  <c r="Q47" i="6"/>
  <c r="P47" i="6"/>
  <c r="M47" i="6"/>
  <c r="Q46" i="6"/>
  <c r="P46" i="6"/>
  <c r="M46" i="6"/>
  <c r="Q45" i="6"/>
  <c r="P45" i="6"/>
  <c r="M45" i="6"/>
  <c r="Q44" i="6"/>
  <c r="P44" i="6"/>
  <c r="M44" i="6"/>
  <c r="Q43" i="6"/>
  <c r="P43" i="6"/>
  <c r="M43" i="6"/>
  <c r="Q42" i="6"/>
  <c r="P42" i="6"/>
  <c r="M42" i="6"/>
  <c r="Q41" i="6"/>
  <c r="P41" i="6"/>
  <c r="M41" i="6"/>
  <c r="Q40" i="6"/>
  <c r="P40" i="6"/>
  <c r="M40" i="6"/>
  <c r="Q39" i="6"/>
  <c r="P39" i="6"/>
  <c r="M39" i="6"/>
  <c r="Q38" i="6"/>
  <c r="P38" i="6"/>
  <c r="M38" i="6"/>
  <c r="Q37" i="6"/>
  <c r="P37" i="6"/>
  <c r="M37" i="6"/>
  <c r="Q36" i="6"/>
  <c r="P36" i="6"/>
  <c r="M36" i="6"/>
  <c r="Q35" i="6"/>
  <c r="P35" i="6"/>
  <c r="M35" i="6"/>
  <c r="Q34" i="6"/>
  <c r="P34" i="6"/>
  <c r="M34" i="6"/>
  <c r="Q33" i="6"/>
  <c r="P33" i="6"/>
  <c r="M33" i="6"/>
  <c r="Q32" i="6"/>
  <c r="P32" i="6"/>
  <c r="M32" i="6"/>
  <c r="Q31" i="6"/>
  <c r="P31" i="6"/>
  <c r="M31" i="6"/>
  <c r="Q30" i="6"/>
  <c r="P30" i="6"/>
  <c r="M30" i="6"/>
  <c r="Q29" i="6"/>
  <c r="P29" i="6"/>
  <c r="M29" i="6"/>
  <c r="Q28" i="6"/>
  <c r="P28" i="6"/>
  <c r="M28" i="6"/>
  <c r="Q27" i="6"/>
  <c r="P27" i="6"/>
  <c r="M27" i="6"/>
  <c r="Q26" i="6"/>
  <c r="P26" i="6"/>
  <c r="M26" i="6"/>
  <c r="Q25" i="6"/>
  <c r="P25" i="6"/>
  <c r="M25" i="6"/>
  <c r="Q24" i="6"/>
  <c r="P24" i="6"/>
  <c r="M24" i="6"/>
  <c r="Q23" i="6"/>
  <c r="P23" i="6"/>
  <c r="M23" i="6"/>
  <c r="Q22" i="6"/>
  <c r="P22" i="6"/>
  <c r="M22" i="6"/>
  <c r="Q21" i="6"/>
  <c r="P21" i="6"/>
  <c r="M21" i="6"/>
  <c r="Q20" i="6"/>
  <c r="P20" i="6"/>
  <c r="M20" i="6"/>
  <c r="Q19" i="6"/>
  <c r="P19" i="6"/>
  <c r="M19" i="6"/>
  <c r="Q18" i="6"/>
  <c r="P18" i="6"/>
  <c r="M18" i="6"/>
  <c r="Q17" i="6"/>
  <c r="P17" i="6"/>
  <c r="M17" i="6"/>
  <c r="Q16" i="6"/>
  <c r="P16" i="6"/>
  <c r="M16" i="6"/>
  <c r="Q15" i="6"/>
  <c r="P15" i="6"/>
  <c r="M15" i="6"/>
  <c r="Q14" i="6"/>
  <c r="P14" i="6"/>
  <c r="M14" i="6"/>
  <c r="Q13" i="6"/>
  <c r="P13" i="6"/>
  <c r="M13" i="6"/>
  <c r="Q12" i="6"/>
  <c r="P12" i="6"/>
  <c r="M12" i="6"/>
  <c r="Q11" i="6"/>
  <c r="P11" i="6"/>
  <c r="M11" i="6"/>
  <c r="Q10" i="6"/>
  <c r="P10" i="6"/>
  <c r="M10" i="6"/>
  <c r="Q9" i="6"/>
  <c r="P9" i="6"/>
  <c r="M9" i="6"/>
  <c r="Q8" i="6"/>
  <c r="P8" i="6"/>
  <c r="M8" i="6"/>
  <c r="Q7" i="6"/>
  <c r="P7" i="6"/>
  <c r="M7" i="6"/>
  <c r="Q6" i="6"/>
  <c r="P6" i="6"/>
  <c r="M6" i="6"/>
  <c r="Q5" i="6"/>
  <c r="P5" i="6"/>
  <c r="M5" i="6"/>
  <c r="Q4" i="6"/>
  <c r="P4" i="6"/>
  <c r="M4" i="6"/>
  <c r="P3" i="6"/>
  <c r="Q3" i="6" s="1"/>
  <c r="M3" i="6"/>
  <c r="P2" i="6"/>
  <c r="Q2" i="6" s="1"/>
  <c r="M2" i="6"/>
  <c r="P298" i="5"/>
  <c r="O298" i="5"/>
  <c r="K298" i="5"/>
  <c r="P297" i="5"/>
  <c r="O297" i="5"/>
  <c r="K297" i="5"/>
  <c r="P296" i="5"/>
  <c r="O296" i="5"/>
  <c r="K296" i="5"/>
  <c r="P295" i="5"/>
  <c r="O295" i="5"/>
  <c r="K295" i="5"/>
  <c r="P294" i="5"/>
  <c r="O294" i="5"/>
  <c r="K294" i="5"/>
  <c r="P293" i="5"/>
  <c r="O293" i="5"/>
  <c r="K293" i="5"/>
  <c r="P292" i="5"/>
  <c r="O292" i="5"/>
  <c r="K292" i="5"/>
  <c r="P291" i="5"/>
  <c r="O291" i="5"/>
  <c r="K291" i="5"/>
  <c r="P290" i="5"/>
  <c r="O290" i="5"/>
  <c r="K290" i="5"/>
  <c r="P289" i="5"/>
  <c r="O289" i="5"/>
  <c r="K289" i="5"/>
  <c r="P288" i="5"/>
  <c r="O288" i="5"/>
  <c r="K288" i="5"/>
  <c r="P287" i="5"/>
  <c r="O287" i="5"/>
  <c r="K287" i="5"/>
  <c r="P286" i="5"/>
  <c r="O286" i="5"/>
  <c r="K286" i="5"/>
  <c r="P285" i="5"/>
  <c r="O285" i="5"/>
  <c r="K285" i="5"/>
  <c r="P284" i="5"/>
  <c r="O284" i="5"/>
  <c r="K284" i="5"/>
  <c r="P283" i="5"/>
  <c r="O283" i="5"/>
  <c r="K283" i="5"/>
  <c r="P282" i="5"/>
  <c r="O282" i="5"/>
  <c r="K282" i="5"/>
  <c r="P281" i="5"/>
  <c r="O281" i="5"/>
  <c r="K281" i="5"/>
  <c r="P280" i="5"/>
  <c r="O280" i="5"/>
  <c r="K280" i="5"/>
  <c r="P279" i="5"/>
  <c r="O279" i="5"/>
  <c r="K279" i="5"/>
  <c r="P278" i="5"/>
  <c r="O278" i="5"/>
  <c r="K278" i="5"/>
  <c r="P277" i="5"/>
  <c r="O277" i="5"/>
  <c r="K277" i="5"/>
  <c r="P276" i="5"/>
  <c r="O276" i="5"/>
  <c r="K276" i="5"/>
  <c r="P275" i="5"/>
  <c r="O275" i="5"/>
  <c r="K275" i="5"/>
  <c r="P274" i="5"/>
  <c r="O274" i="5"/>
  <c r="K274" i="5"/>
  <c r="P273" i="5"/>
  <c r="O273" i="5"/>
  <c r="K273" i="5"/>
  <c r="P272" i="5"/>
  <c r="O272" i="5"/>
  <c r="K272" i="5"/>
  <c r="P271" i="5"/>
  <c r="O271" i="5"/>
  <c r="K271" i="5"/>
  <c r="P270" i="5"/>
  <c r="O270" i="5"/>
  <c r="K270" i="5"/>
  <c r="P269" i="5"/>
  <c r="O269" i="5"/>
  <c r="K269" i="5"/>
  <c r="P268" i="5"/>
  <c r="O268" i="5"/>
  <c r="K268" i="5"/>
  <c r="P267" i="5"/>
  <c r="O267" i="5"/>
  <c r="K267" i="5"/>
  <c r="P266" i="5"/>
  <c r="O266" i="5"/>
  <c r="K266" i="5"/>
  <c r="P265" i="5"/>
  <c r="O265" i="5"/>
  <c r="K265" i="5"/>
  <c r="P264" i="5"/>
  <c r="O264" i="5"/>
  <c r="K264" i="5"/>
  <c r="P263" i="5"/>
  <c r="O263" i="5"/>
  <c r="K263" i="5"/>
  <c r="P262" i="5"/>
  <c r="O262" i="5"/>
  <c r="K262" i="5"/>
  <c r="P261" i="5"/>
  <c r="O261" i="5"/>
  <c r="K261" i="5"/>
  <c r="P260" i="5"/>
  <c r="O260" i="5"/>
  <c r="K260" i="5"/>
  <c r="P259" i="5"/>
  <c r="O259" i="5"/>
  <c r="K259" i="5"/>
  <c r="P258" i="5"/>
  <c r="O258" i="5"/>
  <c r="K258" i="5"/>
  <c r="P257" i="5"/>
  <c r="O257" i="5"/>
  <c r="K257" i="5"/>
  <c r="P256" i="5"/>
  <c r="O256" i="5"/>
  <c r="K256" i="5"/>
  <c r="P255" i="5"/>
  <c r="O255" i="5"/>
  <c r="K255" i="5"/>
  <c r="P254" i="5"/>
  <c r="O254" i="5"/>
  <c r="K254" i="5"/>
  <c r="P253" i="5"/>
  <c r="O253" i="5"/>
  <c r="K253" i="5"/>
  <c r="P252" i="5"/>
  <c r="O252" i="5"/>
  <c r="K252" i="5"/>
  <c r="P251" i="5"/>
  <c r="O251" i="5"/>
  <c r="K251" i="5"/>
  <c r="P250" i="5"/>
  <c r="O250" i="5"/>
  <c r="K250" i="5"/>
  <c r="P249" i="5"/>
  <c r="O249" i="5"/>
  <c r="K249" i="5"/>
  <c r="P248" i="5"/>
  <c r="O248" i="5"/>
  <c r="K248" i="5"/>
  <c r="P247" i="5"/>
  <c r="O247" i="5"/>
  <c r="K247" i="5"/>
  <c r="P246" i="5"/>
  <c r="O246" i="5"/>
  <c r="K246" i="5"/>
  <c r="P245" i="5"/>
  <c r="O245" i="5"/>
  <c r="K245" i="5"/>
  <c r="P244" i="5"/>
  <c r="O244" i="5"/>
  <c r="K244" i="5"/>
  <c r="P243" i="5"/>
  <c r="O243" i="5"/>
  <c r="K243" i="5"/>
  <c r="P242" i="5"/>
  <c r="O242" i="5"/>
  <c r="K242" i="5"/>
  <c r="P241" i="5"/>
  <c r="O241" i="5"/>
  <c r="K241" i="5"/>
  <c r="P240" i="5"/>
  <c r="O240" i="5"/>
  <c r="K240" i="5"/>
  <c r="P239" i="5"/>
  <c r="O239" i="5"/>
  <c r="K239" i="5"/>
  <c r="P238" i="5"/>
  <c r="O238" i="5"/>
  <c r="K238" i="5"/>
  <c r="P237" i="5"/>
  <c r="O237" i="5"/>
  <c r="K237" i="5"/>
  <c r="P236" i="5"/>
  <c r="O236" i="5"/>
  <c r="K236" i="5"/>
  <c r="P235" i="5"/>
  <c r="O235" i="5"/>
  <c r="K235" i="5"/>
  <c r="P234" i="5"/>
  <c r="O234" i="5"/>
  <c r="K234" i="5"/>
  <c r="P233" i="5"/>
  <c r="O233" i="5"/>
  <c r="K233" i="5"/>
  <c r="P232" i="5"/>
  <c r="O232" i="5"/>
  <c r="K232" i="5"/>
  <c r="P231" i="5"/>
  <c r="O231" i="5"/>
  <c r="K231" i="5"/>
  <c r="P230" i="5"/>
  <c r="O230" i="5"/>
  <c r="K230" i="5"/>
  <c r="P229" i="5"/>
  <c r="O229" i="5"/>
  <c r="K229" i="5"/>
  <c r="P228" i="5"/>
  <c r="O228" i="5"/>
  <c r="K228" i="5"/>
  <c r="P227" i="5"/>
  <c r="O227" i="5"/>
  <c r="K227" i="5"/>
  <c r="P226" i="5"/>
  <c r="O226" i="5"/>
  <c r="K226" i="5"/>
  <c r="P225" i="5"/>
  <c r="O225" i="5"/>
  <c r="K225" i="5"/>
  <c r="P224" i="5"/>
  <c r="O224" i="5"/>
  <c r="K224" i="5"/>
  <c r="P223" i="5"/>
  <c r="O223" i="5"/>
  <c r="K223" i="5"/>
  <c r="P222" i="5"/>
  <c r="O222" i="5"/>
  <c r="K222" i="5"/>
  <c r="P221" i="5"/>
  <c r="O221" i="5"/>
  <c r="K221" i="5"/>
  <c r="P220" i="5"/>
  <c r="O220" i="5"/>
  <c r="K220" i="5"/>
  <c r="P219" i="5"/>
  <c r="O219" i="5"/>
  <c r="K219" i="5"/>
  <c r="P218" i="5"/>
  <c r="O218" i="5"/>
  <c r="K218" i="5"/>
  <c r="P217" i="5"/>
  <c r="O217" i="5"/>
  <c r="K217" i="5"/>
  <c r="P216" i="5"/>
  <c r="O216" i="5"/>
  <c r="K216" i="5"/>
  <c r="P215" i="5"/>
  <c r="O215" i="5"/>
  <c r="K215" i="5"/>
  <c r="P214" i="5"/>
  <c r="O214" i="5"/>
  <c r="K214" i="5"/>
  <c r="P213" i="5"/>
  <c r="O213" i="5"/>
  <c r="K213" i="5"/>
  <c r="P212" i="5"/>
  <c r="O212" i="5"/>
  <c r="K212" i="5"/>
  <c r="P211" i="5"/>
  <c r="O211" i="5"/>
  <c r="K211" i="5"/>
  <c r="P210" i="5"/>
  <c r="O210" i="5"/>
  <c r="K210" i="5"/>
  <c r="P209" i="5"/>
  <c r="O209" i="5"/>
  <c r="K209" i="5"/>
  <c r="P208" i="5"/>
  <c r="O208" i="5"/>
  <c r="K208" i="5"/>
  <c r="P207" i="5"/>
  <c r="O207" i="5"/>
  <c r="K207" i="5"/>
  <c r="P206" i="5"/>
  <c r="O206" i="5"/>
  <c r="K206" i="5"/>
  <c r="P205" i="5"/>
  <c r="O205" i="5"/>
  <c r="K205" i="5"/>
  <c r="P204" i="5"/>
  <c r="O204" i="5"/>
  <c r="K204" i="5"/>
  <c r="P203" i="5"/>
  <c r="O203" i="5"/>
  <c r="K203" i="5"/>
  <c r="P202" i="5"/>
  <c r="O202" i="5"/>
  <c r="K202" i="5"/>
  <c r="P201" i="5"/>
  <c r="O201" i="5"/>
  <c r="K201" i="5"/>
  <c r="P200" i="5"/>
  <c r="O200" i="5"/>
  <c r="K200" i="5"/>
  <c r="P199" i="5"/>
  <c r="O199" i="5"/>
  <c r="K199" i="5"/>
  <c r="P198" i="5"/>
  <c r="O198" i="5"/>
  <c r="K198" i="5"/>
  <c r="P197" i="5"/>
  <c r="O197" i="5"/>
  <c r="K197" i="5"/>
  <c r="P196" i="5"/>
  <c r="O196" i="5"/>
  <c r="K196" i="5"/>
  <c r="P195" i="5"/>
  <c r="O195" i="5"/>
  <c r="K195" i="5"/>
  <c r="P194" i="5"/>
  <c r="O194" i="5"/>
  <c r="K194" i="5"/>
  <c r="P193" i="5"/>
  <c r="O193" i="5"/>
  <c r="K193" i="5"/>
  <c r="P192" i="5"/>
  <c r="O192" i="5"/>
  <c r="K192" i="5"/>
  <c r="P191" i="5"/>
  <c r="O191" i="5"/>
  <c r="K191" i="5"/>
  <c r="P190" i="5"/>
  <c r="O190" i="5"/>
  <c r="K190" i="5"/>
  <c r="P189" i="5"/>
  <c r="O189" i="5"/>
  <c r="K189" i="5"/>
  <c r="P188" i="5"/>
  <c r="O188" i="5"/>
  <c r="K188" i="5"/>
  <c r="P187" i="5"/>
  <c r="O187" i="5"/>
  <c r="K187" i="5"/>
  <c r="P186" i="5"/>
  <c r="O186" i="5"/>
  <c r="K186" i="5"/>
  <c r="P185" i="5"/>
  <c r="O185" i="5"/>
  <c r="K185" i="5"/>
  <c r="P184" i="5"/>
  <c r="O184" i="5"/>
  <c r="K184" i="5"/>
  <c r="P183" i="5"/>
  <c r="O183" i="5"/>
  <c r="K183" i="5"/>
  <c r="P182" i="5"/>
  <c r="O182" i="5"/>
  <c r="K182" i="5"/>
  <c r="P181" i="5"/>
  <c r="O181" i="5"/>
  <c r="K181" i="5"/>
  <c r="P180" i="5"/>
  <c r="O180" i="5"/>
  <c r="K180" i="5"/>
  <c r="P179" i="5"/>
  <c r="O179" i="5"/>
  <c r="K179" i="5"/>
  <c r="P178" i="5"/>
  <c r="O178" i="5"/>
  <c r="K178" i="5"/>
  <c r="P177" i="5"/>
  <c r="O177" i="5"/>
  <c r="K177" i="5"/>
  <c r="P176" i="5"/>
  <c r="O176" i="5"/>
  <c r="K176" i="5"/>
  <c r="P175" i="5"/>
  <c r="O175" i="5"/>
  <c r="K175" i="5"/>
  <c r="P174" i="5"/>
  <c r="O174" i="5"/>
  <c r="K174" i="5"/>
  <c r="P173" i="5"/>
  <c r="O173" i="5"/>
  <c r="K173" i="5"/>
  <c r="P172" i="5"/>
  <c r="O172" i="5"/>
  <c r="K172" i="5"/>
  <c r="P171" i="5"/>
  <c r="O171" i="5"/>
  <c r="K171" i="5"/>
  <c r="P170" i="5"/>
  <c r="O170" i="5"/>
  <c r="K170" i="5"/>
  <c r="P169" i="5"/>
  <c r="O169" i="5"/>
  <c r="K169" i="5"/>
  <c r="P168" i="5"/>
  <c r="O168" i="5"/>
  <c r="K168" i="5"/>
  <c r="P167" i="5"/>
  <c r="O167" i="5"/>
  <c r="K167" i="5"/>
  <c r="P166" i="5"/>
  <c r="O166" i="5"/>
  <c r="K166" i="5"/>
  <c r="P165" i="5"/>
  <c r="O165" i="5"/>
  <c r="K165" i="5"/>
  <c r="P164" i="5"/>
  <c r="O164" i="5"/>
  <c r="K164" i="5"/>
  <c r="P163" i="5"/>
  <c r="O163" i="5"/>
  <c r="K163" i="5"/>
  <c r="P162" i="5"/>
  <c r="O162" i="5"/>
  <c r="K162" i="5"/>
  <c r="P161" i="5"/>
  <c r="O161" i="5"/>
  <c r="K161" i="5"/>
  <c r="P160" i="5"/>
  <c r="O160" i="5"/>
  <c r="K160" i="5"/>
  <c r="P159" i="5"/>
  <c r="O159" i="5"/>
  <c r="K159" i="5"/>
  <c r="P158" i="5"/>
  <c r="O158" i="5"/>
  <c r="K158" i="5"/>
  <c r="P157" i="5"/>
  <c r="O157" i="5"/>
  <c r="K157" i="5"/>
  <c r="P156" i="5"/>
  <c r="O156" i="5"/>
  <c r="K156" i="5"/>
  <c r="P155" i="5"/>
  <c r="O155" i="5"/>
  <c r="K155" i="5"/>
  <c r="P154" i="5"/>
  <c r="O154" i="5"/>
  <c r="K154" i="5"/>
  <c r="P153" i="5"/>
  <c r="O153" i="5"/>
  <c r="K153" i="5"/>
  <c r="P152" i="5"/>
  <c r="O152" i="5"/>
  <c r="K152" i="5"/>
  <c r="P151" i="5"/>
  <c r="O151" i="5"/>
  <c r="K151" i="5"/>
  <c r="P150" i="5"/>
  <c r="O150" i="5"/>
  <c r="K150" i="5"/>
  <c r="P149" i="5"/>
  <c r="O149" i="5"/>
  <c r="K149" i="5"/>
  <c r="P148" i="5"/>
  <c r="O148" i="5"/>
  <c r="K148" i="5"/>
  <c r="P147" i="5"/>
  <c r="O147" i="5"/>
  <c r="K147" i="5"/>
  <c r="P146" i="5"/>
  <c r="O146" i="5"/>
  <c r="K146" i="5"/>
  <c r="P145" i="5"/>
  <c r="O145" i="5"/>
  <c r="K145" i="5"/>
  <c r="P144" i="5"/>
  <c r="O144" i="5"/>
  <c r="K144" i="5"/>
  <c r="P143" i="5"/>
  <c r="O143" i="5"/>
  <c r="K143" i="5"/>
  <c r="P142" i="5"/>
  <c r="O142" i="5"/>
  <c r="K142" i="5"/>
  <c r="P141" i="5"/>
  <c r="O141" i="5"/>
  <c r="K141" i="5"/>
  <c r="P140" i="5"/>
  <c r="O140" i="5"/>
  <c r="K140" i="5"/>
  <c r="P139" i="5"/>
  <c r="O139" i="5"/>
  <c r="K139" i="5"/>
  <c r="P138" i="5"/>
  <c r="O138" i="5"/>
  <c r="K138" i="5"/>
  <c r="P137" i="5"/>
  <c r="O137" i="5"/>
  <c r="K137" i="5"/>
  <c r="P136" i="5"/>
  <c r="O136" i="5"/>
  <c r="K136" i="5"/>
  <c r="P135" i="5"/>
  <c r="O135" i="5"/>
  <c r="K135" i="5"/>
  <c r="P134" i="5"/>
  <c r="O134" i="5"/>
  <c r="K134" i="5"/>
  <c r="P133" i="5"/>
  <c r="O133" i="5"/>
  <c r="K133" i="5"/>
  <c r="P132" i="5"/>
  <c r="O132" i="5"/>
  <c r="K132" i="5"/>
  <c r="P131" i="5"/>
  <c r="O131" i="5"/>
  <c r="K131" i="5"/>
  <c r="P130" i="5"/>
  <c r="O130" i="5"/>
  <c r="K130" i="5"/>
  <c r="P129" i="5"/>
  <c r="O129" i="5"/>
  <c r="K129" i="5"/>
  <c r="P128" i="5"/>
  <c r="O128" i="5"/>
  <c r="K128" i="5"/>
  <c r="P127" i="5"/>
  <c r="O127" i="5"/>
  <c r="K127" i="5"/>
  <c r="P126" i="5"/>
  <c r="O126" i="5"/>
  <c r="K126" i="5"/>
  <c r="P125" i="5"/>
  <c r="O125" i="5"/>
  <c r="K125" i="5"/>
  <c r="P124" i="5"/>
  <c r="O124" i="5"/>
  <c r="K124" i="5"/>
  <c r="P123" i="5"/>
  <c r="O123" i="5"/>
  <c r="K123" i="5"/>
  <c r="P122" i="5"/>
  <c r="O122" i="5"/>
  <c r="K122" i="5"/>
  <c r="P121" i="5"/>
  <c r="O121" i="5"/>
  <c r="K121" i="5"/>
  <c r="P120" i="5"/>
  <c r="O120" i="5"/>
  <c r="K120" i="5"/>
  <c r="P119" i="5"/>
  <c r="O119" i="5"/>
  <c r="K119" i="5"/>
  <c r="P118" i="5"/>
  <c r="O118" i="5"/>
  <c r="K118" i="5"/>
  <c r="P117" i="5"/>
  <c r="O117" i="5"/>
  <c r="K117" i="5"/>
  <c r="P116" i="5"/>
  <c r="O116" i="5"/>
  <c r="K116" i="5"/>
  <c r="P115" i="5"/>
  <c r="O115" i="5"/>
  <c r="K115" i="5"/>
  <c r="P114" i="5"/>
  <c r="O114" i="5"/>
  <c r="K114" i="5"/>
  <c r="P113" i="5"/>
  <c r="O113" i="5"/>
  <c r="K113" i="5"/>
  <c r="P112" i="5"/>
  <c r="O112" i="5"/>
  <c r="K112" i="5"/>
  <c r="P111" i="5"/>
  <c r="O111" i="5"/>
  <c r="K111" i="5"/>
  <c r="P110" i="5"/>
  <c r="O110" i="5"/>
  <c r="K110" i="5"/>
  <c r="P109" i="5"/>
  <c r="O109" i="5"/>
  <c r="K109" i="5"/>
  <c r="P108" i="5"/>
  <c r="O108" i="5"/>
  <c r="K108" i="5"/>
  <c r="P107" i="5"/>
  <c r="O107" i="5"/>
  <c r="K107" i="5"/>
  <c r="P106" i="5"/>
  <c r="O106" i="5"/>
  <c r="K106" i="5"/>
  <c r="P105" i="5"/>
  <c r="O105" i="5"/>
  <c r="K105" i="5"/>
  <c r="P104" i="5"/>
  <c r="O104" i="5"/>
  <c r="K104" i="5"/>
  <c r="P103" i="5"/>
  <c r="O103" i="5"/>
  <c r="K103" i="5"/>
  <c r="P102" i="5"/>
  <c r="O102" i="5"/>
  <c r="K102" i="5"/>
  <c r="P101" i="5"/>
  <c r="O101" i="5"/>
  <c r="K101" i="5"/>
  <c r="P100" i="5"/>
  <c r="O100" i="5"/>
  <c r="K100" i="5"/>
  <c r="P99" i="5"/>
  <c r="O99" i="5"/>
  <c r="K99" i="5"/>
  <c r="P98" i="5"/>
  <c r="O98" i="5"/>
  <c r="K98" i="5"/>
  <c r="P97" i="5"/>
  <c r="O97" i="5"/>
  <c r="K97" i="5"/>
  <c r="P96" i="5"/>
  <c r="O96" i="5"/>
  <c r="K96" i="5"/>
  <c r="P95" i="5"/>
  <c r="O95" i="5"/>
  <c r="K95" i="5"/>
  <c r="P94" i="5"/>
  <c r="O94" i="5"/>
  <c r="K94" i="5"/>
  <c r="P93" i="5"/>
  <c r="O93" i="5"/>
  <c r="K93" i="5"/>
  <c r="P92" i="5"/>
  <c r="O92" i="5"/>
  <c r="K92" i="5"/>
  <c r="P91" i="5"/>
  <c r="O91" i="5"/>
  <c r="K91" i="5"/>
  <c r="P90" i="5"/>
  <c r="O90" i="5"/>
  <c r="K90" i="5"/>
  <c r="P89" i="5"/>
  <c r="O89" i="5"/>
  <c r="K89" i="5"/>
  <c r="P88" i="5"/>
  <c r="O88" i="5"/>
  <c r="K88" i="5"/>
  <c r="P87" i="5"/>
  <c r="O87" i="5"/>
  <c r="K87" i="5"/>
  <c r="P86" i="5"/>
  <c r="O86" i="5"/>
  <c r="K86" i="5"/>
  <c r="P85" i="5"/>
  <c r="O85" i="5"/>
  <c r="K85" i="5"/>
  <c r="P84" i="5"/>
  <c r="O84" i="5"/>
  <c r="K84" i="5"/>
  <c r="P83" i="5"/>
  <c r="O83" i="5"/>
  <c r="K83" i="5"/>
  <c r="P82" i="5"/>
  <c r="O82" i="5"/>
  <c r="K82" i="5"/>
  <c r="P81" i="5"/>
  <c r="O81" i="5"/>
  <c r="K81" i="5"/>
  <c r="P80" i="5"/>
  <c r="O80" i="5"/>
  <c r="K80" i="5"/>
  <c r="P79" i="5"/>
  <c r="O79" i="5"/>
  <c r="K79" i="5"/>
  <c r="P78" i="5"/>
  <c r="O78" i="5"/>
  <c r="K78" i="5"/>
  <c r="P77" i="5"/>
  <c r="O77" i="5"/>
  <c r="K77" i="5"/>
  <c r="P76" i="5"/>
  <c r="O76" i="5"/>
  <c r="K76" i="5"/>
  <c r="P75" i="5"/>
  <c r="O75" i="5"/>
  <c r="K75" i="5"/>
  <c r="P74" i="5"/>
  <c r="O74" i="5"/>
  <c r="K74" i="5"/>
  <c r="P73" i="5"/>
  <c r="O73" i="5"/>
  <c r="K73" i="5"/>
  <c r="P72" i="5"/>
  <c r="O72" i="5"/>
  <c r="K72" i="5"/>
  <c r="P71" i="5"/>
  <c r="O71" i="5"/>
  <c r="K71" i="5"/>
  <c r="P70" i="5"/>
  <c r="O70" i="5"/>
  <c r="K70" i="5"/>
  <c r="P69" i="5"/>
  <c r="O69" i="5"/>
  <c r="K69" i="5"/>
  <c r="P68" i="5"/>
  <c r="O68" i="5"/>
  <c r="K68" i="5"/>
  <c r="P67" i="5"/>
  <c r="O67" i="5"/>
  <c r="K67" i="5"/>
  <c r="P66" i="5"/>
  <c r="O66" i="5"/>
  <c r="K66" i="5"/>
  <c r="P65" i="5"/>
  <c r="O65" i="5"/>
  <c r="K65" i="5"/>
  <c r="P64" i="5"/>
  <c r="O64" i="5"/>
  <c r="K64" i="5"/>
  <c r="P63" i="5"/>
  <c r="O63" i="5"/>
  <c r="K63" i="5"/>
  <c r="P62" i="5"/>
  <c r="O62" i="5"/>
  <c r="K62" i="5"/>
  <c r="P61" i="5"/>
  <c r="O61" i="5"/>
  <c r="K61" i="5"/>
  <c r="P60" i="5"/>
  <c r="O60" i="5"/>
  <c r="K60" i="5"/>
  <c r="P59" i="5"/>
  <c r="O59" i="5"/>
  <c r="K59" i="5"/>
  <c r="P58" i="5"/>
  <c r="O58" i="5"/>
  <c r="K58" i="5"/>
  <c r="P57" i="5"/>
  <c r="O57" i="5"/>
  <c r="K57" i="5"/>
  <c r="P56" i="5"/>
  <c r="O56" i="5"/>
  <c r="K56" i="5"/>
  <c r="P55" i="5"/>
  <c r="O55" i="5"/>
  <c r="K55" i="5"/>
  <c r="P54" i="5"/>
  <c r="O54" i="5"/>
  <c r="K54" i="5"/>
  <c r="P53" i="5"/>
  <c r="O53" i="5"/>
  <c r="K53" i="5"/>
  <c r="P52" i="5"/>
  <c r="O52" i="5"/>
  <c r="K52" i="5"/>
  <c r="P51" i="5"/>
  <c r="O51" i="5"/>
  <c r="K51" i="5"/>
  <c r="P50" i="5"/>
  <c r="O50" i="5"/>
  <c r="K50" i="5"/>
  <c r="P49" i="5"/>
  <c r="O49" i="5"/>
  <c r="K49" i="5"/>
  <c r="P48" i="5"/>
  <c r="O48" i="5"/>
  <c r="K48" i="5"/>
  <c r="P47" i="5"/>
  <c r="O47" i="5"/>
  <c r="K47" i="5"/>
  <c r="P46" i="5"/>
  <c r="O46" i="5"/>
  <c r="K46" i="5"/>
  <c r="P45" i="5"/>
  <c r="O45" i="5"/>
  <c r="K45" i="5"/>
  <c r="P44" i="5"/>
  <c r="O44" i="5"/>
  <c r="K44" i="5"/>
  <c r="P43" i="5"/>
  <c r="O43" i="5"/>
  <c r="K43" i="5"/>
  <c r="P42" i="5"/>
  <c r="O42" i="5"/>
  <c r="K42" i="5"/>
  <c r="P41" i="5"/>
  <c r="O41" i="5"/>
  <c r="K41" i="5"/>
  <c r="P40" i="5"/>
  <c r="O40" i="5"/>
  <c r="K40" i="5"/>
  <c r="P39" i="5"/>
  <c r="O39" i="5"/>
  <c r="K39" i="5"/>
  <c r="P38" i="5"/>
  <c r="O38" i="5"/>
  <c r="K38" i="5"/>
  <c r="P37" i="5"/>
  <c r="O37" i="5"/>
  <c r="K37" i="5"/>
  <c r="P36" i="5"/>
  <c r="O36" i="5"/>
  <c r="K36" i="5"/>
  <c r="P35" i="5"/>
  <c r="O35" i="5"/>
  <c r="K35" i="5"/>
  <c r="P34" i="5"/>
  <c r="O34" i="5"/>
  <c r="K34" i="5"/>
  <c r="P33" i="5"/>
  <c r="O33" i="5"/>
  <c r="K33" i="5"/>
  <c r="P32" i="5"/>
  <c r="O32" i="5"/>
  <c r="K32" i="5"/>
  <c r="P31" i="5"/>
  <c r="O31" i="5"/>
  <c r="K31" i="5"/>
  <c r="P30" i="5"/>
  <c r="O30" i="5"/>
  <c r="K30" i="5"/>
  <c r="P29" i="5"/>
  <c r="O29" i="5"/>
  <c r="K29" i="5"/>
  <c r="P28" i="5"/>
  <c r="O28" i="5"/>
  <c r="K28" i="5"/>
  <c r="P27" i="5"/>
  <c r="O27" i="5"/>
  <c r="K27" i="5"/>
  <c r="P26" i="5"/>
  <c r="O26" i="5"/>
  <c r="K26" i="5"/>
  <c r="P25" i="5"/>
  <c r="O25" i="5"/>
  <c r="K25" i="5"/>
  <c r="P24" i="5"/>
  <c r="O24" i="5"/>
  <c r="K24" i="5"/>
  <c r="P23" i="5"/>
  <c r="O23" i="5"/>
  <c r="K23" i="5"/>
  <c r="P22" i="5"/>
  <c r="O22" i="5"/>
  <c r="K22" i="5"/>
  <c r="P21" i="5"/>
  <c r="O21" i="5"/>
  <c r="K21" i="5"/>
  <c r="P20" i="5"/>
  <c r="O20" i="5"/>
  <c r="K20" i="5"/>
  <c r="P19" i="5"/>
  <c r="O19" i="5"/>
  <c r="K19" i="5"/>
  <c r="P18" i="5"/>
  <c r="O18" i="5"/>
  <c r="K18" i="5"/>
  <c r="P17" i="5"/>
  <c r="O17" i="5"/>
  <c r="K17" i="5"/>
  <c r="P16" i="5"/>
  <c r="O16" i="5"/>
  <c r="K16" i="5"/>
  <c r="P15" i="5"/>
  <c r="O15" i="5"/>
  <c r="K15" i="5"/>
  <c r="P14" i="5"/>
  <c r="O14" i="5"/>
  <c r="K14" i="5"/>
  <c r="P13" i="5"/>
  <c r="O13" i="5"/>
  <c r="K13" i="5"/>
  <c r="O12" i="5"/>
  <c r="P12" i="5" s="1"/>
  <c r="K12" i="5"/>
  <c r="O11" i="5"/>
  <c r="P11" i="5" s="1"/>
  <c r="K11" i="5"/>
  <c r="O10" i="5"/>
  <c r="P10" i="5" s="1"/>
  <c r="K10" i="5"/>
  <c r="O9" i="5"/>
  <c r="P9" i="5" s="1"/>
  <c r="K9" i="5"/>
  <c r="O8" i="5"/>
  <c r="P8" i="5" s="1"/>
  <c r="K8" i="5"/>
  <c r="O7" i="5"/>
  <c r="P7" i="5" s="1"/>
  <c r="K7" i="5"/>
  <c r="O6" i="5"/>
  <c r="P6" i="5" s="1"/>
  <c r="K6" i="5"/>
  <c r="O5" i="5"/>
  <c r="P5" i="5" s="1"/>
  <c r="K5" i="5"/>
  <c r="O4" i="5"/>
  <c r="P4" i="5" s="1"/>
  <c r="K4" i="5"/>
  <c r="P3" i="5"/>
  <c r="O3" i="5"/>
  <c r="K3" i="5"/>
  <c r="O2" i="5"/>
  <c r="P2" i="5" s="1"/>
  <c r="K2" i="5"/>
  <c r="V298" i="4"/>
  <c r="U298" i="4"/>
  <c r="L298" i="4"/>
  <c r="K298" i="4"/>
  <c r="V297" i="4"/>
  <c r="U297" i="4"/>
  <c r="L297" i="4"/>
  <c r="K297" i="4"/>
  <c r="V296" i="4"/>
  <c r="U296" i="4"/>
  <c r="L296" i="4"/>
  <c r="K296" i="4"/>
  <c r="V295" i="4"/>
  <c r="U295" i="4"/>
  <c r="L295" i="4"/>
  <c r="K295" i="4"/>
  <c r="V294" i="4"/>
  <c r="U294" i="4"/>
  <c r="L294" i="4"/>
  <c r="K294" i="4"/>
  <c r="V293" i="4"/>
  <c r="U293" i="4"/>
  <c r="L293" i="4"/>
  <c r="K293" i="4"/>
  <c r="V292" i="4"/>
  <c r="U292" i="4"/>
  <c r="L292" i="4"/>
  <c r="K292" i="4"/>
  <c r="V291" i="4"/>
  <c r="U291" i="4"/>
  <c r="L291" i="4"/>
  <c r="K291" i="4"/>
  <c r="V290" i="4"/>
  <c r="U290" i="4"/>
  <c r="L290" i="4"/>
  <c r="K290" i="4"/>
  <c r="V289" i="4"/>
  <c r="U289" i="4"/>
  <c r="L289" i="4"/>
  <c r="K289" i="4"/>
  <c r="V288" i="4"/>
  <c r="U288" i="4"/>
  <c r="L288" i="4"/>
  <c r="K288" i="4"/>
  <c r="V287" i="4"/>
  <c r="U287" i="4"/>
  <c r="L287" i="4"/>
  <c r="K287" i="4"/>
  <c r="V286" i="4"/>
  <c r="U286" i="4"/>
  <c r="L286" i="4"/>
  <c r="K286" i="4"/>
  <c r="V285" i="4"/>
  <c r="U285" i="4"/>
  <c r="L285" i="4"/>
  <c r="K285" i="4"/>
  <c r="V284" i="4"/>
  <c r="U284" i="4"/>
  <c r="L284" i="4"/>
  <c r="K284" i="4"/>
  <c r="V283" i="4"/>
  <c r="U283" i="4"/>
  <c r="L283" i="4"/>
  <c r="K283" i="4"/>
  <c r="V282" i="4"/>
  <c r="U282" i="4"/>
  <c r="L282" i="4"/>
  <c r="K282" i="4"/>
  <c r="V281" i="4"/>
  <c r="U281" i="4"/>
  <c r="L281" i="4"/>
  <c r="K281" i="4"/>
  <c r="V280" i="4"/>
  <c r="U280" i="4"/>
  <c r="L280" i="4"/>
  <c r="K280" i="4"/>
  <c r="V279" i="4"/>
  <c r="U279" i="4"/>
  <c r="L279" i="4"/>
  <c r="K279" i="4"/>
  <c r="V278" i="4"/>
  <c r="U278" i="4"/>
  <c r="L278" i="4"/>
  <c r="K278" i="4"/>
  <c r="V277" i="4"/>
  <c r="U277" i="4"/>
  <c r="L277" i="4"/>
  <c r="K277" i="4"/>
  <c r="V276" i="4"/>
  <c r="U276" i="4"/>
  <c r="L276" i="4"/>
  <c r="K276" i="4"/>
  <c r="V275" i="4"/>
  <c r="U275" i="4"/>
  <c r="L275" i="4"/>
  <c r="K275" i="4"/>
  <c r="V274" i="4"/>
  <c r="U274" i="4"/>
  <c r="L274" i="4"/>
  <c r="K274" i="4"/>
  <c r="V273" i="4"/>
  <c r="U273" i="4"/>
  <c r="L273" i="4"/>
  <c r="K273" i="4"/>
  <c r="V272" i="4"/>
  <c r="U272" i="4"/>
  <c r="L272" i="4"/>
  <c r="K272" i="4"/>
  <c r="V271" i="4"/>
  <c r="U271" i="4"/>
  <c r="L271" i="4"/>
  <c r="K271" i="4"/>
  <c r="V270" i="4"/>
  <c r="U270" i="4"/>
  <c r="L270" i="4"/>
  <c r="K270" i="4"/>
  <c r="V269" i="4"/>
  <c r="U269" i="4"/>
  <c r="L269" i="4"/>
  <c r="K269" i="4"/>
  <c r="V268" i="4"/>
  <c r="U268" i="4"/>
  <c r="L268" i="4"/>
  <c r="K268" i="4"/>
  <c r="V267" i="4"/>
  <c r="U267" i="4"/>
  <c r="L267" i="4"/>
  <c r="K267" i="4"/>
  <c r="V266" i="4"/>
  <c r="U266" i="4"/>
  <c r="L266" i="4"/>
  <c r="K266" i="4"/>
  <c r="V265" i="4"/>
  <c r="U265" i="4"/>
  <c r="L265" i="4"/>
  <c r="K265" i="4"/>
  <c r="V264" i="4"/>
  <c r="U264" i="4"/>
  <c r="L264" i="4"/>
  <c r="K264" i="4"/>
  <c r="V263" i="4"/>
  <c r="U263" i="4"/>
  <c r="L263" i="4"/>
  <c r="K263" i="4"/>
  <c r="V262" i="4"/>
  <c r="U262" i="4"/>
  <c r="L262" i="4"/>
  <c r="K262" i="4"/>
  <c r="V261" i="4"/>
  <c r="U261" i="4"/>
  <c r="L261" i="4"/>
  <c r="K261" i="4"/>
  <c r="V260" i="4"/>
  <c r="U260" i="4"/>
  <c r="L260" i="4"/>
  <c r="K260" i="4"/>
  <c r="V259" i="4"/>
  <c r="U259" i="4"/>
  <c r="L259" i="4"/>
  <c r="K259" i="4"/>
  <c r="V258" i="4"/>
  <c r="U258" i="4"/>
  <c r="L258" i="4"/>
  <c r="K258" i="4"/>
  <c r="V257" i="4"/>
  <c r="U257" i="4"/>
  <c r="L257" i="4"/>
  <c r="K257" i="4"/>
  <c r="V256" i="4"/>
  <c r="U256" i="4"/>
  <c r="L256" i="4"/>
  <c r="K256" i="4"/>
  <c r="V255" i="4"/>
  <c r="U255" i="4"/>
  <c r="L255" i="4"/>
  <c r="K255" i="4"/>
  <c r="V254" i="4"/>
  <c r="U254" i="4"/>
  <c r="L254" i="4"/>
  <c r="K254" i="4"/>
  <c r="V253" i="4"/>
  <c r="U253" i="4"/>
  <c r="L253" i="4"/>
  <c r="K253" i="4"/>
  <c r="V252" i="4"/>
  <c r="U252" i="4"/>
  <c r="L252" i="4"/>
  <c r="K252" i="4"/>
  <c r="V251" i="4"/>
  <c r="U251" i="4"/>
  <c r="L251" i="4"/>
  <c r="K251" i="4"/>
  <c r="V250" i="4"/>
  <c r="U250" i="4"/>
  <c r="L250" i="4"/>
  <c r="K250" i="4"/>
  <c r="V249" i="4"/>
  <c r="U249" i="4"/>
  <c r="L249" i="4"/>
  <c r="K249" i="4"/>
  <c r="V248" i="4"/>
  <c r="U248" i="4"/>
  <c r="L248" i="4"/>
  <c r="K248" i="4"/>
  <c r="V247" i="4"/>
  <c r="U247" i="4"/>
  <c r="L247" i="4"/>
  <c r="K247" i="4"/>
  <c r="V246" i="4"/>
  <c r="U246" i="4"/>
  <c r="L246" i="4"/>
  <c r="K246" i="4"/>
  <c r="V245" i="4"/>
  <c r="U245" i="4"/>
  <c r="L245" i="4"/>
  <c r="K245" i="4"/>
  <c r="V244" i="4"/>
  <c r="U244" i="4"/>
  <c r="L244" i="4"/>
  <c r="K244" i="4"/>
  <c r="V243" i="4"/>
  <c r="U243" i="4"/>
  <c r="L243" i="4"/>
  <c r="K243" i="4"/>
  <c r="V242" i="4"/>
  <c r="U242" i="4"/>
  <c r="L242" i="4"/>
  <c r="K242" i="4"/>
  <c r="V241" i="4"/>
  <c r="U241" i="4"/>
  <c r="L241" i="4"/>
  <c r="K241" i="4"/>
  <c r="V240" i="4"/>
  <c r="U240" i="4"/>
  <c r="L240" i="4"/>
  <c r="K240" i="4"/>
  <c r="V239" i="4"/>
  <c r="U239" i="4"/>
  <c r="L239" i="4"/>
  <c r="K239" i="4"/>
  <c r="V238" i="4"/>
  <c r="U238" i="4"/>
  <c r="L238" i="4"/>
  <c r="K238" i="4"/>
  <c r="V237" i="4"/>
  <c r="U237" i="4"/>
  <c r="L237" i="4"/>
  <c r="K237" i="4"/>
  <c r="V236" i="4"/>
  <c r="U236" i="4"/>
  <c r="L236" i="4"/>
  <c r="K236" i="4"/>
  <c r="V235" i="4"/>
  <c r="U235" i="4"/>
  <c r="L235" i="4"/>
  <c r="K235" i="4"/>
  <c r="V234" i="4"/>
  <c r="U234" i="4"/>
  <c r="L234" i="4"/>
  <c r="K234" i="4"/>
  <c r="V233" i="4"/>
  <c r="U233" i="4"/>
  <c r="L233" i="4"/>
  <c r="K233" i="4"/>
  <c r="V232" i="4"/>
  <c r="U232" i="4"/>
  <c r="L232" i="4"/>
  <c r="K232" i="4"/>
  <c r="V231" i="4"/>
  <c r="U231" i="4"/>
  <c r="L231" i="4"/>
  <c r="K231" i="4"/>
  <c r="V230" i="4"/>
  <c r="U230" i="4"/>
  <c r="L230" i="4"/>
  <c r="K230" i="4"/>
  <c r="V229" i="4"/>
  <c r="U229" i="4"/>
  <c r="L229" i="4"/>
  <c r="K229" i="4"/>
  <c r="V228" i="4"/>
  <c r="U228" i="4"/>
  <c r="L228" i="4"/>
  <c r="K228" i="4"/>
  <c r="V227" i="4"/>
  <c r="U227" i="4"/>
  <c r="L227" i="4"/>
  <c r="K227" i="4"/>
  <c r="V226" i="4"/>
  <c r="U226" i="4"/>
  <c r="L226" i="4"/>
  <c r="K226" i="4"/>
  <c r="V225" i="4"/>
  <c r="U225" i="4"/>
  <c r="L225" i="4"/>
  <c r="K225" i="4"/>
  <c r="V224" i="4"/>
  <c r="U224" i="4"/>
  <c r="L224" i="4"/>
  <c r="K224" i="4"/>
  <c r="V223" i="4"/>
  <c r="U223" i="4"/>
  <c r="L223" i="4"/>
  <c r="K223" i="4"/>
  <c r="V222" i="4"/>
  <c r="U222" i="4"/>
  <c r="L222" i="4"/>
  <c r="K222" i="4"/>
  <c r="V221" i="4"/>
  <c r="U221" i="4"/>
  <c r="L221" i="4"/>
  <c r="K221" i="4"/>
  <c r="V220" i="4"/>
  <c r="U220" i="4"/>
  <c r="L220" i="4"/>
  <c r="K220" i="4"/>
  <c r="V219" i="4"/>
  <c r="U219" i="4"/>
  <c r="L219" i="4"/>
  <c r="K219" i="4"/>
  <c r="V218" i="4"/>
  <c r="U218" i="4"/>
  <c r="L218" i="4"/>
  <c r="K218" i="4"/>
  <c r="V217" i="4"/>
  <c r="U217" i="4"/>
  <c r="L217" i="4"/>
  <c r="K217" i="4"/>
  <c r="V216" i="4"/>
  <c r="U216" i="4"/>
  <c r="L216" i="4"/>
  <c r="K216" i="4"/>
  <c r="V215" i="4"/>
  <c r="U215" i="4"/>
  <c r="L215" i="4"/>
  <c r="K215" i="4"/>
  <c r="V214" i="4"/>
  <c r="U214" i="4"/>
  <c r="L214" i="4"/>
  <c r="K214" i="4"/>
  <c r="V213" i="4"/>
  <c r="U213" i="4"/>
  <c r="L213" i="4"/>
  <c r="K213" i="4"/>
  <c r="V212" i="4"/>
  <c r="U212" i="4"/>
  <c r="L212" i="4"/>
  <c r="K212" i="4"/>
  <c r="V211" i="4"/>
  <c r="U211" i="4"/>
  <c r="L211" i="4"/>
  <c r="K211" i="4"/>
  <c r="V210" i="4"/>
  <c r="U210" i="4"/>
  <c r="L210" i="4"/>
  <c r="K210" i="4"/>
  <c r="V209" i="4"/>
  <c r="U209" i="4"/>
  <c r="L209" i="4"/>
  <c r="K209" i="4"/>
  <c r="V208" i="4"/>
  <c r="U208" i="4"/>
  <c r="L208" i="4"/>
  <c r="K208" i="4"/>
  <c r="V207" i="4"/>
  <c r="U207" i="4"/>
  <c r="L207" i="4"/>
  <c r="K207" i="4"/>
  <c r="V206" i="4"/>
  <c r="U206" i="4"/>
  <c r="L206" i="4"/>
  <c r="K206" i="4"/>
  <c r="V205" i="4"/>
  <c r="U205" i="4"/>
  <c r="L205" i="4"/>
  <c r="K205" i="4"/>
  <c r="V204" i="4"/>
  <c r="U204" i="4"/>
  <c r="L204" i="4"/>
  <c r="K204" i="4"/>
  <c r="V203" i="4"/>
  <c r="U203" i="4"/>
  <c r="L203" i="4"/>
  <c r="K203" i="4"/>
  <c r="V202" i="4"/>
  <c r="U202" i="4"/>
  <c r="L202" i="4"/>
  <c r="K202" i="4"/>
  <c r="V201" i="4"/>
  <c r="U201" i="4"/>
  <c r="L201" i="4"/>
  <c r="K201" i="4"/>
  <c r="V200" i="4"/>
  <c r="U200" i="4"/>
  <c r="L200" i="4"/>
  <c r="K200" i="4"/>
  <c r="V199" i="4"/>
  <c r="U199" i="4"/>
  <c r="L199" i="4"/>
  <c r="K199" i="4"/>
  <c r="V198" i="4"/>
  <c r="U198" i="4"/>
  <c r="L198" i="4"/>
  <c r="K198" i="4"/>
  <c r="V197" i="4"/>
  <c r="U197" i="4"/>
  <c r="L197" i="4"/>
  <c r="K197" i="4"/>
  <c r="V196" i="4"/>
  <c r="U196" i="4"/>
  <c r="L196" i="4"/>
  <c r="K196" i="4"/>
  <c r="V195" i="4"/>
  <c r="U195" i="4"/>
  <c r="L195" i="4"/>
  <c r="K195" i="4"/>
  <c r="V194" i="4"/>
  <c r="U194" i="4"/>
  <c r="L194" i="4"/>
  <c r="K194" i="4"/>
  <c r="V193" i="4"/>
  <c r="U193" i="4"/>
  <c r="L193" i="4"/>
  <c r="K193" i="4"/>
  <c r="V192" i="4"/>
  <c r="U192" i="4"/>
  <c r="L192" i="4"/>
  <c r="K192" i="4"/>
  <c r="V191" i="4"/>
  <c r="U191" i="4"/>
  <c r="L191" i="4"/>
  <c r="K191" i="4"/>
  <c r="V190" i="4"/>
  <c r="U190" i="4"/>
  <c r="L190" i="4"/>
  <c r="K190" i="4"/>
  <c r="V189" i="4"/>
  <c r="U189" i="4"/>
  <c r="L189" i="4"/>
  <c r="K189" i="4"/>
  <c r="V188" i="4"/>
  <c r="U188" i="4"/>
  <c r="L188" i="4"/>
  <c r="K188" i="4"/>
  <c r="V187" i="4"/>
  <c r="U187" i="4"/>
  <c r="L187" i="4"/>
  <c r="K187" i="4"/>
  <c r="V186" i="4"/>
  <c r="U186" i="4"/>
  <c r="L186" i="4"/>
  <c r="K186" i="4"/>
  <c r="V185" i="4"/>
  <c r="U185" i="4"/>
  <c r="L185" i="4"/>
  <c r="K185" i="4"/>
  <c r="V184" i="4"/>
  <c r="U184" i="4"/>
  <c r="L184" i="4"/>
  <c r="K184" i="4"/>
  <c r="V183" i="4"/>
  <c r="U183" i="4"/>
  <c r="L183" i="4"/>
  <c r="K183" i="4"/>
  <c r="V182" i="4"/>
  <c r="U182" i="4"/>
  <c r="L182" i="4"/>
  <c r="K182" i="4"/>
  <c r="V181" i="4"/>
  <c r="U181" i="4"/>
  <c r="L181" i="4"/>
  <c r="K181" i="4"/>
  <c r="V180" i="4"/>
  <c r="U180" i="4"/>
  <c r="L180" i="4"/>
  <c r="K180" i="4"/>
  <c r="V179" i="4"/>
  <c r="U179" i="4"/>
  <c r="L179" i="4"/>
  <c r="K179" i="4"/>
  <c r="V178" i="4"/>
  <c r="U178" i="4"/>
  <c r="L178" i="4"/>
  <c r="K178" i="4"/>
  <c r="V177" i="4"/>
  <c r="U177" i="4"/>
  <c r="L177" i="4"/>
  <c r="K177" i="4"/>
  <c r="V176" i="4"/>
  <c r="U176" i="4"/>
  <c r="L176" i="4"/>
  <c r="K176" i="4"/>
  <c r="V175" i="4"/>
  <c r="U175" i="4"/>
  <c r="L175" i="4"/>
  <c r="K175" i="4"/>
  <c r="V174" i="4"/>
  <c r="U174" i="4"/>
  <c r="L174" i="4"/>
  <c r="K174" i="4"/>
  <c r="V173" i="4"/>
  <c r="U173" i="4"/>
  <c r="L173" i="4"/>
  <c r="K173" i="4"/>
  <c r="V172" i="4"/>
  <c r="U172" i="4"/>
  <c r="L172" i="4"/>
  <c r="K172" i="4"/>
  <c r="V171" i="4"/>
  <c r="U171" i="4"/>
  <c r="L171" i="4"/>
  <c r="K171" i="4"/>
  <c r="V170" i="4"/>
  <c r="U170" i="4"/>
  <c r="L170" i="4"/>
  <c r="K170" i="4"/>
  <c r="V169" i="4"/>
  <c r="U169" i="4"/>
  <c r="L169" i="4"/>
  <c r="K169" i="4"/>
  <c r="V168" i="4"/>
  <c r="U168" i="4"/>
  <c r="L168" i="4"/>
  <c r="K168" i="4"/>
  <c r="V167" i="4"/>
  <c r="U167" i="4"/>
  <c r="L167" i="4"/>
  <c r="K167" i="4"/>
  <c r="V166" i="4"/>
  <c r="U166" i="4"/>
  <c r="L166" i="4"/>
  <c r="K166" i="4"/>
  <c r="V165" i="4"/>
  <c r="U165" i="4"/>
  <c r="L165" i="4"/>
  <c r="K165" i="4"/>
  <c r="V164" i="4"/>
  <c r="U164" i="4"/>
  <c r="L164" i="4"/>
  <c r="K164" i="4"/>
  <c r="V163" i="4"/>
  <c r="U163" i="4"/>
  <c r="L163" i="4"/>
  <c r="K163" i="4"/>
  <c r="V162" i="4"/>
  <c r="U162" i="4"/>
  <c r="L162" i="4"/>
  <c r="K162" i="4"/>
  <c r="V161" i="4"/>
  <c r="U161" i="4"/>
  <c r="L161" i="4"/>
  <c r="K161" i="4"/>
  <c r="V160" i="4"/>
  <c r="U160" i="4"/>
  <c r="L160" i="4"/>
  <c r="K160" i="4"/>
  <c r="V159" i="4"/>
  <c r="U159" i="4"/>
  <c r="L159" i="4"/>
  <c r="K159" i="4"/>
  <c r="V158" i="4"/>
  <c r="U158" i="4"/>
  <c r="L158" i="4"/>
  <c r="K158" i="4"/>
  <c r="V157" i="4"/>
  <c r="U157" i="4"/>
  <c r="L157" i="4"/>
  <c r="K157" i="4"/>
  <c r="V156" i="4"/>
  <c r="U156" i="4"/>
  <c r="L156" i="4"/>
  <c r="K156" i="4"/>
  <c r="V155" i="4"/>
  <c r="U155" i="4"/>
  <c r="L155" i="4"/>
  <c r="K155" i="4"/>
  <c r="V154" i="4"/>
  <c r="U154" i="4"/>
  <c r="L154" i="4"/>
  <c r="K154" i="4"/>
  <c r="V153" i="4"/>
  <c r="U153" i="4"/>
  <c r="L153" i="4"/>
  <c r="K153" i="4"/>
  <c r="V152" i="4"/>
  <c r="U152" i="4"/>
  <c r="L152" i="4"/>
  <c r="K152" i="4"/>
  <c r="V151" i="4"/>
  <c r="U151" i="4"/>
  <c r="L151" i="4"/>
  <c r="K151" i="4"/>
  <c r="V150" i="4"/>
  <c r="U150" i="4"/>
  <c r="L150" i="4"/>
  <c r="K150" i="4"/>
  <c r="V149" i="4"/>
  <c r="U149" i="4"/>
  <c r="L149" i="4"/>
  <c r="K149" i="4"/>
  <c r="V148" i="4"/>
  <c r="U148" i="4"/>
  <c r="L148" i="4"/>
  <c r="K148" i="4"/>
  <c r="V147" i="4"/>
  <c r="U147" i="4"/>
  <c r="L147" i="4"/>
  <c r="K147" i="4"/>
  <c r="V146" i="4"/>
  <c r="U146" i="4"/>
  <c r="L146" i="4"/>
  <c r="K146" i="4"/>
  <c r="V145" i="4"/>
  <c r="U145" i="4"/>
  <c r="L145" i="4"/>
  <c r="K145" i="4"/>
  <c r="V144" i="4"/>
  <c r="U144" i="4"/>
  <c r="L144" i="4"/>
  <c r="K144" i="4"/>
  <c r="V143" i="4"/>
  <c r="U143" i="4"/>
  <c r="L143" i="4"/>
  <c r="K143" i="4"/>
  <c r="V142" i="4"/>
  <c r="U142" i="4"/>
  <c r="L142" i="4"/>
  <c r="K142" i="4"/>
  <c r="V141" i="4"/>
  <c r="U141" i="4"/>
  <c r="L141" i="4"/>
  <c r="K141" i="4"/>
  <c r="V140" i="4"/>
  <c r="U140" i="4"/>
  <c r="L140" i="4"/>
  <c r="K140" i="4"/>
  <c r="V139" i="4"/>
  <c r="U139" i="4"/>
  <c r="L139" i="4"/>
  <c r="K139" i="4"/>
  <c r="V138" i="4"/>
  <c r="U138" i="4"/>
  <c r="L138" i="4"/>
  <c r="K138" i="4"/>
  <c r="V137" i="4"/>
  <c r="U137" i="4"/>
  <c r="L137" i="4"/>
  <c r="K137" i="4"/>
  <c r="V136" i="4"/>
  <c r="U136" i="4"/>
  <c r="L136" i="4"/>
  <c r="K136" i="4"/>
  <c r="V135" i="4"/>
  <c r="U135" i="4"/>
  <c r="L135" i="4"/>
  <c r="K135" i="4"/>
  <c r="V134" i="4"/>
  <c r="U134" i="4"/>
  <c r="L134" i="4"/>
  <c r="K134" i="4"/>
  <c r="V133" i="4"/>
  <c r="U133" i="4"/>
  <c r="L133" i="4"/>
  <c r="K133" i="4"/>
  <c r="V132" i="4"/>
  <c r="U132" i="4"/>
  <c r="L132" i="4"/>
  <c r="K132" i="4"/>
  <c r="V131" i="4"/>
  <c r="U131" i="4"/>
  <c r="L131" i="4"/>
  <c r="K131" i="4"/>
  <c r="V130" i="4"/>
  <c r="U130" i="4"/>
  <c r="L130" i="4"/>
  <c r="K130" i="4"/>
  <c r="V129" i="4"/>
  <c r="U129" i="4"/>
  <c r="L129" i="4"/>
  <c r="K129" i="4"/>
  <c r="V128" i="4"/>
  <c r="U128" i="4"/>
  <c r="L128" i="4"/>
  <c r="K128" i="4"/>
  <c r="V127" i="4"/>
  <c r="U127" i="4"/>
  <c r="L127" i="4"/>
  <c r="K127" i="4"/>
  <c r="V126" i="4"/>
  <c r="U126" i="4"/>
  <c r="L126" i="4"/>
  <c r="K126" i="4"/>
  <c r="V125" i="4"/>
  <c r="U125" i="4"/>
  <c r="L125" i="4"/>
  <c r="K125" i="4"/>
  <c r="V124" i="4"/>
  <c r="U124" i="4"/>
  <c r="L124" i="4"/>
  <c r="K124" i="4"/>
  <c r="V123" i="4"/>
  <c r="U123" i="4"/>
  <c r="L123" i="4"/>
  <c r="K123" i="4"/>
  <c r="V122" i="4"/>
  <c r="U122" i="4"/>
  <c r="L122" i="4"/>
  <c r="K122" i="4"/>
  <c r="V121" i="4"/>
  <c r="U121" i="4"/>
  <c r="L121" i="4"/>
  <c r="K121" i="4"/>
  <c r="V120" i="4"/>
  <c r="U120" i="4"/>
  <c r="L120" i="4"/>
  <c r="K120" i="4"/>
  <c r="V119" i="4"/>
  <c r="U119" i="4"/>
  <c r="L119" i="4"/>
  <c r="K119" i="4"/>
  <c r="V118" i="4"/>
  <c r="U118" i="4"/>
  <c r="L118" i="4"/>
  <c r="K118" i="4"/>
  <c r="V117" i="4"/>
  <c r="U117" i="4"/>
  <c r="L117" i="4"/>
  <c r="K117" i="4"/>
  <c r="V116" i="4"/>
  <c r="U116" i="4"/>
  <c r="L116" i="4"/>
  <c r="K116" i="4"/>
  <c r="V115" i="4"/>
  <c r="U115" i="4"/>
  <c r="L115" i="4"/>
  <c r="K115" i="4"/>
  <c r="V114" i="4"/>
  <c r="U114" i="4"/>
  <c r="L114" i="4"/>
  <c r="K114" i="4"/>
  <c r="V113" i="4"/>
  <c r="U113" i="4"/>
  <c r="L113" i="4"/>
  <c r="K113" i="4"/>
  <c r="V112" i="4"/>
  <c r="U112" i="4"/>
  <c r="L112" i="4"/>
  <c r="K112" i="4"/>
  <c r="V111" i="4"/>
  <c r="U111" i="4"/>
  <c r="L111" i="4"/>
  <c r="K111" i="4"/>
  <c r="V110" i="4"/>
  <c r="U110" i="4"/>
  <c r="L110" i="4"/>
  <c r="K110" i="4"/>
  <c r="V109" i="4"/>
  <c r="U109" i="4"/>
  <c r="L109" i="4"/>
  <c r="K109" i="4"/>
  <c r="V108" i="4"/>
  <c r="U108" i="4"/>
  <c r="L108" i="4"/>
  <c r="K108" i="4"/>
  <c r="V107" i="4"/>
  <c r="U107" i="4"/>
  <c r="L107" i="4"/>
  <c r="K107" i="4"/>
  <c r="V106" i="4"/>
  <c r="U106" i="4"/>
  <c r="L106" i="4"/>
  <c r="K106" i="4"/>
  <c r="V105" i="4"/>
  <c r="U105" i="4"/>
  <c r="L105" i="4"/>
  <c r="K105" i="4"/>
  <c r="V104" i="4"/>
  <c r="U104" i="4"/>
  <c r="L104" i="4"/>
  <c r="K104" i="4"/>
  <c r="V103" i="4"/>
  <c r="U103" i="4"/>
  <c r="L103" i="4"/>
  <c r="K103" i="4"/>
  <c r="V102" i="4"/>
  <c r="U102" i="4"/>
  <c r="L102" i="4"/>
  <c r="K102" i="4"/>
  <c r="V101" i="4"/>
  <c r="U101" i="4"/>
  <c r="L101" i="4"/>
  <c r="K101" i="4"/>
  <c r="V100" i="4"/>
  <c r="U100" i="4"/>
  <c r="L100" i="4"/>
  <c r="K100" i="4"/>
  <c r="V99" i="4"/>
  <c r="U99" i="4"/>
  <c r="L99" i="4"/>
  <c r="K99" i="4"/>
  <c r="V98" i="4"/>
  <c r="U98" i="4"/>
  <c r="L98" i="4"/>
  <c r="K98" i="4"/>
  <c r="V97" i="4"/>
  <c r="U97" i="4"/>
  <c r="L97" i="4"/>
  <c r="K97" i="4"/>
  <c r="V96" i="4"/>
  <c r="U96" i="4"/>
  <c r="L96" i="4"/>
  <c r="K96" i="4"/>
  <c r="V95" i="4"/>
  <c r="U95" i="4"/>
  <c r="L95" i="4"/>
  <c r="K95" i="4"/>
  <c r="V94" i="4"/>
  <c r="U94" i="4"/>
  <c r="L94" i="4"/>
  <c r="K94" i="4"/>
  <c r="V93" i="4"/>
  <c r="U93" i="4"/>
  <c r="L93" i="4"/>
  <c r="K93" i="4"/>
  <c r="V92" i="4"/>
  <c r="U92" i="4"/>
  <c r="L92" i="4"/>
  <c r="K92" i="4"/>
  <c r="V91" i="4"/>
  <c r="U91" i="4"/>
  <c r="L91" i="4"/>
  <c r="K91" i="4"/>
  <c r="V90" i="4"/>
  <c r="U90" i="4"/>
  <c r="L90" i="4"/>
  <c r="K90" i="4"/>
  <c r="V89" i="4"/>
  <c r="U89" i="4"/>
  <c r="L89" i="4"/>
  <c r="K89" i="4"/>
  <c r="V88" i="4"/>
  <c r="U88" i="4"/>
  <c r="L88" i="4"/>
  <c r="K88" i="4"/>
  <c r="V87" i="4"/>
  <c r="U87" i="4"/>
  <c r="L87" i="4"/>
  <c r="K87" i="4"/>
  <c r="V86" i="4"/>
  <c r="U86" i="4"/>
  <c r="L86" i="4"/>
  <c r="K86" i="4"/>
  <c r="V85" i="4"/>
  <c r="U85" i="4"/>
  <c r="L85" i="4"/>
  <c r="K85" i="4"/>
  <c r="V84" i="4"/>
  <c r="U84" i="4"/>
  <c r="L84" i="4"/>
  <c r="K84" i="4"/>
  <c r="V83" i="4"/>
  <c r="U83" i="4"/>
  <c r="L83" i="4"/>
  <c r="K83" i="4"/>
  <c r="V82" i="4"/>
  <c r="U82" i="4"/>
  <c r="L82" i="4"/>
  <c r="K82" i="4"/>
  <c r="V81" i="4"/>
  <c r="U81" i="4"/>
  <c r="L81" i="4"/>
  <c r="K81" i="4"/>
  <c r="V80" i="4"/>
  <c r="U80" i="4"/>
  <c r="L80" i="4"/>
  <c r="K80" i="4"/>
  <c r="V79" i="4"/>
  <c r="U79" i="4"/>
  <c r="L79" i="4"/>
  <c r="K79" i="4"/>
  <c r="V78" i="4"/>
  <c r="U78" i="4"/>
  <c r="L78" i="4"/>
  <c r="K78" i="4"/>
  <c r="V77" i="4"/>
  <c r="U77" i="4"/>
  <c r="L77" i="4"/>
  <c r="K77" i="4"/>
  <c r="V76" i="4"/>
  <c r="U76" i="4"/>
  <c r="L76" i="4"/>
  <c r="K76" i="4"/>
  <c r="V75" i="4"/>
  <c r="U75" i="4"/>
  <c r="L75" i="4"/>
  <c r="K75" i="4"/>
  <c r="V74" i="4"/>
  <c r="U74" i="4"/>
  <c r="L74" i="4"/>
  <c r="K74" i="4"/>
  <c r="V73" i="4"/>
  <c r="U73" i="4"/>
  <c r="L73" i="4"/>
  <c r="K73" i="4"/>
  <c r="V72" i="4"/>
  <c r="U72" i="4"/>
  <c r="L72" i="4"/>
  <c r="K72" i="4"/>
  <c r="V71" i="4"/>
  <c r="U71" i="4"/>
  <c r="L71" i="4"/>
  <c r="K71" i="4"/>
  <c r="V70" i="4"/>
  <c r="U70" i="4"/>
  <c r="L70" i="4"/>
  <c r="K70" i="4"/>
  <c r="V69" i="4"/>
  <c r="U69" i="4"/>
  <c r="L69" i="4"/>
  <c r="K69" i="4"/>
  <c r="V68" i="4"/>
  <c r="U68" i="4"/>
  <c r="L68" i="4"/>
  <c r="K68" i="4"/>
  <c r="V67" i="4"/>
  <c r="U67" i="4"/>
  <c r="L67" i="4"/>
  <c r="K67" i="4"/>
  <c r="V66" i="4"/>
  <c r="U66" i="4"/>
  <c r="L66" i="4"/>
  <c r="K66" i="4"/>
  <c r="V65" i="4"/>
  <c r="U65" i="4"/>
  <c r="L65" i="4"/>
  <c r="K65" i="4"/>
  <c r="V64" i="4"/>
  <c r="U64" i="4"/>
  <c r="L64" i="4"/>
  <c r="K64" i="4"/>
  <c r="V63" i="4"/>
  <c r="U63" i="4"/>
  <c r="L63" i="4"/>
  <c r="K63" i="4"/>
  <c r="V62" i="4"/>
  <c r="U62" i="4"/>
  <c r="L62" i="4"/>
  <c r="K62" i="4"/>
  <c r="V61" i="4"/>
  <c r="U61" i="4"/>
  <c r="L61" i="4"/>
  <c r="K61" i="4"/>
  <c r="V60" i="4"/>
  <c r="U60" i="4"/>
  <c r="L60" i="4"/>
  <c r="K60" i="4"/>
  <c r="V59" i="4"/>
  <c r="U59" i="4"/>
  <c r="L59" i="4"/>
  <c r="K59" i="4"/>
  <c r="V58" i="4"/>
  <c r="U58" i="4"/>
  <c r="L58" i="4"/>
  <c r="K58" i="4"/>
  <c r="V57" i="4"/>
  <c r="U57" i="4"/>
  <c r="L57" i="4"/>
  <c r="K57" i="4"/>
  <c r="V56" i="4"/>
  <c r="U56" i="4"/>
  <c r="L56" i="4"/>
  <c r="K56" i="4"/>
  <c r="V55" i="4"/>
  <c r="U55" i="4"/>
  <c r="L55" i="4"/>
  <c r="K55" i="4"/>
  <c r="V54" i="4"/>
  <c r="U54" i="4"/>
  <c r="L54" i="4"/>
  <c r="K54" i="4"/>
  <c r="V53" i="4"/>
  <c r="U53" i="4"/>
  <c r="L53" i="4"/>
  <c r="K53" i="4"/>
  <c r="V52" i="4"/>
  <c r="U52" i="4"/>
  <c r="L52" i="4"/>
  <c r="K52" i="4"/>
  <c r="V51" i="4"/>
  <c r="U51" i="4"/>
  <c r="L51" i="4"/>
  <c r="K51" i="4"/>
  <c r="V50" i="4"/>
  <c r="U50" i="4"/>
  <c r="L50" i="4"/>
  <c r="K50" i="4"/>
  <c r="V49" i="4"/>
  <c r="U49" i="4"/>
  <c r="L49" i="4"/>
  <c r="K49" i="4"/>
  <c r="V48" i="4"/>
  <c r="U48" i="4"/>
  <c r="L48" i="4"/>
  <c r="K48" i="4"/>
  <c r="V47" i="4"/>
  <c r="U47" i="4"/>
  <c r="L47" i="4"/>
  <c r="K47" i="4"/>
  <c r="V46" i="4"/>
  <c r="U46" i="4"/>
  <c r="L46" i="4"/>
  <c r="K46" i="4"/>
  <c r="V45" i="4"/>
  <c r="U45" i="4"/>
  <c r="L45" i="4"/>
  <c r="K45" i="4"/>
  <c r="V44" i="4"/>
  <c r="U44" i="4"/>
  <c r="L44" i="4"/>
  <c r="K44" i="4"/>
  <c r="V43" i="4"/>
  <c r="U43" i="4"/>
  <c r="L43" i="4"/>
  <c r="K43" i="4"/>
  <c r="V42" i="4"/>
  <c r="U42" i="4"/>
  <c r="L42" i="4"/>
  <c r="K42" i="4"/>
  <c r="V41" i="4"/>
  <c r="U41" i="4"/>
  <c r="L41" i="4"/>
  <c r="K41" i="4"/>
  <c r="V40" i="4"/>
  <c r="U40" i="4"/>
  <c r="L40" i="4"/>
  <c r="K40" i="4"/>
  <c r="V39" i="4"/>
  <c r="U39" i="4"/>
  <c r="L39" i="4"/>
  <c r="K39" i="4"/>
  <c r="V38" i="4"/>
  <c r="U38" i="4"/>
  <c r="L38" i="4"/>
  <c r="K38" i="4"/>
  <c r="V37" i="4"/>
  <c r="U37" i="4"/>
  <c r="L37" i="4"/>
  <c r="K37" i="4"/>
  <c r="V36" i="4"/>
  <c r="U36" i="4"/>
  <c r="L36" i="4"/>
  <c r="K36" i="4"/>
  <c r="V35" i="4"/>
  <c r="U35" i="4"/>
  <c r="L35" i="4"/>
  <c r="K35" i="4"/>
  <c r="V34" i="4"/>
  <c r="U34" i="4"/>
  <c r="L34" i="4"/>
  <c r="K34" i="4"/>
  <c r="V33" i="4"/>
  <c r="U33" i="4"/>
  <c r="L33" i="4"/>
  <c r="K33" i="4"/>
  <c r="V32" i="4"/>
  <c r="U32" i="4"/>
  <c r="L32" i="4"/>
  <c r="K32" i="4"/>
  <c r="V31" i="4"/>
  <c r="U31" i="4"/>
  <c r="L31" i="4"/>
  <c r="K31" i="4"/>
  <c r="V30" i="4"/>
  <c r="U30" i="4"/>
  <c r="L30" i="4"/>
  <c r="K30" i="4"/>
  <c r="V29" i="4"/>
  <c r="U29" i="4"/>
  <c r="L29" i="4"/>
  <c r="K29" i="4"/>
  <c r="V28" i="4"/>
  <c r="U28" i="4"/>
  <c r="L28" i="4"/>
  <c r="K28" i="4"/>
  <c r="V27" i="4"/>
  <c r="U27" i="4"/>
  <c r="L27" i="4"/>
  <c r="K27" i="4"/>
  <c r="V26" i="4"/>
  <c r="U26" i="4"/>
  <c r="L26" i="4"/>
  <c r="K26" i="4"/>
  <c r="V25" i="4"/>
  <c r="U25" i="4"/>
  <c r="L25" i="4"/>
  <c r="K25" i="4"/>
  <c r="V24" i="4"/>
  <c r="U24" i="4"/>
  <c r="L24" i="4"/>
  <c r="K24" i="4"/>
  <c r="V23" i="4"/>
  <c r="U23" i="4"/>
  <c r="L23" i="4"/>
  <c r="K23" i="4"/>
  <c r="V22" i="4"/>
  <c r="U22" i="4"/>
  <c r="L22" i="4"/>
  <c r="K22" i="4"/>
  <c r="V21" i="4"/>
  <c r="U21" i="4"/>
  <c r="L21" i="4"/>
  <c r="K21" i="4"/>
  <c r="V20" i="4"/>
  <c r="U20" i="4"/>
  <c r="L20" i="4"/>
  <c r="K20" i="4"/>
  <c r="V19" i="4"/>
  <c r="U19" i="4"/>
  <c r="L19" i="4"/>
  <c r="K19" i="4"/>
  <c r="V18" i="4"/>
  <c r="U18" i="4"/>
  <c r="L18" i="4"/>
  <c r="K18" i="4"/>
  <c r="V17" i="4"/>
  <c r="U17" i="4"/>
  <c r="L17" i="4"/>
  <c r="K17" i="4"/>
  <c r="V16" i="4"/>
  <c r="U16" i="4"/>
  <c r="L16" i="4"/>
  <c r="K16" i="4"/>
  <c r="V15" i="4"/>
  <c r="U15" i="4"/>
  <c r="L15" i="4"/>
  <c r="K15" i="4"/>
  <c r="V14" i="4"/>
  <c r="U14" i="4"/>
  <c r="L14" i="4"/>
  <c r="K14" i="4"/>
  <c r="V13" i="4"/>
  <c r="U13" i="4"/>
  <c r="L13" i="4"/>
  <c r="K13" i="4"/>
  <c r="V12" i="4"/>
  <c r="U12" i="4"/>
  <c r="L12" i="4"/>
  <c r="K12" i="4"/>
  <c r="V11" i="4"/>
  <c r="U11" i="4"/>
  <c r="L11" i="4"/>
  <c r="K11" i="4"/>
  <c r="V10" i="4"/>
  <c r="U10" i="4"/>
  <c r="L10" i="4"/>
  <c r="K10" i="4"/>
  <c r="V9" i="4"/>
  <c r="U9" i="4"/>
  <c r="L9" i="4"/>
  <c r="K9" i="4"/>
  <c r="V8" i="4"/>
  <c r="U8" i="4"/>
  <c r="L8" i="4"/>
  <c r="K8" i="4"/>
  <c r="U7" i="4"/>
  <c r="L7" i="4"/>
  <c r="K7" i="4"/>
  <c r="U6" i="4"/>
  <c r="L6" i="4"/>
  <c r="K6" i="4"/>
  <c r="V6" i="4" s="1"/>
  <c r="U5" i="4"/>
  <c r="L5" i="4"/>
  <c r="K5" i="4"/>
  <c r="V5" i="4" s="1"/>
  <c r="U4" i="4"/>
  <c r="L4" i="4"/>
  <c r="K4" i="4"/>
  <c r="V4" i="4" s="1"/>
  <c r="U3" i="4"/>
  <c r="L3" i="4"/>
  <c r="K3" i="4"/>
  <c r="V3" i="4" s="1"/>
  <c r="U2" i="4"/>
  <c r="L2" i="4"/>
  <c r="K2" i="4"/>
  <c r="V2" i="4" s="1"/>
  <c r="C49" i="3"/>
  <c r="C48" i="3"/>
  <c r="C46" i="3"/>
  <c r="C44" i="3"/>
  <c r="C42" i="3"/>
  <c r="C34" i="3"/>
  <c r="C32" i="3"/>
  <c r="C31" i="3"/>
  <c r="C29" i="3"/>
  <c r="C26" i="3"/>
  <c r="C25" i="3"/>
  <c r="C23" i="3"/>
  <c r="C22" i="3"/>
  <c r="C21" i="3"/>
  <c r="C19" i="3"/>
  <c r="C18" i="3"/>
  <c r="C16" i="3"/>
  <c r="C15" i="3"/>
  <c r="C7" i="3"/>
  <c r="C6" i="3"/>
  <c r="C5" i="3"/>
  <c r="C30" i="1"/>
  <c r="C25" i="1"/>
  <c r="C26" i="1" s="1"/>
  <c r="C21" i="21"/>
  <c r="C55" i="3" l="1"/>
  <c r="C54" i="3"/>
  <c r="C52" i="3"/>
  <c r="V7" i="4"/>
  <c r="C51" i="3" s="1"/>
  <c r="C13" i="3"/>
  <c r="C12" i="3"/>
  <c r="C11" i="3"/>
  <c r="C56" i="3"/>
  <c r="C45" i="3"/>
  <c r="S3" i="17"/>
  <c r="C53" i="3"/>
  <c r="C58" i="3"/>
  <c r="X2" i="18"/>
  <c r="C57" i="3"/>
  <c r="Q3" i="17"/>
  <c r="C41" i="3"/>
  <c r="C40" i="3"/>
  <c r="C36" i="3"/>
  <c r="C38" i="3"/>
  <c r="C37" i="3"/>
</calcChain>
</file>

<file path=xl/sharedStrings.xml><?xml version="1.0" encoding="utf-8"?>
<sst xmlns="http://schemas.openxmlformats.org/spreadsheetml/2006/main" count="771" uniqueCount="580">
  <si>
    <t>PROJECT INFO</t>
  </si>
  <si>
    <t>The single source of truth for project identity. Dashboard, every log's header, and every Skill-drafted document pull from here — fill it in once per project.</t>
  </si>
  <si>
    <t>Project Name</t>
  </si>
  <si>
    <t>Norcross, GA</t>
  </si>
  <si>
    <t>Project Number</t>
  </si>
  <si>
    <t>#1517</t>
  </si>
  <si>
    <t>Job Number</t>
  </si>
  <si>
    <t>15170000GR</t>
  </si>
  <si>
    <t>Project Address</t>
  </si>
  <si>
    <t>4990 Jimmy Carter Blvd, Norcross, GA 30093</t>
  </si>
  <si>
    <t>AHJ / Jurisdiction</t>
  </si>
  <si>
    <t>Gwinnett County, GA; Norcross, GA</t>
  </si>
  <si>
    <t>Owner</t>
  </si>
  <si>
    <t>Lidl US Operations, LLC</t>
  </si>
  <si>
    <t>Owner Contact (name / email / phone)</t>
  </si>
  <si>
    <t>Jens Byer / jens.byer@lidl.us / 571-867-0856</t>
  </si>
  <si>
    <t>Architect / Design Firm</t>
  </si>
  <si>
    <t>Progressive Companies</t>
  </si>
  <si>
    <t>Architect Contact</t>
  </si>
  <si>
    <t>General Contractor</t>
  </si>
  <si>
    <t>Place Services, Inc</t>
  </si>
  <si>
    <t>GC Project Manager</t>
  </si>
  <si>
    <t>Bobby McTeague</t>
  </si>
  <si>
    <t>GC Superintendent</t>
  </si>
  <si>
    <t>Tim Mauldin</t>
  </si>
  <si>
    <t>Contract Type / Delivery Method</t>
  </si>
  <si>
    <t>Lump Sum</t>
  </si>
  <si>
    <t>Contract Date</t>
  </si>
  <si>
    <t>Notice to Proceed Date</t>
  </si>
  <si>
    <t>Substantial Completion Date (Contract)</t>
  </si>
  <si>
    <t>Original Contract Value ($)</t>
  </si>
  <si>
    <t>Approved Change Orders to Date ($)</t>
  </si>
  <si>
    <t>Current Contract Value ($)</t>
  </si>
  <si>
    <t>Prepared By</t>
  </si>
  <si>
    <t>Luis Marcelino</t>
  </si>
  <si>
    <t>Preparer Company</t>
  </si>
  <si>
    <t>Last Updated</t>
  </si>
  <si>
    <t>Cells shaded light gray are for manual entry. Approved Change Orders, Current Contract Value, and Last Updated are live formulas — don't type over them.</t>
  </si>
  <si>
    <t>PROJECT CONTROL TRACKER — HOW THIS WORKBOOK WORKS</t>
  </si>
  <si>
    <t>This is the shared tracker the Claude Skills in this pack read from and write to.</t>
  </si>
  <si>
    <t>TABS:</t>
  </si>
  <si>
    <t xml:space="preserve">  Project Info         Project identity — name, number, owner, contract dates, team, the</t>
  </si>
  <si>
    <t xml:space="preserve">                      preparer. Fill this in ONCE per project; everything else reads from it.</t>
  </si>
  <si>
    <t xml:space="preserve">  Dashboard          Live counts and totals pulled from every log below.</t>
  </si>
  <si>
    <t xml:space="preserve">  RFI Log            One row per RFI. Status/Days Open/Overdue calculate automatically;</t>
  </si>
  <si>
    <t xml:space="preserve">                      Void? flags a voided RFI, Revision # tracks reissues.</t>
  </si>
  <si>
    <t xml:space="preserve">  Submittal Log       One row per submittal package.</t>
  </si>
  <si>
    <t xml:space="preserve">  Change Order Log   GC -&gt; OWNER: PCO through to executed CO, linked back to RFIs/Claims.</t>
  </si>
  <si>
    <t xml:space="preserve">                      Trade(s) tags which trade(s) the cost/backup applies to.</t>
  </si>
  <si>
    <t xml:space="preserve">  Subcontractor CO Log SUB -&gt; GC: change orders a subcontractor submitted for your review,</t>
  </si>
  <si>
    <t xml:space="preserve">                      tracked against their Subcontract # and a running approved total per sub.</t>
  </si>
  <si>
    <t xml:space="preserve">                      Separate from the Change Order Log above — do not merge the two.</t>
  </si>
  <si>
    <t xml:space="preserve">  Claims Log          Tracks notice deadlines (defaults to AIA A201 21-day window — verify</t>
  </si>
  <si>
    <t xml:space="preserve">                      against YOUR executed contract).</t>
  </si>
  <si>
    <t xml:space="preserve">  Risk Register       Probability x Impact scoring, auto priority.</t>
  </si>
  <si>
    <t xml:space="preserve">  Daily Log           One row per working day.</t>
  </si>
  <si>
    <t xml:space="preserve">  Meeting Minutes Log One row per action item (a meeting = several rows).</t>
  </si>
  <si>
    <t xml:space="preserve">  Contract Review Log Clause-by-clause deviation tracking vs. your standard playbook.</t>
  </si>
  <si>
    <t xml:space="preserve">  Contract Milestones  Owner-contract dates (NTP, Substantial/Final Completion, etc.) with</t>
  </si>
  <si>
    <t xml:space="preserve">                      auto status: On Track / Due Soon / Missed / Met - On Time / Met - Late.</t>
  </si>
  <si>
    <t xml:space="preserve">  Schedule             INTERNAL USE ONLY — activity-level baseline vs. forecast tracking.</t>
  </si>
  <si>
    <t xml:space="preserve">                      Not pulled into the Owner Report; kept here for your own PM use.</t>
  </si>
  <si>
    <t xml:space="preserve">  3-Week Look-Ahead   A WEEKLY FEED you provide — paste/replace it each week. The Owner</t>
  </si>
  <si>
    <t xml:space="preserve">                      Report pulls it in as given; Claude doesn't generate or recalculate it.</t>
  </si>
  <si>
    <t xml:space="preserve">  Photo Log            Index of jobsite photos (image files live alongside this workbook;</t>
  </si>
  <si>
    <t xml:space="preserve">                      this tab just references them by name).</t>
  </si>
  <si>
    <t xml:space="preserve">  Permit Tracker       Every trade/permit needed, status through Applied/Under Review/In</t>
  </si>
  <si>
    <t xml:space="preserve">                      Hand, with an auto Flag (ACTION NEEDED / EXPIRING SOON). Use the</t>
  </si>
  <si>
    <t xml:space="preserve">                      Permit Skill to research what's actually required for your AHJ.</t>
  </si>
  <si>
    <t xml:space="preserve">  Material Tracker     Procurement log — one row per material/equipment order, status</t>
  </si>
  <si>
    <t xml:space="preserve">                      Not Ordered through Received, auto-flags OVERDUE deliveries, and</t>
  </si>
  <si>
    <t xml:space="preserve">                      carries Lead Time and Vendor Contact for the buyout/responsibility</t>
  </si>
  <si>
    <t xml:space="preserve">                      matrix.</t>
  </si>
  <si>
    <t xml:space="preserve">  Drawing Log           One row per sheet, a column per tracked revision (Bid -&gt; Addenda -&gt;</t>
  </si>
  <si>
    <t xml:space="preserve">                      Revisions -&gt; Award). Use the Drawing Management Skill for a full</t>
  </si>
  <si>
    <t xml:space="preserve">                      sheet-by-sheet comparison between two revisions.</t>
  </si>
  <si>
    <t xml:space="preserve">  Specification Log     One row per spec section. Set Spec Format / Edition once at the top</t>
  </si>
  <si>
    <t xml:space="preserve">                      (MasterFormat 1995 vs. 2004+ vs. UniFormat, etc. — the Specification</t>
  </si>
  <si>
    <t xml:space="preserve">                      Management Skill detects which one your spec book actually uses). Use it</t>
  </si>
  <si>
    <t xml:space="preserve">                      Management Skill to generate the Submittal Register straight from it.</t>
  </si>
  <si>
    <t xml:space="preserve">  Owner Contract Key    Retainage, payment terms, notice deadlines, closeout requirements,</t>
  </si>
  <si>
    <t xml:space="preserve">  Terms                and more, extracted from the actual executed contract by the Owner</t>
  </si>
  <si>
    <t xml:space="preserve">                      Contract Skill. NOT AIA-only — works from GMP, Design-Build, IPD,</t>
  </si>
  <si>
    <t xml:space="preserve">                      ConsensusDocs, EJCDC, or custom Lump Sum contracts too. Placeholder</t>
  </si>
  <si>
    <t xml:space="preserve">                      values shown are common reference points, not your contract's actual</t>
  </si>
  <si>
    <t xml:space="preserve">                      terms — CONFIRM every field against your executed contract.</t>
  </si>
  <si>
    <t>BACKUP DOCUMENTS:</t>
  </si>
  <si>
    <t xml:space="preserve">  RFI Log, Submittal Log, Change Order Log, Claims Log, Meeting Minutes Log, Contract</t>
  </si>
  <si>
    <t xml:space="preserve">  Review Log, Permit Tracker, and Material Tracker each have a 'Backup Documents' column</t>
  </si>
  <si>
    <t xml:space="preserve">  (file names, semicolon-separated) and most also have a 'Backup Required?' flag. Keep the</t>
  </si>
  <si>
    <t xml:space="preserve">  actual files in the same folder/Drive as this workbook. When a Skill drafts or logs an</t>
  </si>
  <si>
    <t xml:space="preserve">  item, it will list backup documents as available, note when they're contractually</t>
  </si>
  <si>
    <t xml:space="preserve">  required (cost backup on a CO, the permit itself once issued, cut sheets on a submittal,</t>
  </si>
  <si>
    <t xml:space="preserve">  etc.), and flag it plainly if something required is missing rather than leaving it blank.</t>
  </si>
  <si>
    <t>RUNNING MORE THAN ONE PROJECT:</t>
  </si>
  <si>
    <t xml:space="preserve">  One workbook = one project. Don't add a second project's rows into this file — copy this</t>
  </si>
  <si>
    <t xml:space="preserve">  template and make a new workbook instead. Name each file so it's unambiguous at a glance:</t>
  </si>
  <si>
    <t xml:space="preserve">     &lt;Project Number&gt;_&lt;Project Name&gt;_Project_Control_Tracker.xlsx</t>
  </si>
  <si>
    <t xml:space="preserve">     e.g. 3382_SpinJoy_Project_Control_Tracker.xlsx</t>
  </si>
  <si>
    <t xml:space="preserve">  Fill in the Project Info tab first in every new copy — it's what Claude reads to confirm</t>
  </si>
  <si>
    <t xml:space="preserve">  which project it's working on, and what every Skill puts in a drafted document's header.</t>
  </si>
  <si>
    <t xml:space="preserve">  If you paste several tracker files into one conversation or Project, or several projects'</t>
  </si>
  <si>
    <t xml:space="preserve">  files just live in the same folder Claude can see, always say which project a request is</t>
  </si>
  <si>
    <t xml:space="preserve">  for by name or number ('for 3382 SpinJoy, draft an RFI about...') — Claude should ask which</t>
  </si>
  <si>
    <t xml:space="preserve">  workbook to use if it's genuinely ambiguous rather than guessing, and should never merge</t>
  </si>
  <si>
    <t xml:space="preserve">  or cross-reference rows from two different projects' trackers into one document.</t>
  </si>
  <si>
    <t>HOW THE LOGS LINK TOGETHER:</t>
  </si>
  <si>
    <t xml:space="preserve">  - RFI Log 'Linked CO #' &lt;-&gt; Change Order Log 'Linked RFI #'</t>
  </si>
  <si>
    <t xml:space="preserve">  - Change Order Log 'Linked Claim #' &lt;-&gt; Claims Log 'Linked CO #'</t>
  </si>
  <si>
    <t xml:space="preserve">  - Risk Register 'Linked CO #' / 'Linked Claim #' point back to those logs</t>
  </si>
  <si>
    <t xml:space="preserve">  - Daily Log 'Linked RFI #(s)' / 'Linked Submittal #(s)' / 'Photo Ref #(s)' point forward</t>
  </si>
  <si>
    <t xml:space="preserve">  - Meeting Minutes 'Linked RFI/CO/Risk #' ties action items to the source item</t>
  </si>
  <si>
    <t xml:space="preserve">  - Photo Log 'Linked Daily Log Date' / 'Linked RFI/CO/Risk #' ties photos back to events</t>
  </si>
  <si>
    <t xml:space="preserve">  These are reference columns, not live formulas (item numbers are typed once, reused</t>
  </si>
  <si>
    <t xml:space="preserve">  everywhere) — this keeps the sheet fast and lets Claude cite exact numbers when it drafts.</t>
  </si>
  <si>
    <t>HOW TO USE WITH CLAUDE:</t>
  </si>
  <si>
    <t xml:space="preserve">  0. Fill in the Project Info tab first — Claude reads it to confirm which project it's</t>
  </si>
  <si>
    <t xml:space="preserve">     working on and to fill in headers (project name, number, owner, etc.) automatically</t>
  </si>
  <si>
    <t xml:space="preserve">     rather than asking you for them on every request.</t>
  </si>
  <si>
    <t xml:space="preserve">  1. Keep this workbook as your single source of truth (in Claude Project files, Google</t>
  </si>
  <si>
    <t xml:space="preserve">     Drive, or wherever your Skill's instructions point). Keep photo image files in the</t>
  </si>
  <si>
    <t xml:space="preserve">     same folder, named to match the Photo Log.</t>
  </si>
  <si>
    <t xml:space="preserve">  2. Load the matching Skill (e.g., 'RFI Skill') and ask Claude to draft a document.</t>
  </si>
  <si>
    <t xml:space="preserve">  3. Claude drafts the letter/notice/report AND gives you the exact new row to paste into</t>
  </si>
  <si>
    <t xml:space="preserve">     the matching log tab — so the tracker and the document never fall out of sync.</t>
  </si>
  <si>
    <t xml:space="preserve">  4. Re-upload the updated workbook next session (or keep it in a Project) so Claude's</t>
  </si>
  <si>
    <t xml:space="preserve">     status counts, notice-deadline checks, and cross-references stay accurate.</t>
  </si>
  <si>
    <t xml:space="preserve">  5. For the Weekly Owner Report specifically, use the Owner Report Skill — it pulls the FULL</t>
  </si>
  <si>
    <t xml:space="preserve">     status of every RFI, Submittal, Change Order/PCO, Permit, and Material/procurement item</t>
  </si>
  <si>
    <t xml:space="preserve">     (not just the problem ones), Contract Milestones (if the tab has rows), Risk Register,</t>
  </si>
  <si>
    <t xml:space="preserve">     Daily Log delays, the 3-Week Look-Ahead feed you provide, and Photo Log, into a</t>
  </si>
  <si>
    <t xml:space="preserve">     formatted Word document. The internal Schedule tab is deliberately NOT part of that</t>
  </si>
  <si>
    <t xml:space="preserve">     report.</t>
  </si>
  <si>
    <t xml:space="preserve">  6. For permits specifically, use the Permit Skill — it can research what permits a given</t>
  </si>
  <si>
    <t xml:space="preserve">     scope of work typically needs in your jurisdiction (always confirm with the AHJ</t>
  </si>
  <si>
    <t xml:space="preserve">     directly) and keeps the Permit Tracker in sync. For procurement, use the Material</t>
  </si>
  <si>
    <t xml:space="preserve">     Tracker Skill to log new orders and check status/overdue deliveries.</t>
  </si>
  <si>
    <t xml:space="preserve">  7. RFI, Submittal, Change Order, Claims, and Risk each generate a standalone Excel report</t>
  </si>
  <si>
    <t xml:space="preserve">     (all rows, regardless of status) on request — 'give me today's RFI report' / 'this</t>
  </si>
  <si>
    <t xml:space="preserve">     week's change order report'. These are separate files from the tracker itself, meant</t>
  </si>
  <si>
    <t xml:space="preserve">     to hand off to a distribution list.</t>
  </si>
  <si>
    <t xml:space="preserve">  8. For subcontractor-submitted change orders, use the Subcontractor CO Skill — it reviews</t>
  </si>
  <si>
    <t xml:space="preserve">     what a sub submitted against their subcontract, the drawings, and the specs before you</t>
  </si>
  <si>
    <t xml:space="preserve">     set a status, and keeps the Subcontractor CO Log in sync.</t>
  </si>
  <si>
    <t xml:space="preserve">  9. For the Owner Contract itself — summaries, redline review, milestone/retainage/payment</t>
  </si>
  <si>
    <t xml:space="preserve">     extraction, weekly deadline reminders — use the Owner Contract Skill. It populates the</t>
  </si>
  <si>
    <t xml:space="preserve">     Owner Contract Key Terms tab from your ACTUAL contract, not from AIA assumptions.</t>
  </si>
  <si>
    <t xml:space="preserve">  10. For subcontract scopes of work and reviewing a sub's redlines against Owner-contract</t>
  </si>
  <si>
    <t xml:space="preserve">     flow-down requirements, use the Subcontractor Contract Skill.</t>
  </si>
  <si>
    <t xml:space="preserve">  11. For drawing tracking and revision comparisons, use the Drawing Management Skill — it</t>
  </si>
  <si>
    <t xml:space="preserve">     keeps the Drawing Log in sync and can do a detailed sheet-by-sheet comparison between</t>
  </si>
  <si>
    <t xml:space="preserve">     two revisions when both are available.</t>
  </si>
  <si>
    <t xml:space="preserve">  12. For specifications — logging, the submittal register, closeout/procurement</t>
  </si>
  <si>
    <t xml:space="preserve">     requirements — use the Specification Management Skill.</t>
  </si>
  <si>
    <t xml:space="preserve">  13. For geotech reports, Phase I/II ESAs, and similar supporting documents, use the Other</t>
  </si>
  <si>
    <t xml:space="preserve">     Contract Documents Skill — it turns findings into Risk Register entries, subcontractor</t>
  </si>
  <si>
    <t xml:space="preserve">     awareness notes, and specific bid/subcontract exclusion language.</t>
  </si>
  <si>
    <t>Cells shaded light gray are for manual entry. Everything else is a live formula — don't</t>
  </si>
  <si>
    <t>type over white/formula cells or you'll break the calculation for that column.</t>
  </si>
  <si>
    <t>Delete the example (row 2) on every log tab before starting real project data.</t>
  </si>
  <si>
    <t>PROJECT CONTROL DASHBOARD</t>
  </si>
  <si>
    <t>Auto-calculated from every log below. Project identity is set once, on the Project Info tab.</t>
  </si>
  <si>
    <t>Project Name:</t>
  </si>
  <si>
    <t>Project Number:</t>
  </si>
  <si>
    <t>Report Date:</t>
  </si>
  <si>
    <t>RFIs</t>
  </si>
  <si>
    <t xml:space="preserve">  Open</t>
  </si>
  <si>
    <t xml:space="preserve">  Overdue</t>
  </si>
  <si>
    <t xml:space="preserve">  Closed</t>
  </si>
  <si>
    <t>Submittals</t>
  </si>
  <si>
    <t xml:space="preserve">  Pending / in review</t>
  </si>
  <si>
    <t xml:space="preserve">  Revise &amp; Resubmit</t>
  </si>
  <si>
    <t>Change Orders</t>
  </si>
  <si>
    <t xml:space="preserve">  Pending</t>
  </si>
  <si>
    <t xml:space="preserve">  Approved value ($)</t>
  </si>
  <si>
    <t>Subcontractor Change Orders</t>
  </si>
  <si>
    <t xml:space="preserve">  Under review</t>
  </si>
  <si>
    <t xml:space="preserve">  Rejected</t>
  </si>
  <si>
    <t>Claims</t>
  </si>
  <si>
    <t xml:space="preserve">  Late notice (non-compliant)</t>
  </si>
  <si>
    <t>Risk Register</t>
  </si>
  <si>
    <t xml:space="preserve">  High priority, open</t>
  </si>
  <si>
    <t xml:space="preserve">  Total open risks</t>
  </si>
  <si>
    <t>Action Items (Meeting Minutes)</t>
  </si>
  <si>
    <t>Contract Review</t>
  </si>
  <si>
    <t xml:space="preserve">  High-risk deviations, open</t>
  </si>
  <si>
    <t>Contract Milestones</t>
  </si>
  <si>
    <t xml:space="preserve">  Missed</t>
  </si>
  <si>
    <t xml:space="preserve">  Met late</t>
  </si>
  <si>
    <t xml:space="preserve">  Due soon (14 days)</t>
  </si>
  <si>
    <t>Permits</t>
  </si>
  <si>
    <t xml:space="preserve">  Action needed</t>
  </si>
  <si>
    <t xml:space="preserve">  Expiring soon (30 days)</t>
  </si>
  <si>
    <t xml:space="preserve">  Issued / in hand</t>
  </si>
  <si>
    <t>Procurement / Materials</t>
  </si>
  <si>
    <t xml:space="preserve">  Not ordered</t>
  </si>
  <si>
    <t xml:space="preserve">  Overdue deliveries</t>
  </si>
  <si>
    <t xml:space="preserve">  Received</t>
  </si>
  <si>
    <t>Schedule (internal use — not in Owner Report)</t>
  </si>
  <si>
    <t xml:space="preserve">  Activities delayed</t>
  </si>
  <si>
    <t xml:space="preserve">  Activities at risk</t>
  </si>
  <si>
    <t>Stale Items (no activity in 14+ days)</t>
  </si>
  <si>
    <t xml:space="preserve">  RFIs</t>
  </si>
  <si>
    <t xml:space="preserve">  Submittals</t>
  </si>
  <si>
    <t xml:space="preserve">  Change Orders</t>
  </si>
  <si>
    <t xml:space="preserve">  Subcontractor Change Orders</t>
  </si>
  <si>
    <t xml:space="preserve">  Claims</t>
  </si>
  <si>
    <t xml:space="preserve">  Risks</t>
  </si>
  <si>
    <t xml:space="preserve">  Permits</t>
  </si>
  <si>
    <t xml:space="preserve">  Materials</t>
  </si>
  <si>
    <t>RFI #</t>
  </si>
  <si>
    <t>Date Submitted</t>
  </si>
  <si>
    <t>Submitted By</t>
  </si>
  <si>
    <t>Subject</t>
  </si>
  <si>
    <t>Spec Section / Drawing Ref</t>
  </si>
  <si>
    <t>Question</t>
  </si>
  <si>
    <t>Assigned To</t>
  </si>
  <si>
    <t>Response Due Date</t>
  </si>
  <si>
    <t>Response</t>
  </si>
  <si>
    <t>Date Answered</t>
  </si>
  <si>
    <t>Status</t>
  </si>
  <si>
    <t>Days Open</t>
  </si>
  <si>
    <t>Cost Impact ($)</t>
  </si>
  <si>
    <t>Schedule Impact (days)</t>
  </si>
  <si>
    <t>Linked CO #</t>
  </si>
  <si>
    <t>Linked Submittal #</t>
  </si>
  <si>
    <t>Backup Documents</t>
  </si>
  <si>
    <t>Backup Required?</t>
  </si>
  <si>
    <t>Revision #</t>
  </si>
  <si>
    <t>Void?</t>
  </si>
  <si>
    <t>Last Activity Date</t>
  </si>
  <si>
    <t>Days Since Activity</t>
  </si>
  <si>
    <t>RFI-001</t>
  </si>
  <si>
    <t>Luis Marcelino, Place Services Inc.</t>
  </si>
  <si>
    <t>Civil CAD File - Waiver &amp; CAD Release (Lidl portal RFI #58)</t>
  </si>
  <si>
    <t>Civil plan set (CHA Project No. 20-LD-073); no sheet/spec # listed</t>
  </si>
  <si>
    <t>Can you provide the Waiver and CAD for the Civil plan for the Site Contractor to start working on his import?</t>
  </si>
  <si>
    <t>Christopher Manes, CHA Consulting, Inc.</t>
  </si>
  <si>
    <t>Sign the attached AutoCAD data release letter (dated 04/17/26) and return to C. Manes (CHA); CAD file to be provided upon receipt of signed letter. Portal status: Closed 08/26/26.</t>
  </si>
  <si>
    <t>AutoCAD data release letter_04.17.26.pdf (included in RFI portal export)</t>
  </si>
  <si>
    <t>No</t>
  </si>
  <si>
    <t>RFI-002</t>
  </si>
  <si>
    <t>Storm Structures - New vs. Existing (Lidl portal RFI #59)</t>
  </si>
  <si>
    <t>Civil storm drainage: STR15X, STR16X, STR17, STR18X (STR19X added in response); no sheet # listed</t>
  </si>
  <si>
    <t>Confirm STR15X (Junction Box), STR16X (Junction Box) and STR18X (Double Wing Catch Basin), and whether STR17 (not labeled "X" but has an existing pipe connected) is an existing structure to remain, to define scope without gaps/overlaps with suppliers.</t>
  </si>
  <si>
    <t>Jeff Belyea, CHA Consulting, Inc.</t>
  </si>
  <si>
    <t>Storm structures 15x, 16x, 17, and 19x are new structures to be set on the existing storm system. Storm structure 18x is an existing structure to remain. (J. Belyea, 04/08/26)</t>
  </si>
  <si>
    <t>RFI-003</t>
  </si>
  <si>
    <t>Storefront System - Kawneer vs. Schaal (Lidl portal RFI #60)</t>
  </si>
  <si>
    <t>Storefront system (BOD Kawneer; Schaal national account); no sheet/spec # listed</t>
  </si>
  <si>
    <t>BOD is Kawneer but Schaal is National Account. Are we able to use the Kawneer system?</t>
  </si>
  <si>
    <t>Progressive Companies - Shelley Chovan (also Gabriela Camarillo, Jenna Giha, Stacey Vroman)</t>
  </si>
  <si>
    <t>Schaal must be used. (S. Chovan, 04/20/26)</t>
  </si>
  <si>
    <t>RFI-004</t>
  </si>
  <si>
    <t>Arch + MEP CAD Release (Lidl portal RFI #61)</t>
  </si>
  <si>
    <t>Architectural and MEP drawings; no sheet # listed</t>
  </si>
  <si>
    <t>Can you please provide CAD for the Arch and MEPs?</t>
  </si>
  <si>
    <t>Progressive Companies - Amy Schoch (also Alex Hengstebeck, Gabriela Camarillo, Jenna Giha, Shelley Chovan, Stacey Vroman)</t>
  </si>
  <si>
    <t>CAD Release with PSI has been completed and CAD files were sent on 9/2/26. If the GC needs additional CAD files, send via email to the Progressive team and NOT an RFI. (A. Schoch, 09/08/26)</t>
  </si>
  <si>
    <t>Lidl Norcross GA - RFI 61 - Arch and MEP CAD Release_PC Response.pdf (included in RFI portal export)</t>
  </si>
  <si>
    <t>RFI-005</t>
  </si>
  <si>
    <t>HVAC - BMS Integration (Airius Destratification Fans) &amp; Fire/Smoke Dampers (Lidl portal RFI #62)</t>
  </si>
  <si>
    <t>HVAC / destratification fan schedule; mechanical drawings (no sheet # listed)</t>
  </si>
  <si>
    <t>1. Airius Destratification Fans: Airius advises BMS integration is not available with the basis-of-design model number - please advise. 2. Fire/Smoke Dampers: none shown on the drawings - are we to exclude?</t>
  </si>
  <si>
    <t>1. Provide destratification fans as called out in the schedule; fans to be set up for operation independent of BMS. 2. No fire/smoke dampers required; ducts are not penetrating any fire rated partitions. (J. Martinez Sabag, Mech. Eng. Designer, 09/11/26)</t>
  </si>
  <si>
    <t>Lidl Norcross GA - RFI 62 - HVAC - BMS Integration and Dampers_PC Response.pdf (included in RFI portal export)</t>
  </si>
  <si>
    <t>RFI-006</t>
  </si>
  <si>
    <t>Tucker Teague, Place Services Inc.</t>
  </si>
  <si>
    <t>Signal Plans Not Included in Authorized Plan Set (Lidl portal RFI #63)</t>
  </si>
  <si>
    <t>Traffic signal plans; Authorized plan set AUTHORIZED-EPN2024-00519 (Gwinnett County)</t>
  </si>
  <si>
    <t>Traffic Improvements Sub submitted signal plans to Gwinnett County; E. Diamond (County Traffic Mgmt Systems Engineer) advised they are not in the authorized plan set and has requested CHA coordinate directly with the County to resolve. Please have the appropriate CHA representative contact E. Diamond and provide required information/revised documentation.</t>
  </si>
  <si>
    <t>CHA Consulting, Inc. - Christopher Manes (also JaWanna English-Neal, Jeff Belyea, Todd Seldomridge)</t>
  </si>
  <si>
    <t>Final stamped plans from the County Traffic team were included in the Authorized plan set approved by Planning and Development. Authorized plans attached for reference; these are the documents to be used for construction. (C. Manes, 09/23/26; portal status Closed 09/28/26)</t>
  </si>
  <si>
    <t>#1517 Lidl Norcross, GA - Traffic Management Systems Engineer Contact Information.png; #1517 Lidl Norcross, GA - RFI - Signal Plans Not Included in Authorized Plan Set.pdf; AUTHORIZED-EPN2024-00519.pdf (response)</t>
  </si>
  <si>
    <t>Yes</t>
  </si>
  <si>
    <t>Legend: gray-filled columns are for manual entry. Status, Days Open auto-calculate — Status reads Void? first, then Closed/Overdue/Open. Revision # increments each time an RFI is reissued/revised (0 = original). Last Activity Date is the most recent of Date Submitted/Response Due/Date Answered; Days Since Activity flags in red at 14+ days on anything not Closed — this is what feeds the Dashboard's Stale Items section. Row 2 is an example — delete before use.</t>
  </si>
  <si>
    <t>Submittal #</t>
  </si>
  <si>
    <t>Spec Section</t>
  </si>
  <si>
    <t>Description</t>
  </si>
  <si>
    <t>Type</t>
  </si>
  <si>
    <t>Subcontractor</t>
  </si>
  <si>
    <t>Date Rec'd from Sub</t>
  </si>
  <si>
    <t>Date Sent to Architect</t>
  </si>
  <si>
    <t>Required Return Date</t>
  </si>
  <si>
    <t>Date Returned</t>
  </si>
  <si>
    <t>Days in Review</t>
  </si>
  <si>
    <t>Linked RFI #</t>
  </si>
  <si>
    <t>Legend: gray-filled columns are for manual entry. Days in Review auto-calculates. Last Activity Date / Days Since Activity feed the Dashboard's Stale Items section. Row 2 is an example — delete before use.</t>
  </si>
  <si>
    <t>PCO/CO #</t>
  </si>
  <si>
    <t>Date Initiated</t>
  </si>
  <si>
    <t>Source</t>
  </si>
  <si>
    <t>Trade(s)</t>
  </si>
  <si>
    <t>Linked Claim #</t>
  </si>
  <si>
    <t>Cost Amount ($)</t>
  </si>
  <si>
    <t>Date Submitted to Owner</t>
  </si>
  <si>
    <t>Date Approved (Owner CO)</t>
  </si>
  <si>
    <t>Running Approved Total ($)</t>
  </si>
  <si>
    <t>Bundled Into OCO #</t>
  </si>
  <si>
    <t>Running Approved Total sums col H where Status=Approved, in row order. Trade(s) tags which trade(s) the backup documents/cost breakdown apply to (comma-separated) — lets the weekly report and backup review group costs by trade. Last Activity Date / Days Since Activity feed the Dashboard's Stale Items section (blank once Approved/Rejected/Void). Bundled Into OCO # — a single Owner Change Order can combine multiple PCO rows (this is normal practice, e.g. bundling several CCDs into one OCO); tag every PCO row included in a given OCO with that OCO's number once it's issued for signature — use the Change Order Skill to build the actual signature-ready document. Row 2 is an example — delete before use.</t>
  </si>
  <si>
    <t>SCO Log #</t>
  </si>
  <si>
    <t>Subcontractor Name</t>
  </si>
  <si>
    <t>Subcontract #</t>
  </si>
  <si>
    <t>Amount Requested ($)</t>
  </si>
  <si>
    <t>Schedule Impact Requested (days)</t>
  </si>
  <si>
    <t>Related Owner PCO/CO #</t>
  </si>
  <si>
    <t>Related RFI #</t>
  </si>
  <si>
    <t>Validity Assessment</t>
  </si>
  <si>
    <t>Date Reviewed</t>
  </si>
  <si>
    <t>Reviewed By</t>
  </si>
  <si>
    <t>Approved Amount ($)</t>
  </si>
  <si>
    <t>Running Approved Total — This Sub ($)</t>
  </si>
  <si>
    <t>This log is GC review of costs a SUBCONTRACTOR submitted — separate from the Change Order Log above (which tracks the GC's own PCOs/COs to the Owner). Validity Assessment is where the review against the subcontract, drawings, and specs gets recorded before a status is set. Running Approved Total is per-subcontractor (tracks against their original Subcontract # value) — a formula, never type over column O. Row 2 is an example — delete before use.</t>
  </si>
  <si>
    <t>Claim #</t>
  </si>
  <si>
    <t>Date of Occurrence</t>
  </si>
  <si>
    <t>Notice Date</t>
  </si>
  <si>
    <t>Days to Notice</t>
  </si>
  <si>
    <t>Contract Notice Deadline (days)</t>
  </si>
  <si>
    <t>Notice Compliant?</t>
  </si>
  <si>
    <t>Cost Claimed ($)</t>
  </si>
  <si>
    <t>Time Claimed (days)</t>
  </si>
  <si>
    <t>Resolution</t>
  </si>
  <si>
    <t>AIA A201-2017 §15.1.3: written notice of claim generally due within 21 days of the event. Confirm the actual deadline in your executed contract/exhibits before relying on this. Last Activity Date / Days Since Activity feed the Dashboard's Stale Items section. Row 2 is an example.</t>
  </si>
  <si>
    <t>Risk ID</t>
  </si>
  <si>
    <t>Date Identified</t>
  </si>
  <si>
    <t>Category</t>
  </si>
  <si>
    <t>Probability (1-5)</t>
  </si>
  <si>
    <t>Impact (1-5)</t>
  </si>
  <si>
    <t>Risk Score</t>
  </si>
  <si>
    <t>Priority</t>
  </si>
  <si>
    <t>Mitigation Plan</t>
  </si>
  <si>
    <t>Days Since Update</t>
  </si>
  <si>
    <t>Risk Score = Probability x Impact (1-5 scale each). Last Updated is MANUAL — update it yourself whenever you touch a risk (there's no second date field to compute this from automatically); Days Since Update feeds the Dashboard's Stale Items section. Row 2 is an example — delete before use.</t>
  </si>
  <si>
    <t>Date</t>
  </si>
  <si>
    <t>Weather</t>
  </si>
  <si>
    <t>Temp (F)</t>
  </si>
  <si>
    <t>Crew Count</t>
  </si>
  <si>
    <t>Subs on Site</t>
  </si>
  <si>
    <t>Work Performed</t>
  </si>
  <si>
    <t>Equipment on Site</t>
  </si>
  <si>
    <t>Deliveries</t>
  </si>
  <si>
    <t>Visitors</t>
  </si>
  <si>
    <t>Safety Incidents</t>
  </si>
  <si>
    <t>Delays / Issues</t>
  </si>
  <si>
    <t>Linked RFI #(s)</t>
  </si>
  <si>
    <t>Linked Submittal #(s)</t>
  </si>
  <si>
    <t>Photo Ref #(s)</t>
  </si>
  <si>
    <t>One row per working day. Row 2 is an example — delete before use.</t>
  </si>
  <si>
    <t>Meeting #</t>
  </si>
  <si>
    <t>Attendees</t>
  </si>
  <si>
    <t>Key Discussion Point</t>
  </si>
  <si>
    <t>Action Item</t>
  </si>
  <si>
    <t>Responsible Party</t>
  </si>
  <si>
    <t>Due Date</t>
  </si>
  <si>
    <t>Linked RFI/CO/Risk #</t>
  </si>
  <si>
    <t>One row per discussion point / action item (a single meeting spans several rows). Row 2 is an example.</t>
  </si>
  <si>
    <t>Item #</t>
  </si>
  <si>
    <t>Contract / Subcontract</t>
  </si>
  <si>
    <t>Clause Ref</t>
  </si>
  <si>
    <t>Standard Position (Playbook)</t>
  </si>
  <si>
    <t>Actual Clause (Summary)</t>
  </si>
  <si>
    <t>Deviation?</t>
  </si>
  <si>
    <t>Risk Level</t>
  </si>
  <si>
    <t>Recommended Redline</t>
  </si>
  <si>
    <t>One row per clause reviewed against your standard playbook position. Row 2 is an example — delete before use.</t>
  </si>
  <si>
    <t>Activity / Milestone</t>
  </si>
  <si>
    <t>Baseline Start</t>
  </si>
  <si>
    <t>Baseline Finish</t>
  </si>
  <si>
    <t>Forecast Start</t>
  </si>
  <si>
    <t>Forecast Finish</t>
  </si>
  <si>
    <t>% Complete</t>
  </si>
  <si>
    <t>Variance (days)</t>
  </si>
  <si>
    <t>Critical Path?</t>
  </si>
  <si>
    <t>Responsible</t>
  </si>
  <si>
    <t>Notes</t>
  </si>
  <si>
    <t>Variance = Forecast Finish - Baseline Finish. Status: &gt;5 days late = Delayed, 1-5 = At Risk, 0 or ahead = On Track. Row 2 is an example — delete before use.</t>
  </si>
  <si>
    <t>Milestone</t>
  </si>
  <si>
    <t>Contract / Target Date</t>
  </si>
  <si>
    <t>Actual / Forecast Date</t>
  </si>
  <si>
    <t>Status: filled Actual/Forecast Date compares to Target (On Time / Late); no date yet compares Target to today (On Track / Due Soon within 14 days / Missed). These are the owner-contract dates (Substantial Completion, etc.) — distinct from the internal Schedule tab's activity-level forecasting. Rows 2-5 are examples — delete before use, and leave a milestone's row blank entirely if your contract doesn't set that date.</t>
  </si>
  <si>
    <t>Week</t>
  </si>
  <si>
    <t>Week Starting</t>
  </si>
  <si>
    <t>Activity</t>
  </si>
  <si>
    <t>Location / Area</t>
  </si>
  <si>
    <t>Responsible (Sub)</t>
  </si>
  <si>
    <t>Predecessor / Constraint</t>
  </si>
  <si>
    <t>This tab is a WEEKLY FEED you provide — paste/replace it each week rather than having Claude generate or recalculate it. Rolling 3-week window: drop week 1 as it completes and add a new week 3. Rows 2-5 are examples — delete before use.</t>
  </si>
  <si>
    <t>Photo Ref #</t>
  </si>
  <si>
    <t>Date Taken</t>
  </si>
  <si>
    <t>Area / Location</t>
  </si>
  <si>
    <t>Linked Daily Log Date</t>
  </si>
  <si>
    <t>File Name</t>
  </si>
  <si>
    <t>Include in Next Owner Report?</t>
  </si>
  <si>
    <t>Index of jobsite photos. Keep the actual image files in the same folder/Drive as this workbook, named to match File Name. Row 2 is an example — delete before use.</t>
  </si>
  <si>
    <t>Project:</t>
  </si>
  <si>
    <t>Total Trades</t>
  </si>
  <si>
    <t>Issued / In Hand</t>
  </si>
  <si>
    <t>AHJ / Jurisdiction:</t>
  </si>
  <si>
    <t>Action Needed</t>
  </si>
  <si>
    <t>Expiring Soon</t>
  </si>
  <si>
    <t>Trade / Permit Type</t>
  </si>
  <si>
    <t>Permit Required?</t>
  </si>
  <si>
    <t>Permit Number</t>
  </si>
  <si>
    <t>Application Date</t>
  </si>
  <si>
    <t>Approval / Issue Date</t>
  </si>
  <si>
    <t>Expiration Date</t>
  </si>
  <si>
    <t>Notes / Next Action</t>
  </si>
  <si>
    <t>Flag</t>
  </si>
  <si>
    <t>Flag auto-computes: ACTION NEEDED if Required=Yes and not yet Applied, or if Rejected/Expired; EXPIRING SOON if In Hand and Expiration Date is within 30 days. Last Activity Date / Days Since Activity (blank once In Hand or Rejected) feed the Dashboard's Stale Items section. Row 6 is an example — delete before use. Research permit requirements for your jurisdiction and work scope with the Permit Skill before assuming this list is complete.</t>
  </si>
  <si>
    <t>Total Materials</t>
  </si>
  <si>
    <t>Overdue Deliveries</t>
  </si>
  <si>
    <t>Job Number:</t>
  </si>
  <si>
    <t>Not Ordered</t>
  </si>
  <si>
    <t>Received</t>
  </si>
  <si>
    <t>Material #</t>
  </si>
  <si>
    <t>Supplier / Vendor</t>
  </si>
  <si>
    <t>Responsible Person</t>
  </si>
  <si>
    <t>Order Status</t>
  </si>
  <si>
    <t>PO / Order #</t>
  </si>
  <si>
    <t>Date Ordered</t>
  </si>
  <si>
    <t>Expected Delivery</t>
  </si>
  <si>
    <t>Date Received</t>
  </si>
  <si>
    <t>Lead Time (days)</t>
  </si>
  <si>
    <t>Vendor Contact</t>
  </si>
  <si>
    <t>Flag auto-computes OVERDUE when Expected Delivery has passed with no Date Received and Status isn't Cancelled. Material # is a simple sequential ID for cross-referencing (e.g. from Submittal Log). Lead Time and Vendor Contact support the procurement responsibility matrix and cadence reports. Last Activity Date / Days Since Activity feed the Dashboard's Stale Items section. Row 6 is an example — delete before use.</t>
  </si>
  <si>
    <t>Drawing #</t>
  </si>
  <si>
    <t>Drawing Description</t>
  </si>
  <si>
    <t>Discipline</t>
  </si>
  <si>
    <t>Rev 0 (Date — What Changed)</t>
  </si>
  <si>
    <t>Rev 1 (Date — What Changed)</t>
  </si>
  <si>
    <t>Rev 2 (Date — What Changed)</t>
  </si>
  <si>
    <t>Rev 3 (Date — What Changed)</t>
  </si>
  <si>
    <t>Rev 4 (Date — What Changed)</t>
  </si>
  <si>
    <t>Rev 5 (Date — What Changed)</t>
  </si>
  <si>
    <t>Current Rev #</t>
  </si>
  <si>
    <t>Current Rev Date</t>
  </si>
  <si>
    <t>Each Rev column holds that revision's date and a short note on what changed (added/removed/revised) — leave unused Rev columns blank. Use the Drawing Management Skill to do a full sheet-by-sheet comparison between two revisions when you have both PDFs; this log is the summary/index, not the comparison itself. Row 5 is an example — delete before use.</t>
  </si>
  <si>
    <t>Spec Format / Edition:</t>
  </si>
  <si>
    <t>Spec Section #</t>
  </si>
  <si>
    <t>Section Title</t>
  </si>
  <si>
    <t>Division</t>
  </si>
  <si>
    <t>Classification System</t>
  </si>
  <si>
    <t>Related Drawing(s)</t>
  </si>
  <si>
    <t>Submittal Required?</t>
  </si>
  <si>
    <t>Submittal Type</t>
  </si>
  <si>
    <t>Closeout Requirement</t>
  </si>
  <si>
    <t>Acceptable Products / Vendors</t>
  </si>
  <si>
    <t>Revision / Update Date</t>
  </si>
  <si>
    <t>Spec Format / Edition (row 3) is set ONCE for the project — confirm it before logging sections; see the Specification Management Skill for how to identify it from the actual spec book's numbering pattern (MasterFormat 1995's 16 divisions vs. 2004+'s 50 divisions vs. UniFormat's element-based lettering are NOT interchangeable and section numbers mean different things in each). The per-row Classification System column is only for the rare case where one section doesn't match the project's stated format (e.g. an old base spec with a newer addendum section added in a different numbering). Use the Specification Management Skill to build the Submittal Register straight from this log (every row with Submittal Required? = Yes becomes a Submittal Log entry), and to register a new/updated section when the Owner issues a change. Row 6 is an example — delete before use.</t>
  </si>
  <si>
    <t>OWNER CONTRACT KEY TERMS</t>
  </si>
  <si>
    <t>Extracted from the actual executed Owner Contract by the Owner Contract Skill. Values shown are common placeholders (mostly AIA A201 conventions, since that's the most widely used reference point) — NOT specific to your contract's actual form. GMP, Design-Build, IPD, ConsensusDocs, EJCDC, and custom Lump Sum contracts routinely set different terms entirely. CONFIRM every field against your actual executed contract, whatever form it takes, before relying on it.</t>
  </si>
  <si>
    <t>Contract Form (AIA / GMP / DB / IPD / ConsensusDocs / EJCDC / Custom)</t>
  </si>
  <si>
    <t>Retainage — Labor (%)</t>
  </si>
  <si>
    <t>Retainage — Stored Materials (%)</t>
  </si>
  <si>
    <t>Retainage Reduction Trigger</t>
  </si>
  <si>
    <t>Payment Application Due Date</t>
  </si>
  <si>
    <t>Payment Terms (days after application)</t>
  </si>
  <si>
    <t>Change Order Notice / Pricing Deadline</t>
  </si>
  <si>
    <t>Claim Notice Deadline (days)</t>
  </si>
  <si>
    <t>Delay Notice Deadline (days)</t>
  </si>
  <si>
    <t>Submittal Review Turnaround (days)</t>
  </si>
  <si>
    <t>Closeout Submission Deadline (days before SC)</t>
  </si>
  <si>
    <t>Closeout Requirements — Summary</t>
  </si>
  <si>
    <t>Liquidated Damages ($/day)</t>
  </si>
  <si>
    <t>Insurance Requirements — Summary</t>
  </si>
  <si>
    <t>Dispute Resolution Method</t>
  </si>
  <si>
    <t>Termination for Convenience Notice (days)</t>
  </si>
  <si>
    <t>Last Reviewed / Extracted</t>
  </si>
  <si>
    <t>Cells shaded light gray are for manual entry/extraction. This tab is a summary for quick reference only — the executed contract and its exhibits always govern; if this tab and the actual contract ever disagree, the contract wins.</t>
  </si>
  <si>
    <t>OAC-001</t>
  </si>
  <si>
    <t>OAC</t>
  </si>
  <si>
    <t>Open</t>
  </si>
  <si>
    <t>Luis F. Marcelino (Place Services Inc.); Tucker Teague (Place Services Inc.); Jens Byer; Chris Manes (CHA Consulting, Inc.); Gabriela Camarillo (Progressive Companies)</t>
  </si>
  <si>
    <t>Mobilization and demolition start - on site Mon 10/5/2026</t>
  </si>
  <si>
    <t>Confirm Monday 10/5 mobilization to Jens and Chris</t>
  </si>
  <si>
    <t>Luis F. Marcelino</t>
  </si>
  <si>
    <t>Before 10/5/2026</t>
  </si>
  <si>
    <t>County pre-con meetings - traffic/ROW (R.J. Haynes)</t>
  </si>
  <si>
    <t>Schedule county pre-con for traffic / right-of-way work</t>
  </si>
  <si>
    <t>R.J. Haynes</t>
  </si>
  <si>
    <t>Before any ROW work - DATE NEEDED</t>
  </si>
  <si>
    <t>Schedule county pre-con for utility work</t>
  </si>
  <si>
    <t>Before utility work - DATE NEEDED</t>
  </si>
  <si>
    <t>County pre-con meetings - correspondence distribution</t>
  </si>
  <si>
    <t>Forward county correspondence to Jens and Chris</t>
  </si>
  <si>
    <t>Ongoing</t>
  </si>
  <si>
    <t>County inspector asked to meet team before work starts</t>
  </si>
  <si>
    <t>Send inspector contact information to Luis</t>
  </si>
  <si>
    <t>Chris Manes</t>
  </si>
  <si>
    <t>TBD - DATE NEEDED</t>
  </si>
  <si>
    <t>Contact inspector before starting work (including demo, if requested)</t>
  </si>
  <si>
    <t>Civil plan revisions resubmission on hold until Phase 1 E&amp;S installed</t>
  </si>
  <si>
    <t>Resubmit civil plan revisions; keep team informed of timing</t>
  </si>
  <si>
    <t>After Phase 1 E&amp;S installed - DATE NEEDED</t>
  </si>
  <si>
    <t>Communication - copy Tucker Teague and Bobby McTeague on all emails</t>
  </si>
  <si>
    <t>Add Tucker Teague and Bobby McTeague to all project correspondence</t>
  </si>
  <si>
    <t>Jens Byer; Chris Manes</t>
  </si>
  <si>
    <t>Immediately</t>
  </si>
  <si>
    <t>Recurring OAC meeting - Thursday afternoons</t>
  </si>
  <si>
    <t>Send recurring Thursday-afternoon OAC invite to all attendees</t>
  </si>
  <si>
    <t>Jens Byer</t>
  </si>
  <si>
    <t>Schedule site visit</t>
  </si>
  <si>
    <t>10/22/2026 (approx.)</t>
  </si>
  <si>
    <t>Contract and Procore - executed contract upload</t>
  </si>
  <si>
    <t>Upload fully executed contract to Procore</t>
  </si>
  <si>
    <t>Contract and Procore - inflation change item; demo/abatement against allowance</t>
  </si>
  <si>
    <t>Log inflation discussion in Procore as a change item</t>
  </si>
  <si>
    <t>After contract upload - DATE NEEDED</t>
  </si>
  <si>
    <t>PCO pending (not yet in Change Order Log)</t>
  </si>
  <si>
    <t>Site visit by Jens Byer within 2-3 weeks</t>
  </si>
  <si>
    <t>County pre-con meetings - utility work (Cole's Construction, site contractor)</t>
  </si>
  <si>
    <t>Cole's Construction</t>
  </si>
  <si>
    <t>documents\meeting minutes\OAC\Meeting_Minutes_OAC-001_2026-10-01_Rev1.pdf</t>
  </si>
  <si>
    <t>SUB-001</t>
  </si>
  <si>
    <t>23 0503</t>
  </si>
  <si>
    <t>HVAC Package Rev 0 (Procore 230503-1.0 / Fieldwire PSI-0004) - Lennox RTUs &amp; mini-split, CaptiveAire, ductwork, Greenheck/Titus &amp; Fantech/Airius air distribution, prelim TAB. Reviewer: Make Corrections Noted 9/14 - provide missing EF-1 &amp; air terminal info (addressed in Rev 1). Req'd return = 14-day default; Procore had no due date.</t>
  </si>
  <si>
    <t>Product Data</t>
  </si>
  <si>
    <t>Platinum Air Systems</t>
  </si>
  <si>
    <t>Approved as Noted</t>
  </si>
  <si>
    <t>SUB-001_R1_Original_Procore_Export_2026-10-01.pdf; Submittal-001_Transmittal_Packaged.pdf (package INCLUDED, 659 pp); SUB-001_R0_Reviewed_MakeCorrectionsNoted_2026-09-14.pdf; SUB-001_R1_Reviewed_MakeCorrectionsNoted_2026-09-28.pdf; SUB-001_R1_As-Submitted_PSI-0004_2026-09-22.pdf - folder: documents\submittals\SUB-001 - 230503 HVAC</t>
  </si>
  <si>
    <t>SUB-001-R1</t>
  </si>
  <si>
    <t>HVAC Package Rev 1 (Procore 230503-1.1) - corrections made; EF-1 (SE1-10-440-VG) &amp; Titus air terminals added. Reviewer: Make Corrections Noted 9/28 - OPEN: provide TG-1 per plans and diffuser/register/grille schedule. Procore still Open, ball in court Amy Schoch (Progressive).</t>
  </si>
  <si>
    <t>SUB-002</t>
  </si>
  <si>
    <t>33 4100</t>
  </si>
  <si>
    <t>Stormwater Package Rev 0 (Procore 33 4100-2.0 / Fieldwire PSI-0002) - Hydro International First Defense hydrodynamic separator (ST8), Up-Flo water quality filter (ST5), Southeast Culvert 84in CMP underground detention. Reviewer: CHA Consulting (Christopher Manes) - no response. Req'd return per Fieldwire response due 9/9; Procore has no due date.</t>
  </si>
  <si>
    <t>Coles Construction</t>
  </si>
  <si>
    <t>Pending</t>
  </si>
  <si>
    <t>SUB-002_R0_Original_Procore_Export_2026-10-01.pdf; Submittal-002_Transmittal_Packaged.pdf (package INCLUDED, 62 pp) - folder: documents\submittals\SUB-002 - 334100 Storm Drainage</t>
  </si>
  <si>
    <t>SUB-003</t>
  </si>
  <si>
    <t>Coles Construction (supplier Core &amp; Main)</t>
  </si>
  <si>
    <t>SUB-003_R0_Original_Procore_Export_2026-10-01.pdf; Submittal-003_Transmittal_Packaged.pdf (package INCLUDED, 92 pp) - folder: documents\submittals\SUB-003 - 334100 Site Utilities</t>
  </si>
  <si>
    <t>HDPE Pipe Rev 0 (Procore 33 4100-1.0, Package #1 Site Utilities / Fieldwire PSI-0001) - ADS N-12 ST IB storm pipe (pkg Section 1). Attachment is the full Core &amp; Main site utility package; Procore splits Package #1 into one item per spec section (sanitary = SUB-004). Reviewer: CHA Consulting (Christopher Manes) - no response. Req'd return per Fieldwire response due 9/11; Procore has no due date.</t>
  </si>
  <si>
    <t>SUB-004</t>
  </si>
  <si>
    <t>33 3000</t>
  </si>
  <si>
    <t>Sanitary Sewer Rev 0 (Procore 33 3000-1.0, Package #1 Site Utilities / Fieldwire PSI-0001) - Diamond Sani-21 PVC sewer pipe &amp; fittings, cleanouts, Star Pipe heavy-duty covers, marking tape (pkg Section 2, export pp. 8-19). Same PSI-0001 attachment as SUB-003. Reviewer: CHA Consulting (Christopher Manes) - no response. Req'd return per Fieldwire response due 9/11; Procore has no due date.</t>
  </si>
  <si>
    <t>SUB-004_R0_Original_Procore_Export_2026-10-01.pdf; SUB-004_R0_Sanitary_Section_Only.pdf; Submittal-004_Transmittal_Packaged.pdf (package INCLUDED, 92 pp) - folder: documents\submittals\SUB-004 - 333000 Sanitary Sewer</t>
  </si>
  <si>
    <t>SUB-005</t>
  </si>
  <si>
    <t>33 1000</t>
  </si>
  <si>
    <t>Domestic Water &amp; Irrigation Rev 0 (Procore 33 1000-1.0, Package #1 Site Utilities / Fieldwire PSI-0001) - PVC pressure pipe &amp; DI fittings, 2in tap assemblies (Smith-Blair 313, Ford Meter Box), 2in DCV (Wilkins 950XLT), irrigation, 2in RPZ (Wilkins 975XL2) (pkg Section 3, export pp. 20-53). Same PSI-0001 attachment as SUB-003/004. Reviewer: CHA Consulting (Christopher Manes) - no response. Req'd return per Fieldwire response due 9/11; Procore has no due date.</t>
  </si>
  <si>
    <t>SUB-005_R0_Original_Procore_Export_2026-10-01.pdf; SUB-005_R0_Domestic_Water_Section_Only.pdf; Submittal-005_Transmittal_Packaged.pdf (package INCLUDED, 92 pp) - folder: documents\submittals\SUB-005 - 331000 Domestic Water</t>
  </si>
  <si>
    <t>SUB-006</t>
  </si>
  <si>
    <t>33</t>
  </si>
  <si>
    <t>Fire Main Rev 0 (Procore 33-1.0, Package #1 Site Utilities) - U.S. Pipe Tyton DI pipe &amp; fittings, tapping sleeve, M&amp;H 129 hydrant, 8in DCDA BFP vault (Wilkins 350ASTDA), 8in PIV, 8in gate valve (PSI-0001 pkg Section 4, export pp. 54-91). FLAG: Procore item has NO ATTACHMENT (cover only) and spec is division-level '33 - Utilities' - confirm CHA has the fire main cut sheets. Reviewer: CHA Consulting (Christopher Manes) - no response. Req'd return per Fieldwire response due 9/11.</t>
  </si>
  <si>
    <t>SUB-006_R0_Procore_Cover_Only_2026-10-01.pdf (Procore item has NO attachment); SUB-006_R0_Fire_Main_Section_REFERENCE_from_PSI-0001.pdf (from SUB-003 copy); Submittal-006_Transmittal_Packaged.pdf (42 pp) - folder: documents\submittals\SUB-006 - 33 Fire Main</t>
  </si>
  <si>
    <t>SUB-007</t>
  </si>
  <si>
    <t>22 (22 1119)</t>
  </si>
  <si>
    <t>Plumbing Package Rev 0 (Procore 22-1.0, Package #2 Plumbing / Fieldwire PSI-0003) - fixtures (DF, L, WC, SK-1/2/3), hydrants, floor drains/sinks, PRV, EWH-1, gas meter. Procore CLOSED. Reviewer (Progressive, bizons 9/25): Make Corrections Noted - OPEN: SK-3 replace Elkay SS8354LR4 with Elkay 14-3C16X20-L-18X per CCD 01 (05/28/2026). Returned 14 days after 9/11 due date.</t>
  </si>
  <si>
    <t>Golden Hands Plumbing (supplier Cowan Supply)</t>
  </si>
  <si>
    <t>SUB-007_R0_Original_Procore_Export_2026-10-01.pdf; SUB-007_R0_Reviewed_MakeCorrectionsNoted_2026-09-25.pdf; SUB-007_R0_As-Submitted_PSI-0003_2026-09-03.pdf; Submittal-007_Transmittal_Packaged.pdf (package INCLUDED, 217 pp) - folder: documents\submittals\SUB-007 - 22 Plumbing</t>
  </si>
  <si>
    <t>SUB-008</t>
  </si>
  <si>
    <t>None (Procore '1 - Default')</t>
  </si>
  <si>
    <t>CCTV Submittal Rev 0 (Procore 1-3.0 / Fieldwire PSI-0007) - off-site traffic signal Gwinnett Co. TS-082, Jimmy Carter Blvd @ Shelby Dr: AXIS Q6086-E PTZ camera, Major Custom Cable CAT6 100ft, DITEK DTK-MRJPOES surge protector, AXIS TQ5001-E mount (Utilicom quote 62085). No spec section assigned. Reviewer: CHA Consulting (Christopher Manes) - no response; confirm whether Gwinnett DOT review also required. Req'd return per Fieldwire response due 9/25.</t>
  </si>
  <si>
    <t>R.J. Haynie &amp; Associates (supplier Utilicom Supply Associates)</t>
  </si>
  <si>
    <t>SUB-008_R0_Original_Procore_Export_2026-10-01.pdf; Submittal-008_Transmittal_Packaged.pdf (package INCLUDED, 18 pp) - folder: documents\submittals\SUB-008 - CCTV Traffic Signal</t>
  </si>
  <si>
    <t>SUB-009</t>
  </si>
  <si>
    <t>Mast Arm Pole Shop Drawings #1-#3 Rev 0 (Procore 1-2.0 / Fieldwire PSI-0006) - off-site traffic signal Gwinnett Co. TS-082, Jimmy Carter Blvd @ Shelby Dr: Valmont GA672263P1 (2 sheets, GA PE sealed 8/31) Poles B (22ft, 65+55ft arms) &amp; C (30ft, 55+55ft arms) + orientation sketch. FLAG: foundation callout (3ft dia x 14.5ft, (8) #10) is an unsigned annotation, not on sealed dwg - verify. Reviewer: CHA Consulting (Christopher Manes) - no response; confirm Gwinnett DOT review. Req'd return per Fieldwire due 9/25.</t>
  </si>
  <si>
    <t>Shop Drawing</t>
  </si>
  <si>
    <t>R.J. Haynie &amp; Associates (Valmont via DOT Lighting / Traffic &amp; Lighting Corp)</t>
  </si>
  <si>
    <t>SUB-009_R0_Original_Procore_Export_2026-10-01.pdf; Submittal-009_Transmittal_Packaged.pdf (package INCLUDED, 6 pp) - folder: documents\submittals\SUB-009 - Mast Arm Poles</t>
  </si>
  <si>
    <t>SUB-010</t>
  </si>
  <si>
    <t>Mast Arm Pole Submittals Rev 0 (Procore 1-1.0 / Fieldwire PSI-0005) - Valmont structural calcs, Order 672263-P1 (94 pp), Poles B (P22 M65/M55) &amp; C (P30 M55/M55), AASHTO 2015, 115 mph - off-site signal Gwinnett Co. TS-082. Related to SUB-009 shop dwgs. FLAG: calcs give foundation reactions only, no foundation design; PE seal is image stamp, not digitally signed. Reviewer: CHA Consulting (Christopher Manes) - no response. Req'd return per Fieldwire due 9/25.</t>
  </si>
  <si>
    <t>R.J. Haynie &amp; Associates (Valmont Industries)</t>
  </si>
  <si>
    <t>SUB-010_R0_Original_Procore_Export_2026-10-01.pdf; Submittal-010_Transmittal_Packaged.pdf (package INCLUDED, 99 pp) - folder: documents\submittals\SUB-010 - Mast Arm Pole Calcs</t>
  </si>
  <si>
    <t>PCO-001</t>
  </si>
  <si>
    <t>Owner Request</t>
  </si>
  <si>
    <t>Earthwork/Site Utilities, Roofing, Low Voltage, Metal Panels, Plumbing, Rooftop Screens, Doors/Frames/Hardware</t>
  </si>
  <si>
    <t>OCO-01</t>
  </si>
  <si>
    <t>Base bid material/fuel price escalation true-up (Q1 2026 bid to July 2026 award); 5% OH&amp;P</t>
  </si>
  <si>
    <t>CO #01 - OCO Package - Pricing Escalation Rebalance.pdf (incl. PSI PCO-001 cost breakdown); 22_GC_CO_Template - CO01 rev1.xlsx; OCO #01 - Email Backup (7/29-8/3/2026)</t>
  </si>
  <si>
    <t>SCO-LOG-001</t>
  </si>
  <si>
    <t>CO-02 Asbestos abatement (Georgia Environmental): Main Event Hall ACM floor mastic/carpet glue/carpet + ACM roofing mastic at 8 roof vents</t>
  </si>
  <si>
    <t>PCO-002 / OCO-02</t>
  </si>
  <si>
    <t>PCO-002</t>
  </si>
  <si>
    <t>Allowance #01 - building demolition + ACM abatement; $224,903.34 drawn from $225,000 Demolition Allowance ($96.66 remaining); net $0 to Contract Sum; 9.8% GC OH&amp;P</t>
  </si>
  <si>
    <t>OCO-02</t>
  </si>
  <si>
    <t>Approved</t>
  </si>
  <si>
    <t>Luis Marcelino, General Manager</t>
  </si>
  <si>
    <t>Lidl #1517 - Change Order #2 - Asbestos Abatement.pdf; SCO - Coles Construction CO-02.xlsx</t>
  </si>
  <si>
    <t>Valid change: Subcontract No. 7 (8/4/2026) Exhibit A covers selective/building demolition but no asbestos/ACM abatement, and PSI's bid (exclusion h) excludes asbestos abatement. ACM black floor mastic and roof penetration cement are confirmed in Owner's NOVA pre-demolition ACM survey (3/18/2021). Sub O&amp;P 10% = prime contract 4.2 sub cap. Optional $5,500 debris line excluded (debris to be cleared before mobilization). Additional unsampled roof/mirror glue ACM to come as a separate SCO. Approved contingent on Lidl executing CO #02.</t>
  </si>
  <si>
    <t>CO #02 - OCO Package - Building Demolition &amp; Abatement.pdf; Lidl 1517 Demolition Scope.pdf (Cole's demo proposal $148,400); SCO - Coles Construction CO-02.xlsx; Lidl #1517 - Change Order #2 - Asbestos Abatement.pdf (Cole's CO-02 / SCO-LOG-001); 22_GC_CO_Template - CO02.xlsx</t>
  </si>
  <si>
    <t>Demolition (Building &amp; Site), Asbestos Abatement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</si>
</sst>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
    <numFmt numFmtId="166" formatCode="mm/dd/yy"/>
  </numFmts>
  <fonts count="8" x14ac:knownFonts="1">
    <font>
      <sz val="11"/>
      <color theme="1"/>
      <name val="Calibri"/>
      <family val="2"/>
      <charset val="1"/>
    </font>
    <font>
      <b/>
      <sz val="14"/>
      <color rgb="FF1A1A1A"/>
      <name val="Arial"/>
      <family val="2"/>
      <charset val="1"/>
    </font>
    <font>
      <i/>
      <sz val="9"/>
      <color rgb="FF6B6B6B"/>
      <name val="Arial"/>
      <family val="2"/>
      <charset val="1"/>
    </font>
    <font>
      <b/>
      <sz val="11"/>
      <color rgb="FF1A1A1A"/>
      <name val="Arial"/>
      <family val="2"/>
      <charset val="1"/>
    </font>
    <font>
      <sz val="11"/>
      <color rgb="FF1A1A1A"/>
      <name val="Arial"/>
      <family val="2"/>
      <charset val="1"/>
    </font>
    <font>
      <sz val="10"/>
      <name val="Arial"/>
      <family val="2"/>
      <charset val="1"/>
    </font>
    <font>
      <b/>
      <sz val="11"/>
      <name val="Arial"/>
      <family val="2"/>
      <charset val="1"/>
    </font>
    <font>
      <b/>
      <sz val="10"/>
      <color rgb="FF1A1A1A"/>
      <name val="Arial"/>
      <family val="2"/>
      <charset val="1"/>
    </font>
  </fonts>
  <fills count="4">
    <fill>
      <patternFill patternType="none"/>
    </fill>
    <fill>
      <patternFill patternType="gray125"/>
    </fill>
    <fill>
      <patternFill patternType="solid">
        <fgColor rgb="FFF2F2F2"/>
        <bgColor rgb="FFEBEBEB"/>
      </patternFill>
    </fill>
    <fill>
      <patternFill patternType="solid">
        <fgColor rgb="FFEBEBEB"/>
        <bgColor rgb="FFF2F2F2"/>
      </patternFill>
    </fill>
  </fills>
  <borders count="5">
    <border>
      <left/>
      <right/>
      <top/>
      <bottom/>
      <diagonal/>
    </border>
    <border>
      <left/>
      <right/>
      <top/>
      <bottom style="medium">
        <color rgb="FFDA251C"/>
      </bottom>
      <diagonal/>
    </border>
    <border>
      <left/>
      <right/>
      <top/>
      <bottom style="thin">
        <color rgb="FFD9D9D9"/>
      </bottom>
      <diagonal/>
    </border>
    <border>
      <left style="thin">
        <color rgb="FFD9D9D9"/>
      </left>
      <right style="thin">
        <color rgb="FFD9D9D9"/>
      </right>
      <top style="thin">
        <color rgb="FFD9D9D9"/>
      </top>
      <bottom style="medium">
        <color rgb="FF1A1A1A"/>
      </bottom>
      <diagonal/>
    </border>
    <border>
      <left/>
      <right/>
      <top/>
      <bottom style="thin">
        <color rgb="FF6B6B6B"/>
      </bottom>
      <diagonal/>
    </border>
  </borders>
  <cellStyleXfs count="1">
    <xf numFmtId="0" fontId="0" fillId="0" borderId="0"/>
  </cellStyleXfs>
  <cellXfs count="26">
    <xf numFmtId="0" fontId="0" fillId="0" borderId="0" xfId="0"/>
    <xf numFmtId="0" fontId="1" fillId="0" borderId="1" xfId="0" applyFont="1" applyBorder="1"/>
    <xf numFmtId="0" fontId="0" fillId="0" borderId="1" xfId="0" applyBorder="1"/>
    <xf numFmtId="0" fontId="2" fillId="0" borderId="0" xfId="0" applyFont="1"/>
    <xf numFmtId="0" fontId="3" fillId="0" borderId="0" xfId="0" applyFont="1"/>
    <xf numFmtId="0" fontId="4" fillId="2" borderId="0" xfId="0" applyFont="1" applyFill="1"/>
    <xf numFmtId="164" fontId="4" fillId="2" borderId="0" xfId="0" applyNumberFormat="1" applyFont="1" applyFill="1"/>
    <xf numFmtId="165" fontId="4" fillId="2" borderId="0" xfId="0" applyNumberFormat="1" applyFont="1" applyFill="1"/>
    <xf numFmtId="165" fontId="4" fillId="0" borderId="0" xfId="0" applyNumberFormat="1" applyFont="1"/>
    <xf numFmtId="164" fontId="4" fillId="0" borderId="0" xfId="0" applyNumberFormat="1" applyFont="1"/>
    <xf numFmtId="0" fontId="1" fillId="0" borderId="0" xfId="0" applyFont="1"/>
    <xf numFmtId="0" fontId="5" fillId="0" borderId="0" xfId="0" applyFont="1"/>
    <xf numFmtId="0" fontId="6" fillId="0" borderId="0" xfId="0" applyFont="1"/>
    <xf numFmtId="164" fontId="0" fillId="0" borderId="0" xfId="0" applyNumberFormat="1"/>
    <xf numFmtId="0" fontId="4" fillId="0" borderId="0" xfId="0" applyFont="1"/>
    <xf numFmtId="0" fontId="3" fillId="0" borderId="2" xfId="0" applyFont="1" applyBorder="1"/>
    <xf numFmtId="0" fontId="0" fillId="0" borderId="2" xfId="0" applyBorder="1"/>
    <xf numFmtId="165" fontId="3" fillId="0" borderId="0" xfId="0" applyNumberFormat="1" applyFont="1"/>
    <xf numFmtId="0" fontId="7" fillId="3" borderId="3" xfId="0" applyFont="1" applyFill="1" applyBorder="1" applyAlignment="1">
      <alignment horizontal="center" vertical="center" wrapText="1"/>
    </xf>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0" fillId="2" borderId="4" xfId="0" applyFill="1" applyBorder="1"/>
    <xf numFmtId="166" fontId="4" fillId="0" borderId="0" xfId="0" applyNumberFormat="1" applyFont="1"/>
    <xf numFmtId="49" fontId="0" fillId="0" borderId="0" xfId="0" applyNumberFormat="1"/>
    <xf numFmtId="14" fontId="0" fillId="0" borderId="0" xfId="0" applyNumberFormat="1"/>
  </cellXfs>
  <cellStyles count="1">
    <cellStyle name="Normal" xfId="0" builtinId="0"/>
  </cellStyles>
  <dxfs count="43">
    <dxf>
      <font>
        <i/>
        <color rgb="FF6B6B6B"/>
        <name val="Arial"/>
        <charset val="1"/>
      </font>
    </dxf>
    <dxf>
      <font>
        <b/>
        <color rgb="FFDA251C"/>
        <name val="Arial"/>
        <charset val="1"/>
      </font>
    </dxf>
    <dxf>
      <font>
        <b/>
        <sz val="10"/>
        <color rgb="FFFFFFFF"/>
        <name val="Arial"/>
        <charset val="1"/>
      </font>
      <fill>
        <patternFill>
          <bgColor rgb="FFDA251C"/>
        </patternFill>
      </fill>
    </dxf>
    <dxf>
      <font>
        <b/>
        <color rgb="FFDA251C"/>
        <name val="Arial"/>
        <charset val="1"/>
      </font>
    </dxf>
    <dxf>
      <font>
        <b/>
        <color rgb="FFDA251C"/>
        <name val="Arial"/>
        <charset val="1"/>
      </font>
    </dxf>
    <dxf>
      <font>
        <b/>
        <sz val="10"/>
        <color rgb="FFFFFFFF"/>
        <name val="Arial"/>
        <charset val="1"/>
      </font>
      <fill>
        <patternFill>
          <bgColor rgb="FFDA251C"/>
        </patternFill>
      </fill>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sz val="10"/>
        <color rgb="FFFFFFFF"/>
        <name val="Arial"/>
        <charset val="1"/>
      </font>
      <fill>
        <patternFill>
          <bgColor rgb="FFDA251C"/>
        </patternFill>
      </fill>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color rgb="FFDA251C"/>
        <name val="Arial"/>
        <charset val="1"/>
      </font>
    </dxf>
    <dxf>
      <font>
        <b/>
        <color rgb="FFDA251C"/>
        <name val="Arial"/>
        <charset val="1"/>
      </font>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color rgb="FFDA251C"/>
        <name val="Arial"/>
        <charset val="1"/>
      </font>
    </dxf>
    <dxf>
      <font>
        <b/>
        <sz val="10"/>
        <color rgb="FFFFFFFF"/>
        <name val="Arial"/>
        <charset val="1"/>
      </font>
      <fill>
        <patternFill>
          <bgColor rgb="FFDA251C"/>
        </patternFill>
      </fill>
    </dxf>
    <dxf>
      <font>
        <b/>
        <color rgb="FFDA251C"/>
        <name val="Arial"/>
        <charset val="1"/>
      </font>
    </dxf>
    <dxf>
      <font>
        <i/>
        <color rgb="FF6B6B6B"/>
        <name val="Arial"/>
        <charset val="1"/>
      </font>
    </dxf>
    <dxf>
      <font>
        <b/>
        <sz val="10"/>
        <color rgb="FFFFFFFF"/>
        <name val="Arial"/>
        <charset val="1"/>
      </font>
      <fill>
        <patternFill>
          <bgColor rgb="FFDA251C"/>
        </patternFill>
      </fill>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
      <font>
        <b/>
        <color rgb="FFDA251C"/>
        <name val="Arial"/>
        <charset val="1"/>
      </font>
    </dxf>
  </dxfs>
  <tableStyles count="0" defaultTableStyle="TableStyleMedium2" defaultPivotStyle="PivotStyleLight16"/>
  <colors>
    <indexedColors>
      <rgbColor rgb="FF000000"/>
      <rgbColor rgb="FFFFFFFF"/>
      <rgbColor rgb="FFDA251C"/>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BEBE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989640</xdr:colOff>
      <xdr:row>2</xdr:row>
      <xdr:rowOff>26280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30840" y="0"/>
          <a:ext cx="989640" cy="445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5</xdr:col>
      <xdr:colOff>777960</xdr:colOff>
      <xdr:row>2</xdr:row>
      <xdr:rowOff>26280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3665160" y="0"/>
          <a:ext cx="989640" cy="4453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1A"/>
    <pageSetUpPr fitToPage="1"/>
  </sheetPr>
  <dimension ref="B2:C32"/>
  <sheetViews>
    <sheetView showGridLines="0" zoomScaleNormal="100" workbookViewId="0">
      <selection activeCell="C25" sqref="C25"/>
    </sheetView>
  </sheetViews>
  <sheetFormatPr defaultColWidth="8.7109375" defaultRowHeight="15" x14ac:dyDescent="0.25"/>
  <cols>
    <col min="1" max="1" width="3" customWidth="1"/>
    <col min="2" max="2" width="40" customWidth="1"/>
    <col min="3" max="3" width="50" customWidth="1"/>
  </cols>
  <sheetData>
    <row r="2" spans="2:3" ht="18" customHeight="1" x14ac:dyDescent="0.25">
      <c r="B2" s="1" t="s">
        <v>0</v>
      </c>
      <c r="C2" s="2"/>
    </row>
    <row r="3" spans="2:3" x14ac:dyDescent="0.25">
      <c r="B3" s="3" t="s">
        <v>1</v>
      </c>
    </row>
    <row r="5" spans="2:3" x14ac:dyDescent="0.25">
      <c r="B5" s="4" t="s">
        <v>2</v>
      </c>
      <c r="C5" s="5" t="s">
        <v>3</v>
      </c>
    </row>
    <row r="6" spans="2:3" x14ac:dyDescent="0.25">
      <c r="B6" s="4" t="s">
        <v>4</v>
      </c>
      <c r="C6" s="5" t="s">
        <v>5</v>
      </c>
    </row>
    <row r="7" spans="2:3" x14ac:dyDescent="0.25">
      <c r="B7" s="4" t="s">
        <v>6</v>
      </c>
      <c r="C7" s="5" t="s">
        <v>7</v>
      </c>
    </row>
    <row r="8" spans="2:3" x14ac:dyDescent="0.25">
      <c r="B8" s="4" t="s">
        <v>8</v>
      </c>
      <c r="C8" s="5" t="s">
        <v>9</v>
      </c>
    </row>
    <row r="9" spans="2:3" x14ac:dyDescent="0.25">
      <c r="B9" s="4" t="s">
        <v>10</v>
      </c>
      <c r="C9" s="5" t="s">
        <v>11</v>
      </c>
    </row>
    <row r="11" spans="2:3" x14ac:dyDescent="0.25">
      <c r="B11" s="4" t="s">
        <v>12</v>
      </c>
      <c r="C11" s="5" t="s">
        <v>13</v>
      </c>
    </row>
    <row r="12" spans="2:3" x14ac:dyDescent="0.25">
      <c r="B12" s="4" t="s">
        <v>14</v>
      </c>
      <c r="C12" s="5" t="s">
        <v>15</v>
      </c>
    </row>
    <row r="13" spans="2:3" x14ac:dyDescent="0.25">
      <c r="B13" s="4" t="s">
        <v>16</v>
      </c>
      <c r="C13" s="5" t="s">
        <v>17</v>
      </c>
    </row>
    <row r="14" spans="2:3" x14ac:dyDescent="0.25">
      <c r="B14" s="4" t="s">
        <v>18</v>
      </c>
      <c r="C14" s="5"/>
    </row>
    <row r="15" spans="2:3" x14ac:dyDescent="0.25">
      <c r="B15" s="4" t="s">
        <v>19</v>
      </c>
      <c r="C15" s="5" t="s">
        <v>20</v>
      </c>
    </row>
    <row r="16" spans="2:3" x14ac:dyDescent="0.25">
      <c r="B16" s="4" t="s">
        <v>21</v>
      </c>
      <c r="C16" s="5" t="s">
        <v>22</v>
      </c>
    </row>
    <row r="17" spans="2:3" x14ac:dyDescent="0.25">
      <c r="B17" s="4" t="s">
        <v>23</v>
      </c>
      <c r="C17" s="5" t="s">
        <v>24</v>
      </c>
    </row>
    <row r="19" spans="2:3" x14ac:dyDescent="0.25">
      <c r="B19" s="4" t="s">
        <v>25</v>
      </c>
      <c r="C19" s="5" t="s">
        <v>26</v>
      </c>
    </row>
    <row r="20" spans="2:3" x14ac:dyDescent="0.25">
      <c r="B20" s="4" t="s">
        <v>27</v>
      </c>
      <c r="C20" s="6"/>
    </row>
    <row r="21" spans="2:3" x14ac:dyDescent="0.25">
      <c r="B21" s="4" t="s">
        <v>28</v>
      </c>
      <c r="C21" s="6">
        <v>46290</v>
      </c>
    </row>
    <row r="22" spans="2:3" x14ac:dyDescent="0.25">
      <c r="B22" s="4" t="s">
        <v>29</v>
      </c>
      <c r="C22" s="6">
        <v>46559</v>
      </c>
    </row>
    <row r="24" spans="2:3" x14ac:dyDescent="0.25">
      <c r="B24" s="4" t="s">
        <v>30</v>
      </c>
      <c r="C24" s="7">
        <v>7958879</v>
      </c>
    </row>
    <row r="25" spans="2:3" x14ac:dyDescent="0.25">
      <c r="B25" s="4" t="s">
        <v>31</v>
      </c>
      <c r="C25" s="8">
        <f>SUMIFS('Change Order Log'!H2:H299,'Change Order Log'!J2:J299,"Approved")</f>
        <v>0</v>
      </c>
    </row>
    <row r="26" spans="2:3" x14ac:dyDescent="0.25">
      <c r="B26" s="4" t="s">
        <v>32</v>
      </c>
      <c r="C26" s="8">
        <f>C24+C25</f>
        <v>7958879</v>
      </c>
    </row>
    <row r="28" spans="2:3" x14ac:dyDescent="0.25">
      <c r="B28" s="4" t="s">
        <v>33</v>
      </c>
      <c r="C28" s="5" t="s">
        <v>34</v>
      </c>
    </row>
    <row r="29" spans="2:3" x14ac:dyDescent="0.25">
      <c r="B29" s="4" t="s">
        <v>35</v>
      </c>
      <c r="C29" s="5" t="s">
        <v>20</v>
      </c>
    </row>
    <row r="30" spans="2:3" x14ac:dyDescent="0.25">
      <c r="B30" s="4" t="s">
        <v>36</v>
      </c>
      <c r="C30" s="9">
        <f ca="1">TODAY()</f>
        <v>46296</v>
      </c>
    </row>
    <row r="32" spans="2:3" x14ac:dyDescent="0.25">
      <c r="B32" s="3" t="s">
        <v>37</v>
      </c>
    </row>
  </sheetData>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1A1A"/>
    <pageSetUpPr fitToPage="1"/>
  </sheetPr>
  <dimension ref="B2:B132"/>
  <sheetViews>
    <sheetView showGridLines="0" zoomScaleNormal="100" workbookViewId="0"/>
  </sheetViews>
  <sheetFormatPr defaultColWidth="8.7109375" defaultRowHeight="15" x14ac:dyDescent="0.25"/>
  <cols>
    <col min="1" max="1" width="3" customWidth="1"/>
    <col min="2" max="2" width="100" customWidth="1"/>
  </cols>
  <sheetData>
    <row r="2" spans="2:2" ht="18" customHeight="1" x14ac:dyDescent="0.25">
      <c r="B2" s="10" t="s">
        <v>38</v>
      </c>
    </row>
    <row r="4" spans="2:2" x14ac:dyDescent="0.25">
      <c r="B4" s="11"/>
    </row>
    <row r="5" spans="2:2" x14ac:dyDescent="0.25">
      <c r="B5" s="11" t="s">
        <v>39</v>
      </c>
    </row>
    <row r="6" spans="2:2" x14ac:dyDescent="0.25">
      <c r="B6" s="11"/>
    </row>
    <row r="7" spans="2:2" x14ac:dyDescent="0.25">
      <c r="B7" s="11" t="s">
        <v>40</v>
      </c>
    </row>
    <row r="8" spans="2:2" x14ac:dyDescent="0.25">
      <c r="B8" s="11" t="s">
        <v>41</v>
      </c>
    </row>
    <row r="9" spans="2:2" x14ac:dyDescent="0.25">
      <c r="B9" s="11" t="s">
        <v>42</v>
      </c>
    </row>
    <row r="10" spans="2:2" x14ac:dyDescent="0.25">
      <c r="B10" s="11" t="s">
        <v>43</v>
      </c>
    </row>
    <row r="11" spans="2:2" x14ac:dyDescent="0.25">
      <c r="B11" s="11" t="s">
        <v>44</v>
      </c>
    </row>
    <row r="12" spans="2:2" x14ac:dyDescent="0.25">
      <c r="B12" s="11" t="s">
        <v>45</v>
      </c>
    </row>
    <row r="13" spans="2:2" x14ac:dyDescent="0.25">
      <c r="B13" s="11" t="s">
        <v>46</v>
      </c>
    </row>
    <row r="14" spans="2:2" x14ac:dyDescent="0.25">
      <c r="B14" s="11" t="s">
        <v>47</v>
      </c>
    </row>
    <row r="15" spans="2:2" x14ac:dyDescent="0.25">
      <c r="B15" s="11" t="s">
        <v>48</v>
      </c>
    </row>
    <row r="16" spans="2:2" x14ac:dyDescent="0.25">
      <c r="B16" s="11" t="s">
        <v>49</v>
      </c>
    </row>
    <row r="17" spans="2:2" x14ac:dyDescent="0.25">
      <c r="B17" s="11" t="s">
        <v>50</v>
      </c>
    </row>
    <row r="18" spans="2:2" x14ac:dyDescent="0.25">
      <c r="B18" s="11" t="s">
        <v>51</v>
      </c>
    </row>
    <row r="19" spans="2:2" x14ac:dyDescent="0.25">
      <c r="B19" s="11" t="s">
        <v>52</v>
      </c>
    </row>
    <row r="20" spans="2:2" x14ac:dyDescent="0.25">
      <c r="B20" s="11" t="s">
        <v>53</v>
      </c>
    </row>
    <row r="21" spans="2:2" x14ac:dyDescent="0.25">
      <c r="B21" s="11" t="s">
        <v>54</v>
      </c>
    </row>
    <row r="22" spans="2:2" x14ac:dyDescent="0.25">
      <c r="B22" s="11" t="s">
        <v>55</v>
      </c>
    </row>
    <row r="23" spans="2:2" x14ac:dyDescent="0.25">
      <c r="B23" s="11" t="s">
        <v>56</v>
      </c>
    </row>
    <row r="24" spans="2:2" x14ac:dyDescent="0.25">
      <c r="B24" s="11" t="s">
        <v>57</v>
      </c>
    </row>
    <row r="25" spans="2:2" x14ac:dyDescent="0.25">
      <c r="B25" s="11" t="s">
        <v>58</v>
      </c>
    </row>
    <row r="26" spans="2:2" x14ac:dyDescent="0.25">
      <c r="B26" s="11" t="s">
        <v>59</v>
      </c>
    </row>
    <row r="27" spans="2:2" x14ac:dyDescent="0.25">
      <c r="B27" s="11" t="s">
        <v>60</v>
      </c>
    </row>
    <row r="28" spans="2:2" x14ac:dyDescent="0.25">
      <c r="B28" s="11" t="s">
        <v>61</v>
      </c>
    </row>
    <row r="29" spans="2:2" x14ac:dyDescent="0.25">
      <c r="B29" s="11" t="s">
        <v>62</v>
      </c>
    </row>
    <row r="30" spans="2:2" x14ac:dyDescent="0.25">
      <c r="B30" s="11" t="s">
        <v>63</v>
      </c>
    </row>
    <row r="31" spans="2:2" x14ac:dyDescent="0.25">
      <c r="B31" s="11" t="s">
        <v>64</v>
      </c>
    </row>
    <row r="32" spans="2:2" x14ac:dyDescent="0.25">
      <c r="B32" s="11" t="s">
        <v>65</v>
      </c>
    </row>
    <row r="33" spans="2:2" x14ac:dyDescent="0.25">
      <c r="B33" s="11" t="s">
        <v>66</v>
      </c>
    </row>
    <row r="34" spans="2:2" x14ac:dyDescent="0.25">
      <c r="B34" s="11" t="s">
        <v>67</v>
      </c>
    </row>
    <row r="35" spans="2:2" x14ac:dyDescent="0.25">
      <c r="B35" s="11" t="s">
        <v>68</v>
      </c>
    </row>
    <row r="36" spans="2:2" x14ac:dyDescent="0.25">
      <c r="B36" s="11" t="s">
        <v>69</v>
      </c>
    </row>
    <row r="37" spans="2:2" x14ac:dyDescent="0.25">
      <c r="B37" s="11" t="s">
        <v>70</v>
      </c>
    </row>
    <row r="38" spans="2:2" x14ac:dyDescent="0.25">
      <c r="B38" s="11" t="s">
        <v>71</v>
      </c>
    </row>
    <row r="39" spans="2:2" x14ac:dyDescent="0.25">
      <c r="B39" s="11" t="s">
        <v>72</v>
      </c>
    </row>
    <row r="40" spans="2:2" x14ac:dyDescent="0.25">
      <c r="B40" s="11" t="s">
        <v>73</v>
      </c>
    </row>
    <row r="41" spans="2:2" x14ac:dyDescent="0.25">
      <c r="B41" s="11" t="s">
        <v>74</v>
      </c>
    </row>
    <row r="42" spans="2:2" x14ac:dyDescent="0.25">
      <c r="B42" s="11" t="s">
        <v>75</v>
      </c>
    </row>
    <row r="43" spans="2:2" x14ac:dyDescent="0.25">
      <c r="B43" s="11" t="s">
        <v>76</v>
      </c>
    </row>
    <row r="44" spans="2:2" x14ac:dyDescent="0.25">
      <c r="B44" s="11" t="s">
        <v>77</v>
      </c>
    </row>
    <row r="45" spans="2:2" x14ac:dyDescent="0.25">
      <c r="B45" s="11" t="s">
        <v>78</v>
      </c>
    </row>
    <row r="46" spans="2:2" x14ac:dyDescent="0.25">
      <c r="B46" s="11" t="s">
        <v>79</v>
      </c>
    </row>
    <row r="47" spans="2:2" x14ac:dyDescent="0.25">
      <c r="B47" s="11" t="s">
        <v>80</v>
      </c>
    </row>
    <row r="48" spans="2:2" x14ac:dyDescent="0.25">
      <c r="B48" s="11" t="s">
        <v>81</v>
      </c>
    </row>
    <row r="49" spans="2:2" x14ac:dyDescent="0.25">
      <c r="B49" s="11" t="s">
        <v>82</v>
      </c>
    </row>
    <row r="50" spans="2:2" x14ac:dyDescent="0.25">
      <c r="B50" s="11" t="s">
        <v>83</v>
      </c>
    </row>
    <row r="51" spans="2:2" x14ac:dyDescent="0.25">
      <c r="B51" s="11" t="s">
        <v>84</v>
      </c>
    </row>
    <row r="52" spans="2:2" x14ac:dyDescent="0.25">
      <c r="B52" s="11" t="s">
        <v>85</v>
      </c>
    </row>
    <row r="53" spans="2:2" x14ac:dyDescent="0.25">
      <c r="B53" s="11"/>
    </row>
    <row r="54" spans="2:2" x14ac:dyDescent="0.25">
      <c r="B54" s="11" t="s">
        <v>86</v>
      </c>
    </row>
    <row r="55" spans="2:2" x14ac:dyDescent="0.25">
      <c r="B55" s="11" t="s">
        <v>87</v>
      </c>
    </row>
    <row r="56" spans="2:2" x14ac:dyDescent="0.25">
      <c r="B56" s="11" t="s">
        <v>88</v>
      </c>
    </row>
    <row r="57" spans="2:2" x14ac:dyDescent="0.25">
      <c r="B57" s="11" t="s">
        <v>89</v>
      </c>
    </row>
    <row r="58" spans="2:2" x14ac:dyDescent="0.25">
      <c r="B58" s="11" t="s">
        <v>90</v>
      </c>
    </row>
    <row r="59" spans="2:2" x14ac:dyDescent="0.25">
      <c r="B59" s="11" t="s">
        <v>91</v>
      </c>
    </row>
    <row r="60" spans="2:2" x14ac:dyDescent="0.25">
      <c r="B60" s="11" t="s">
        <v>92</v>
      </c>
    </row>
    <row r="61" spans="2:2" x14ac:dyDescent="0.25">
      <c r="B61" s="11" t="s">
        <v>93</v>
      </c>
    </row>
    <row r="62" spans="2:2" x14ac:dyDescent="0.25">
      <c r="B62" s="11"/>
    </row>
    <row r="63" spans="2:2" x14ac:dyDescent="0.25">
      <c r="B63" s="11" t="s">
        <v>94</v>
      </c>
    </row>
    <row r="64" spans="2:2" x14ac:dyDescent="0.25">
      <c r="B64" s="11" t="s">
        <v>95</v>
      </c>
    </row>
    <row r="65" spans="2:2" x14ac:dyDescent="0.25">
      <c r="B65" s="11" t="s">
        <v>96</v>
      </c>
    </row>
    <row r="66" spans="2:2" x14ac:dyDescent="0.25">
      <c r="B66" s="11" t="s">
        <v>97</v>
      </c>
    </row>
    <row r="67" spans="2:2" x14ac:dyDescent="0.25">
      <c r="B67" s="11" t="s">
        <v>98</v>
      </c>
    </row>
    <row r="68" spans="2:2" x14ac:dyDescent="0.25">
      <c r="B68" s="11" t="s">
        <v>99</v>
      </c>
    </row>
    <row r="69" spans="2:2" x14ac:dyDescent="0.25">
      <c r="B69" s="11" t="s">
        <v>100</v>
      </c>
    </row>
    <row r="70" spans="2:2" x14ac:dyDescent="0.25">
      <c r="B70" s="11" t="s">
        <v>101</v>
      </c>
    </row>
    <row r="71" spans="2:2" x14ac:dyDescent="0.25">
      <c r="B71" s="11" t="s">
        <v>102</v>
      </c>
    </row>
    <row r="72" spans="2:2" x14ac:dyDescent="0.25">
      <c r="B72" s="11" t="s">
        <v>103</v>
      </c>
    </row>
    <row r="73" spans="2:2" x14ac:dyDescent="0.25">
      <c r="B73" s="11" t="s">
        <v>104</v>
      </c>
    </row>
    <row r="74" spans="2:2" x14ac:dyDescent="0.25">
      <c r="B74" s="11" t="s">
        <v>105</v>
      </c>
    </row>
    <row r="75" spans="2:2" x14ac:dyDescent="0.25">
      <c r="B75" s="11"/>
    </row>
    <row r="76" spans="2:2" x14ac:dyDescent="0.25">
      <c r="B76" s="11" t="s">
        <v>106</v>
      </c>
    </row>
    <row r="77" spans="2:2" x14ac:dyDescent="0.25">
      <c r="B77" s="11" t="s">
        <v>107</v>
      </c>
    </row>
    <row r="78" spans="2:2" x14ac:dyDescent="0.25">
      <c r="B78" s="11" t="s">
        <v>108</v>
      </c>
    </row>
    <row r="79" spans="2:2" x14ac:dyDescent="0.25">
      <c r="B79" s="11" t="s">
        <v>109</v>
      </c>
    </row>
    <row r="80" spans="2:2" x14ac:dyDescent="0.25">
      <c r="B80" s="11" t="s">
        <v>110</v>
      </c>
    </row>
    <row r="81" spans="2:2" x14ac:dyDescent="0.25">
      <c r="B81" s="11" t="s">
        <v>111</v>
      </c>
    </row>
    <row r="82" spans="2:2" x14ac:dyDescent="0.25">
      <c r="B82" s="11" t="s">
        <v>112</v>
      </c>
    </row>
    <row r="83" spans="2:2" x14ac:dyDescent="0.25">
      <c r="B83" s="11" t="s">
        <v>113</v>
      </c>
    </row>
    <row r="84" spans="2:2" x14ac:dyDescent="0.25">
      <c r="B84" s="11" t="s">
        <v>114</v>
      </c>
    </row>
    <row r="85" spans="2:2" x14ac:dyDescent="0.25">
      <c r="B85" s="11"/>
    </row>
    <row r="86" spans="2:2" x14ac:dyDescent="0.25">
      <c r="B86" s="11" t="s">
        <v>115</v>
      </c>
    </row>
    <row r="87" spans="2:2" x14ac:dyDescent="0.25">
      <c r="B87" s="11" t="s">
        <v>116</v>
      </c>
    </row>
    <row r="88" spans="2:2" x14ac:dyDescent="0.25">
      <c r="B88" s="11" t="s">
        <v>117</v>
      </c>
    </row>
    <row r="89" spans="2:2" x14ac:dyDescent="0.25">
      <c r="B89" s="11" t="s">
        <v>118</v>
      </c>
    </row>
    <row r="90" spans="2:2" x14ac:dyDescent="0.25">
      <c r="B90" s="11" t="s">
        <v>119</v>
      </c>
    </row>
    <row r="91" spans="2:2" x14ac:dyDescent="0.25">
      <c r="B91" s="11" t="s">
        <v>120</v>
      </c>
    </row>
    <row r="92" spans="2:2" x14ac:dyDescent="0.25">
      <c r="B92" s="11" t="s">
        <v>121</v>
      </c>
    </row>
    <row r="93" spans="2:2" x14ac:dyDescent="0.25">
      <c r="B93" s="11" t="s">
        <v>122</v>
      </c>
    </row>
    <row r="94" spans="2:2" x14ac:dyDescent="0.25">
      <c r="B94" s="11" t="s">
        <v>123</v>
      </c>
    </row>
    <row r="95" spans="2:2" x14ac:dyDescent="0.25">
      <c r="B95" s="11" t="s">
        <v>124</v>
      </c>
    </row>
    <row r="96" spans="2:2" x14ac:dyDescent="0.25">
      <c r="B96" s="11" t="s">
        <v>125</v>
      </c>
    </row>
    <row r="97" spans="2:2" x14ac:dyDescent="0.25">
      <c r="B97" s="11" t="s">
        <v>126</v>
      </c>
    </row>
    <row r="98" spans="2:2" x14ac:dyDescent="0.25">
      <c r="B98" s="11" t="s">
        <v>127</v>
      </c>
    </row>
    <row r="99" spans="2:2" x14ac:dyDescent="0.25">
      <c r="B99" s="11" t="s">
        <v>128</v>
      </c>
    </row>
    <row r="100" spans="2:2" x14ac:dyDescent="0.25">
      <c r="B100" s="11" t="s">
        <v>129</v>
      </c>
    </row>
    <row r="101" spans="2:2" x14ac:dyDescent="0.25">
      <c r="B101" s="11" t="s">
        <v>130</v>
      </c>
    </row>
    <row r="102" spans="2:2" x14ac:dyDescent="0.25">
      <c r="B102" s="11" t="s">
        <v>131</v>
      </c>
    </row>
    <row r="103" spans="2:2" x14ac:dyDescent="0.25">
      <c r="B103" s="11" t="s">
        <v>132</v>
      </c>
    </row>
    <row r="104" spans="2:2" x14ac:dyDescent="0.25">
      <c r="B104" s="11" t="s">
        <v>133</v>
      </c>
    </row>
    <row r="105" spans="2:2" x14ac:dyDescent="0.25">
      <c r="B105" s="11" t="s">
        <v>134</v>
      </c>
    </row>
    <row r="106" spans="2:2" x14ac:dyDescent="0.25">
      <c r="B106" s="11" t="s">
        <v>135</v>
      </c>
    </row>
    <row r="107" spans="2:2" x14ac:dyDescent="0.25">
      <c r="B107" s="11" t="s">
        <v>136</v>
      </c>
    </row>
    <row r="108" spans="2:2" x14ac:dyDescent="0.25">
      <c r="B108" s="11" t="s">
        <v>137</v>
      </c>
    </row>
    <row r="109" spans="2:2" x14ac:dyDescent="0.25">
      <c r="B109" s="11" t="s">
        <v>138</v>
      </c>
    </row>
    <row r="110" spans="2:2" x14ac:dyDescent="0.25">
      <c r="B110" s="11" t="s">
        <v>139</v>
      </c>
    </row>
    <row r="111" spans="2:2" x14ac:dyDescent="0.25">
      <c r="B111" s="11" t="s">
        <v>140</v>
      </c>
    </row>
    <row r="112" spans="2:2" x14ac:dyDescent="0.25">
      <c r="B112" s="11" t="s">
        <v>141</v>
      </c>
    </row>
    <row r="113" spans="2:2" x14ac:dyDescent="0.25">
      <c r="B113" s="11" t="s">
        <v>142</v>
      </c>
    </row>
    <row r="114" spans="2:2" x14ac:dyDescent="0.25">
      <c r="B114" s="11" t="s">
        <v>143</v>
      </c>
    </row>
    <row r="115" spans="2:2" x14ac:dyDescent="0.25">
      <c r="B115" s="11" t="s">
        <v>144</v>
      </c>
    </row>
    <row r="116" spans="2:2" x14ac:dyDescent="0.25">
      <c r="B116" s="11" t="s">
        <v>145</v>
      </c>
    </row>
    <row r="117" spans="2:2" x14ac:dyDescent="0.25">
      <c r="B117" s="11" t="s">
        <v>146</v>
      </c>
    </row>
    <row r="118" spans="2:2" x14ac:dyDescent="0.25">
      <c r="B118" s="11" t="s">
        <v>147</v>
      </c>
    </row>
    <row r="119" spans="2:2" x14ac:dyDescent="0.25">
      <c r="B119" s="11" t="s">
        <v>148</v>
      </c>
    </row>
    <row r="120" spans="2:2" x14ac:dyDescent="0.25">
      <c r="B120" s="11" t="s">
        <v>149</v>
      </c>
    </row>
    <row r="121" spans="2:2" x14ac:dyDescent="0.25">
      <c r="B121" s="11" t="s">
        <v>150</v>
      </c>
    </row>
    <row r="122" spans="2:2" x14ac:dyDescent="0.25">
      <c r="B122" s="11" t="s">
        <v>151</v>
      </c>
    </row>
    <row r="123" spans="2:2" x14ac:dyDescent="0.25">
      <c r="B123" s="11" t="s">
        <v>152</v>
      </c>
    </row>
    <row r="124" spans="2:2" x14ac:dyDescent="0.25">
      <c r="B124" s="11" t="s">
        <v>153</v>
      </c>
    </row>
    <row r="125" spans="2:2" x14ac:dyDescent="0.25">
      <c r="B125" s="11" t="s">
        <v>154</v>
      </c>
    </row>
    <row r="126" spans="2:2" x14ac:dyDescent="0.25">
      <c r="B126" s="11" t="s">
        <v>155</v>
      </c>
    </row>
    <row r="127" spans="2:2" x14ac:dyDescent="0.25">
      <c r="B127" s="11" t="s">
        <v>156</v>
      </c>
    </row>
    <row r="128" spans="2:2" x14ac:dyDescent="0.25">
      <c r="B128" s="11"/>
    </row>
    <row r="129" spans="2:2" x14ac:dyDescent="0.25">
      <c r="B129" s="11" t="s">
        <v>157</v>
      </c>
    </row>
    <row r="130" spans="2:2" x14ac:dyDescent="0.25">
      <c r="B130" s="11" t="s">
        <v>158</v>
      </c>
    </row>
    <row r="131" spans="2:2" x14ac:dyDescent="0.25">
      <c r="B131" s="11"/>
    </row>
    <row r="132" spans="2:2" x14ac:dyDescent="0.25">
      <c r="B132" s="11" t="s">
        <v>159</v>
      </c>
    </row>
  </sheetData>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A251C"/>
    <pageSetUpPr fitToPage="1"/>
  </sheetPr>
  <dimension ref="B2:D58"/>
  <sheetViews>
    <sheetView showGridLines="0" zoomScaleNormal="100" workbookViewId="0">
      <selection activeCell="C11" sqref="C11"/>
    </sheetView>
  </sheetViews>
  <sheetFormatPr defaultColWidth="8.7109375" defaultRowHeight="15" x14ac:dyDescent="0.25"/>
  <cols>
    <col min="1" max="1" width="3" customWidth="1"/>
    <col min="2" max="2" width="30" customWidth="1"/>
    <col min="3" max="3" width="16" customWidth="1"/>
    <col min="4" max="5" width="3" customWidth="1"/>
    <col min="6" max="6" width="14" customWidth="1"/>
  </cols>
  <sheetData>
    <row r="2" spans="2:4" ht="18" customHeight="1" x14ac:dyDescent="0.25">
      <c r="B2" s="1" t="s">
        <v>160</v>
      </c>
      <c r="C2" s="2"/>
      <c r="D2" s="2"/>
    </row>
    <row r="3" spans="2:4" x14ac:dyDescent="0.25">
      <c r="B3" s="3" t="s">
        <v>161</v>
      </c>
    </row>
    <row r="5" spans="2:4" x14ac:dyDescent="0.25">
      <c r="B5" s="12" t="s">
        <v>162</v>
      </c>
      <c r="C5" t="str">
        <f>IF('Project Info'!C5="","",'Project Info'!C5)</f>
        <v>Norcross, GA</v>
      </c>
    </row>
    <row r="6" spans="2:4" x14ac:dyDescent="0.25">
      <c r="B6" s="12" t="s">
        <v>163</v>
      </c>
      <c r="C6" t="str">
        <f>IF('Project Info'!C6="","",'Project Info'!C6)</f>
        <v>#1517</v>
      </c>
    </row>
    <row r="7" spans="2:4" x14ac:dyDescent="0.25">
      <c r="B7" s="12" t="s">
        <v>164</v>
      </c>
      <c r="C7" s="13">
        <f ca="1">TODAY()</f>
        <v>46296</v>
      </c>
    </row>
    <row r="9" spans="2:4" x14ac:dyDescent="0.25">
      <c r="B9" s="14"/>
    </row>
    <row r="10" spans="2:4" x14ac:dyDescent="0.25">
      <c r="B10" s="15" t="s">
        <v>165</v>
      </c>
      <c r="C10" s="16"/>
    </row>
    <row r="11" spans="2:4" x14ac:dyDescent="0.25">
      <c r="B11" s="14" t="s">
        <v>166</v>
      </c>
      <c r="C11" s="4">
        <f ca="1">COUNTIF('RFI Log'!K2:K299,"Open")</f>
        <v>0</v>
      </c>
    </row>
    <row r="12" spans="2:4" x14ac:dyDescent="0.25">
      <c r="B12" s="14" t="s">
        <v>167</v>
      </c>
      <c r="C12" s="4">
        <f ca="1">COUNTIF('RFI Log'!K2:K299,"Overdue")</f>
        <v>0</v>
      </c>
    </row>
    <row r="13" spans="2:4" x14ac:dyDescent="0.25">
      <c r="B13" s="14" t="s">
        <v>168</v>
      </c>
      <c r="C13" s="4">
        <f ca="1">COUNTIF('RFI Log'!K2:K299,"Closed")</f>
        <v>6</v>
      </c>
    </row>
    <row r="14" spans="2:4" x14ac:dyDescent="0.25">
      <c r="B14" s="15" t="s">
        <v>169</v>
      </c>
      <c r="C14" s="16"/>
    </row>
    <row r="15" spans="2:4" x14ac:dyDescent="0.25">
      <c r="B15" s="14" t="s">
        <v>170</v>
      </c>
      <c r="C15" s="4">
        <f>COUNTIFS('Submittal Log'!G2:G299,"&lt;&gt;",'Submittal Log'!I2:I299,"")</f>
        <v>8</v>
      </c>
    </row>
    <row r="16" spans="2:4" x14ac:dyDescent="0.25">
      <c r="B16" s="14" t="s">
        <v>171</v>
      </c>
      <c r="C16" s="4">
        <f>COUNTIF('Submittal Log'!J2:J299,"Revise &amp; Resubmit")</f>
        <v>0</v>
      </c>
    </row>
    <row r="17" spans="2:3" x14ac:dyDescent="0.25">
      <c r="B17" s="15" t="s">
        <v>172</v>
      </c>
      <c r="C17" s="16"/>
    </row>
    <row r="18" spans="2:3" x14ac:dyDescent="0.25">
      <c r="B18" s="14" t="s">
        <v>173</v>
      </c>
      <c r="C18" s="4">
        <f>COUNTIF('Change Order Log'!J2:J299,"Pending")</f>
        <v>2</v>
      </c>
    </row>
    <row r="19" spans="2:3" x14ac:dyDescent="0.25">
      <c r="B19" s="14" t="s">
        <v>174</v>
      </c>
      <c r="C19" s="17">
        <f>SUMIFS('Change Order Log'!H2:H299,'Change Order Log'!J2:J299,"Approved")</f>
        <v>0</v>
      </c>
    </row>
    <row r="20" spans="2:3" x14ac:dyDescent="0.25">
      <c r="B20" s="15" t="s">
        <v>175</v>
      </c>
      <c r="C20" s="16"/>
    </row>
    <row r="21" spans="2:3" x14ac:dyDescent="0.25">
      <c r="B21" s="14" t="s">
        <v>176</v>
      </c>
      <c r="C21" s="4">
        <f>COUNTIF('Subcontractor CO Log'!K2:K299,"Under Review")</f>
        <v>0</v>
      </c>
    </row>
    <row r="22" spans="2:3" x14ac:dyDescent="0.25">
      <c r="B22" s="14" t="s">
        <v>177</v>
      </c>
      <c r="C22" s="4">
        <f>COUNTIF('Subcontractor CO Log'!K2:K299,"Rejected")</f>
        <v>0</v>
      </c>
    </row>
    <row r="23" spans="2:3" x14ac:dyDescent="0.25">
      <c r="B23" s="14" t="s">
        <v>174</v>
      </c>
      <c r="C23" s="17">
        <f>SUMIFS('Subcontractor CO Log'!N2:N299,'Subcontractor CO Log'!K2:K299,"Approved")</f>
        <v>56430</v>
      </c>
    </row>
    <row r="24" spans="2:3" x14ac:dyDescent="0.25">
      <c r="B24" s="15" t="s">
        <v>178</v>
      </c>
      <c r="C24" s="16"/>
    </row>
    <row r="25" spans="2:3" x14ac:dyDescent="0.25">
      <c r="B25" s="14" t="s">
        <v>166</v>
      </c>
      <c r="C25" s="4">
        <f>COUNTIF('Claims Log'!K2:K299,"Open")</f>
        <v>0</v>
      </c>
    </row>
    <row r="26" spans="2:3" x14ac:dyDescent="0.25">
      <c r="B26" s="14" t="s">
        <v>179</v>
      </c>
      <c r="C26" s="4">
        <f>COUNTIF('Claims Log'!F2:F299,"NO - LATE")</f>
        <v>0</v>
      </c>
    </row>
    <row r="27" spans="2:3" x14ac:dyDescent="0.25">
      <c r="B27" s="15" t="s">
        <v>180</v>
      </c>
      <c r="C27" s="16"/>
    </row>
    <row r="28" spans="2:3" x14ac:dyDescent="0.25">
      <c r="B28" s="14" t="s">
        <v>181</v>
      </c>
      <c r="C28" s="4">
        <f>COUNTIFS('Risk Register'!H2:H299,"High",'Risk Register'!M2:M299,"Open")</f>
        <v>0</v>
      </c>
    </row>
    <row r="29" spans="2:3" x14ac:dyDescent="0.25">
      <c r="B29" s="14" t="s">
        <v>182</v>
      </c>
      <c r="C29" s="4">
        <f>COUNTIF('Risk Register'!M2:M299,"Open")</f>
        <v>0</v>
      </c>
    </row>
    <row r="30" spans="2:3" x14ac:dyDescent="0.25">
      <c r="B30" s="15" t="s">
        <v>183</v>
      </c>
      <c r="C30" s="16"/>
    </row>
    <row r="31" spans="2:3" x14ac:dyDescent="0.25">
      <c r="B31" s="14" t="s">
        <v>166</v>
      </c>
      <c r="C31" s="4">
        <f>COUNTIF('Meeting Minutes Log'!I2:I299,"Open")</f>
        <v>12</v>
      </c>
    </row>
    <row r="32" spans="2:3" x14ac:dyDescent="0.25">
      <c r="B32" s="14" t="s">
        <v>167</v>
      </c>
      <c r="C32" s="4">
        <f ca="1">SUMPRODUCT(('Meeting Minutes Log'!$H$2:$H$299&lt;&gt;"")*('Meeting Minutes Log'!$H$2:$H$299&lt;TODAY())*('Meeting Minutes Log'!$I$2:$I$299&lt;&gt;"Closed"))</f>
        <v>0</v>
      </c>
    </row>
    <row r="33" spans="2:3" x14ac:dyDescent="0.25">
      <c r="B33" s="15" t="s">
        <v>184</v>
      </c>
      <c r="C33" s="16"/>
    </row>
    <row r="34" spans="2:3" x14ac:dyDescent="0.25">
      <c r="B34" s="14" t="s">
        <v>185</v>
      </c>
      <c r="C34" s="4">
        <f>COUNTIFS('Contract Review Log'!G2:G299,"High",'Contract Review Log'!I2:I299,"Open")</f>
        <v>0</v>
      </c>
    </row>
    <row r="35" spans="2:3" x14ac:dyDescent="0.25">
      <c r="B35" s="15" t="s">
        <v>186</v>
      </c>
      <c r="C35" s="16"/>
    </row>
    <row r="36" spans="2:3" x14ac:dyDescent="0.25">
      <c r="B36" s="14" t="s">
        <v>187</v>
      </c>
      <c r="C36" s="4">
        <f ca="1">COUNTIF('Contract Milestones'!D2:D296,"Missed")</f>
        <v>0</v>
      </c>
    </row>
    <row r="37" spans="2:3" x14ac:dyDescent="0.25">
      <c r="B37" s="14" t="s">
        <v>188</v>
      </c>
      <c r="C37" s="4">
        <f ca="1">COUNTIF('Contract Milestones'!D2:D296,"Met - Late")</f>
        <v>0</v>
      </c>
    </row>
    <row r="38" spans="2:3" x14ac:dyDescent="0.25">
      <c r="B38" s="14" t="s">
        <v>189</v>
      </c>
      <c r="C38" s="4">
        <f ca="1">COUNTIF('Contract Milestones'!D2:D296,"Due Soon")</f>
        <v>0</v>
      </c>
    </row>
    <row r="39" spans="2:3" x14ac:dyDescent="0.25">
      <c r="B39" s="15" t="s">
        <v>190</v>
      </c>
      <c r="C39" s="16"/>
    </row>
    <row r="40" spans="2:3" x14ac:dyDescent="0.25">
      <c r="B40" s="14" t="s">
        <v>191</v>
      </c>
      <c r="C40" s="4">
        <f ca="1">COUNTIF('Permit Tracker'!J6:J303,"ACTION NEEDED")</f>
        <v>0</v>
      </c>
    </row>
    <row r="41" spans="2:3" x14ac:dyDescent="0.25">
      <c r="B41" s="14" t="s">
        <v>192</v>
      </c>
      <c r="C41" s="4">
        <f ca="1">COUNTIF('Permit Tracker'!J6:J303,"EXPIRING SOON")</f>
        <v>0</v>
      </c>
    </row>
    <row r="42" spans="2:3" x14ac:dyDescent="0.25">
      <c r="B42" s="14" t="s">
        <v>193</v>
      </c>
      <c r="C42" s="4">
        <f>COUNTIF('Permit Tracker'!E6:E303,"In Hand")</f>
        <v>0</v>
      </c>
    </row>
    <row r="43" spans="2:3" x14ac:dyDescent="0.25">
      <c r="B43" s="15" t="s">
        <v>194</v>
      </c>
      <c r="C43" s="16"/>
    </row>
    <row r="44" spans="2:3" x14ac:dyDescent="0.25">
      <c r="B44" s="14" t="s">
        <v>195</v>
      </c>
      <c r="C44" s="4">
        <f>COUNTIF('Material Tracker'!F6:F303,"Not Ordered")</f>
        <v>0</v>
      </c>
    </row>
    <row r="45" spans="2:3" x14ac:dyDescent="0.25">
      <c r="B45" s="14" t="s">
        <v>196</v>
      </c>
      <c r="C45" s="4">
        <f ca="1">COUNTIF('Material Tracker'!M6:M303,"OVERDUE")</f>
        <v>0</v>
      </c>
    </row>
    <row r="46" spans="2:3" x14ac:dyDescent="0.25">
      <c r="B46" s="14" t="s">
        <v>197</v>
      </c>
      <c r="C46" s="4">
        <f>COUNTIF('Material Tracker'!F6:F303,"Received")</f>
        <v>0</v>
      </c>
    </row>
    <row r="47" spans="2:3" x14ac:dyDescent="0.25">
      <c r="B47" s="15" t="s">
        <v>198</v>
      </c>
      <c r="C47" s="16"/>
    </row>
    <row r="48" spans="2:3" x14ac:dyDescent="0.25">
      <c r="B48" s="14" t="s">
        <v>199</v>
      </c>
      <c r="C48" s="4">
        <f>COUNTIF(Schedule!H2:H299,"Delayed")</f>
        <v>0</v>
      </c>
    </row>
    <row r="49" spans="2:3" x14ac:dyDescent="0.25">
      <c r="B49" s="14" t="s">
        <v>200</v>
      </c>
      <c r="C49" s="4">
        <f>COUNTIF(Schedule!H2:H299,"At Risk")</f>
        <v>0</v>
      </c>
    </row>
    <row r="50" spans="2:3" x14ac:dyDescent="0.25">
      <c r="B50" s="15" t="s">
        <v>201</v>
      </c>
      <c r="C50" s="16"/>
    </row>
    <row r="51" spans="2:3" x14ac:dyDescent="0.25">
      <c r="B51" s="14" t="s">
        <v>202</v>
      </c>
      <c r="C51" s="4">
        <f ca="1">COUNTIF('RFI Log'!V2:V299,"&gt;=14")</f>
        <v>0</v>
      </c>
    </row>
    <row r="52" spans="2:3" x14ac:dyDescent="0.25">
      <c r="B52" s="14" t="s">
        <v>203</v>
      </c>
      <c r="C52" s="4">
        <f ca="1">COUNTIF('Submittal Log'!P2:P299,"&gt;=14")</f>
        <v>5</v>
      </c>
    </row>
    <row r="53" spans="2:3" x14ac:dyDescent="0.25">
      <c r="B53" s="14" t="s">
        <v>204</v>
      </c>
      <c r="C53" s="4">
        <f ca="1">COUNTIF('Change Order Log'!Q2:Q299,"&gt;=14")</f>
        <v>2</v>
      </c>
    </row>
    <row r="54" spans="2:3" x14ac:dyDescent="0.25">
      <c r="B54" s="14" t="s">
        <v>205</v>
      </c>
      <c r="C54" s="4">
        <f ca="1">COUNTIF('Subcontractor CO Log'!S2:S299,"&gt;=14")</f>
        <v>0</v>
      </c>
    </row>
    <row r="55" spans="2:3" x14ac:dyDescent="0.25">
      <c r="B55" s="14" t="s">
        <v>206</v>
      </c>
      <c r="C55" s="4">
        <f ca="1">COUNTIF('Claims Log'!P2:P299,"&gt;=14")</f>
        <v>0</v>
      </c>
    </row>
    <row r="56" spans="2:3" x14ac:dyDescent="0.25">
      <c r="B56" s="14" t="s">
        <v>207</v>
      </c>
      <c r="C56" s="4">
        <f ca="1">COUNTIF('Risk Register'!O2:O299,"&gt;=14")</f>
        <v>0</v>
      </c>
    </row>
    <row r="57" spans="2:3" x14ac:dyDescent="0.25">
      <c r="B57" s="14" t="s">
        <v>208</v>
      </c>
      <c r="C57" s="4">
        <f ca="1">COUNTIF('Permit Tracker'!N6:N303,"&gt;=14")</f>
        <v>0</v>
      </c>
    </row>
    <row r="58" spans="2:3" x14ac:dyDescent="0.25">
      <c r="B58" s="14" t="s">
        <v>209</v>
      </c>
      <c r="C58" s="4">
        <f ca="1">COUNTIF('Material Tracker'!S6:S303,"&gt;=14")</f>
        <v>0</v>
      </c>
    </row>
  </sheetData>
  <conditionalFormatting sqref="C12">
    <cfRule type="cellIs" dxfId="42" priority="2" operator="greaterThan">
      <formula>0</formula>
    </cfRule>
  </conditionalFormatting>
  <conditionalFormatting sqref="C16">
    <cfRule type="cellIs" dxfId="41" priority="3" operator="greaterThan">
      <formula>0</formula>
    </cfRule>
  </conditionalFormatting>
  <conditionalFormatting sqref="C18">
    <cfRule type="cellIs" dxfId="40" priority="4" operator="greaterThan">
      <formula>0</formula>
    </cfRule>
  </conditionalFormatting>
  <conditionalFormatting sqref="C21:C22">
    <cfRule type="cellIs" dxfId="39" priority="5" operator="greaterThan">
      <formula>0</formula>
    </cfRule>
  </conditionalFormatting>
  <conditionalFormatting sqref="C26">
    <cfRule type="cellIs" dxfId="38" priority="6" operator="greaterThan">
      <formula>0</formula>
    </cfRule>
  </conditionalFormatting>
  <conditionalFormatting sqref="C28">
    <cfRule type="cellIs" dxfId="37" priority="7" operator="greaterThan">
      <formula>0</formula>
    </cfRule>
  </conditionalFormatting>
  <conditionalFormatting sqref="C32">
    <cfRule type="cellIs" dxfId="36" priority="8" operator="greaterThan">
      <formula>0</formula>
    </cfRule>
  </conditionalFormatting>
  <conditionalFormatting sqref="C34">
    <cfRule type="cellIs" dxfId="35" priority="9" operator="greaterThan">
      <formula>0</formula>
    </cfRule>
  </conditionalFormatting>
  <conditionalFormatting sqref="C36:C38">
    <cfRule type="cellIs" dxfId="34" priority="10" operator="greaterThan">
      <formula>0</formula>
    </cfRule>
  </conditionalFormatting>
  <conditionalFormatting sqref="C40:C41">
    <cfRule type="cellIs" dxfId="33" priority="11" operator="greaterThan">
      <formula>0</formula>
    </cfRule>
  </conditionalFormatting>
  <conditionalFormatting sqref="C45">
    <cfRule type="cellIs" dxfId="32" priority="12" operator="greaterThan">
      <formula>0</formula>
    </cfRule>
  </conditionalFormatting>
  <conditionalFormatting sqref="C48:C49">
    <cfRule type="cellIs" dxfId="31" priority="13" operator="greaterThan">
      <formula>0</formula>
    </cfRule>
  </conditionalFormatting>
  <conditionalFormatting sqref="C51:C58">
    <cfRule type="cellIs" dxfId="30" priority="14" operator="greaterThan">
      <formula>0</formula>
    </cfRule>
  </conditionalFormatting>
  <pageMargins left="0.75" right="0.75" top="1" bottom="1"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1A1A"/>
    <pageSetUpPr fitToPage="1"/>
  </sheetPr>
  <dimension ref="A1:V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8" customWidth="1"/>
    <col min="2" max="2" width="13" customWidth="1"/>
    <col min="3" max="3" width="14" customWidth="1"/>
    <col min="4" max="4" width="22" customWidth="1"/>
    <col min="5" max="5" width="20" customWidth="1"/>
    <col min="6" max="6" width="30" customWidth="1"/>
    <col min="7" max="8" width="14" customWidth="1"/>
    <col min="9" max="9" width="30" customWidth="1"/>
    <col min="10" max="10" width="14" customWidth="1"/>
    <col min="11" max="11" width="12" customWidth="1"/>
    <col min="12" max="12" width="10" customWidth="1"/>
    <col min="13" max="15" width="12" customWidth="1"/>
    <col min="16" max="16" width="14" customWidth="1"/>
    <col min="17" max="17" width="24" customWidth="1"/>
    <col min="18" max="18" width="14" customWidth="1"/>
    <col min="19" max="19" width="10" customWidth="1"/>
    <col min="20" max="20" width="9" customWidth="1"/>
    <col min="21" max="22" width="14" customWidth="1"/>
  </cols>
  <sheetData>
    <row r="1" spans="1:22" ht="31.5" customHeight="1" x14ac:dyDescent="0.25">
      <c r="A1" s="18" t="s">
        <v>210</v>
      </c>
      <c r="B1" s="18" t="s">
        <v>211</v>
      </c>
      <c r="C1" s="18" t="s">
        <v>212</v>
      </c>
      <c r="D1" s="18" t="s">
        <v>213</v>
      </c>
      <c r="E1" s="18" t="s">
        <v>214</v>
      </c>
      <c r="F1" s="18" t="s">
        <v>215</v>
      </c>
      <c r="G1" s="18" t="s">
        <v>216</v>
      </c>
      <c r="H1" s="18" t="s">
        <v>217</v>
      </c>
      <c r="I1" s="18" t="s">
        <v>218</v>
      </c>
      <c r="J1" s="18" t="s">
        <v>219</v>
      </c>
      <c r="K1" s="18" t="s">
        <v>220</v>
      </c>
      <c r="L1" s="18" t="s">
        <v>221</v>
      </c>
      <c r="M1" s="18" t="s">
        <v>222</v>
      </c>
      <c r="N1" s="18" t="s">
        <v>223</v>
      </c>
      <c r="O1" s="18" t="s">
        <v>224</v>
      </c>
      <c r="P1" s="18" t="s">
        <v>225</v>
      </c>
      <c r="Q1" s="18" t="s">
        <v>226</v>
      </c>
      <c r="R1" s="18" t="s">
        <v>227</v>
      </c>
      <c r="S1" s="18" t="s">
        <v>228</v>
      </c>
      <c r="T1" s="18" t="s">
        <v>229</v>
      </c>
      <c r="U1" s="18" t="s">
        <v>230</v>
      </c>
      <c r="V1" s="18" t="s">
        <v>231</v>
      </c>
    </row>
    <row r="2" spans="1:22" ht="90" x14ac:dyDescent="0.25">
      <c r="A2" s="19" t="s">
        <v>232</v>
      </c>
      <c r="B2" s="20">
        <v>46119</v>
      </c>
      <c r="C2" s="19" t="s">
        <v>233</v>
      </c>
      <c r="D2" s="21" t="s">
        <v>234</v>
      </c>
      <c r="E2" s="21" t="s">
        <v>235</v>
      </c>
      <c r="F2" s="21" t="s">
        <v>236</v>
      </c>
      <c r="G2" s="21" t="s">
        <v>237</v>
      </c>
      <c r="H2" s="20">
        <v>46122</v>
      </c>
      <c r="I2" s="21" t="s">
        <v>238</v>
      </c>
      <c r="J2" s="20">
        <v>46129</v>
      </c>
      <c r="K2" s="19" t="str">
        <f t="shared" ref="K2:K65" ca="1" si="0">IF(A2="","",IF(T2="Yes","Void",IF(I2&lt;&gt;"","Closed",IF(AND(H2&lt;&gt;"",TODAY()&gt;H2),"Overdue","Open"))))</f>
        <v>Closed</v>
      </c>
      <c r="L2" s="19">
        <f t="shared" ref="L2:L65" ca="1" si="1">IF(A2="","",IF(I2&lt;&gt;"",J2-B2,TODAY()-B2))</f>
        <v>10</v>
      </c>
      <c r="M2" s="19">
        <v>0</v>
      </c>
      <c r="N2" s="19">
        <v>0</v>
      </c>
      <c r="Q2" s="21" t="s">
        <v>239</v>
      </c>
      <c r="R2" s="19" t="s">
        <v>240</v>
      </c>
      <c r="S2" s="19">
        <v>0</v>
      </c>
      <c r="T2" s="19" t="s">
        <v>240</v>
      </c>
      <c r="U2" s="20">
        <f t="shared" ref="U2:U65" si="2">IF(A2="","",MAX(B2+0,H2+0,J2+0))</f>
        <v>46129</v>
      </c>
      <c r="V2" s="19" t="str">
        <f t="shared" ref="V2:V65" ca="1" si="3">IF(A2="","",IF(K2="Closed","",TODAY()-U2))</f>
        <v/>
      </c>
    </row>
    <row r="3" spans="1:22" ht="135" x14ac:dyDescent="0.25">
      <c r="A3" s="19" t="s">
        <v>241</v>
      </c>
      <c r="B3" s="20">
        <v>46119</v>
      </c>
      <c r="C3" s="19" t="s">
        <v>233</v>
      </c>
      <c r="D3" s="21" t="s">
        <v>242</v>
      </c>
      <c r="E3" s="21" t="s">
        <v>243</v>
      </c>
      <c r="F3" s="21" t="s">
        <v>244</v>
      </c>
      <c r="G3" s="21" t="s">
        <v>245</v>
      </c>
      <c r="H3" s="20">
        <v>46122</v>
      </c>
      <c r="I3" s="21" t="s">
        <v>246</v>
      </c>
      <c r="J3" s="20">
        <v>46120</v>
      </c>
      <c r="K3" s="19" t="str">
        <f t="shared" ca="1" si="0"/>
        <v>Closed</v>
      </c>
      <c r="L3" s="19">
        <f t="shared" ca="1" si="1"/>
        <v>1</v>
      </c>
      <c r="M3" s="19">
        <v>0</v>
      </c>
      <c r="N3" s="19">
        <v>0</v>
      </c>
      <c r="Q3" s="21"/>
      <c r="R3" s="19" t="s">
        <v>240</v>
      </c>
      <c r="S3" s="19">
        <v>0</v>
      </c>
      <c r="T3" s="19" t="s">
        <v>240</v>
      </c>
      <c r="U3" s="20">
        <f t="shared" si="2"/>
        <v>46122</v>
      </c>
      <c r="V3" s="19" t="str">
        <f t="shared" ca="1" si="3"/>
        <v/>
      </c>
    </row>
    <row r="4" spans="1:22" ht="135" x14ac:dyDescent="0.25">
      <c r="A4" s="19" t="s">
        <v>247</v>
      </c>
      <c r="B4" s="20">
        <v>46127</v>
      </c>
      <c r="C4" s="19" t="s">
        <v>233</v>
      </c>
      <c r="D4" s="21" t="s">
        <v>248</v>
      </c>
      <c r="E4" s="21" t="s">
        <v>249</v>
      </c>
      <c r="F4" s="21" t="s">
        <v>250</v>
      </c>
      <c r="G4" s="21" t="s">
        <v>251</v>
      </c>
      <c r="H4" s="20">
        <v>46132</v>
      </c>
      <c r="I4" s="21" t="s">
        <v>252</v>
      </c>
      <c r="J4" s="20">
        <v>46132</v>
      </c>
      <c r="K4" s="19" t="str">
        <f t="shared" ca="1" si="0"/>
        <v>Closed</v>
      </c>
      <c r="L4" s="19">
        <f t="shared" ca="1" si="1"/>
        <v>5</v>
      </c>
      <c r="M4" s="19">
        <v>0</v>
      </c>
      <c r="N4" s="19">
        <v>0</v>
      </c>
      <c r="Q4" s="21"/>
      <c r="R4" s="19" t="s">
        <v>240</v>
      </c>
      <c r="S4" s="19">
        <v>0</v>
      </c>
      <c r="T4" s="19" t="s">
        <v>240</v>
      </c>
      <c r="U4" s="20">
        <f t="shared" si="2"/>
        <v>46132</v>
      </c>
      <c r="V4" s="19" t="str">
        <f t="shared" ca="1" si="3"/>
        <v/>
      </c>
    </row>
    <row r="5" spans="1:22" ht="180" x14ac:dyDescent="0.25">
      <c r="A5" s="19" t="s">
        <v>253</v>
      </c>
      <c r="B5" s="20">
        <v>46260</v>
      </c>
      <c r="C5" s="19" t="s">
        <v>233</v>
      </c>
      <c r="D5" s="21" t="s">
        <v>254</v>
      </c>
      <c r="E5" s="21" t="s">
        <v>255</v>
      </c>
      <c r="F5" s="21" t="s">
        <v>256</v>
      </c>
      <c r="G5" s="21" t="s">
        <v>257</v>
      </c>
      <c r="H5" s="20">
        <v>46265</v>
      </c>
      <c r="I5" s="21" t="s">
        <v>258</v>
      </c>
      <c r="J5" s="20">
        <v>46273</v>
      </c>
      <c r="K5" s="19" t="str">
        <f t="shared" ca="1" si="0"/>
        <v>Closed</v>
      </c>
      <c r="L5" s="19">
        <f t="shared" ca="1" si="1"/>
        <v>13</v>
      </c>
      <c r="M5" s="19">
        <v>0</v>
      </c>
      <c r="N5" s="19">
        <v>0</v>
      </c>
      <c r="Q5" s="21" t="s">
        <v>259</v>
      </c>
      <c r="R5" s="19" t="s">
        <v>240</v>
      </c>
      <c r="S5" s="19">
        <v>0</v>
      </c>
      <c r="T5" s="19" t="s">
        <v>240</v>
      </c>
      <c r="U5" s="20">
        <f t="shared" si="2"/>
        <v>46273</v>
      </c>
      <c r="V5" s="19" t="str">
        <f t="shared" ca="1" si="3"/>
        <v/>
      </c>
    </row>
    <row r="6" spans="1:22" ht="180" x14ac:dyDescent="0.25">
      <c r="A6" s="19" t="s">
        <v>260</v>
      </c>
      <c r="B6" s="20">
        <v>46265</v>
      </c>
      <c r="C6" s="19" t="s">
        <v>233</v>
      </c>
      <c r="D6" s="21" t="s">
        <v>261</v>
      </c>
      <c r="E6" s="21" t="s">
        <v>262</v>
      </c>
      <c r="F6" s="21" t="s">
        <v>263</v>
      </c>
      <c r="G6" s="21" t="s">
        <v>257</v>
      </c>
      <c r="H6" s="20">
        <v>46268</v>
      </c>
      <c r="I6" s="21" t="s">
        <v>264</v>
      </c>
      <c r="J6" s="20">
        <v>46276</v>
      </c>
      <c r="K6" s="19" t="str">
        <f t="shared" ca="1" si="0"/>
        <v>Closed</v>
      </c>
      <c r="L6" s="19">
        <f t="shared" ca="1" si="1"/>
        <v>11</v>
      </c>
      <c r="M6" s="19">
        <v>0</v>
      </c>
      <c r="N6" s="19">
        <v>0</v>
      </c>
      <c r="Q6" s="21" t="s">
        <v>265</v>
      </c>
      <c r="R6" s="19" t="s">
        <v>240</v>
      </c>
      <c r="S6" s="19">
        <v>0</v>
      </c>
      <c r="T6" s="19" t="s">
        <v>240</v>
      </c>
      <c r="U6" s="20">
        <f t="shared" si="2"/>
        <v>46276</v>
      </c>
      <c r="V6" s="19" t="str">
        <f t="shared" ca="1" si="3"/>
        <v/>
      </c>
    </row>
    <row r="7" spans="1:22" ht="195" x14ac:dyDescent="0.25">
      <c r="A7" s="19" t="s">
        <v>266</v>
      </c>
      <c r="B7" s="20">
        <v>46283</v>
      </c>
      <c r="C7" s="19" t="s">
        <v>267</v>
      </c>
      <c r="D7" s="21" t="s">
        <v>268</v>
      </c>
      <c r="E7" s="21" t="s">
        <v>269</v>
      </c>
      <c r="F7" s="21" t="s">
        <v>270</v>
      </c>
      <c r="G7" s="21" t="s">
        <v>271</v>
      </c>
      <c r="H7" s="20">
        <v>46288</v>
      </c>
      <c r="I7" s="21" t="s">
        <v>272</v>
      </c>
      <c r="J7" s="20">
        <v>46288</v>
      </c>
      <c r="K7" s="19" t="str">
        <f t="shared" ca="1" si="0"/>
        <v>Closed</v>
      </c>
      <c r="L7" s="19">
        <f t="shared" ca="1" si="1"/>
        <v>5</v>
      </c>
      <c r="M7" s="19">
        <v>0</v>
      </c>
      <c r="N7" s="19">
        <v>0</v>
      </c>
      <c r="Q7" s="21" t="s">
        <v>273</v>
      </c>
      <c r="R7" s="19" t="s">
        <v>274</v>
      </c>
      <c r="S7" s="19">
        <v>0</v>
      </c>
      <c r="T7" s="19" t="s">
        <v>240</v>
      </c>
      <c r="U7" s="20">
        <f t="shared" si="2"/>
        <v>46288</v>
      </c>
      <c r="V7" s="19" t="str">
        <f t="shared" ca="1" si="3"/>
        <v/>
      </c>
    </row>
    <row r="8" spans="1:22" x14ac:dyDescent="0.25">
      <c r="K8" t="str">
        <f t="shared" ca="1" si="0"/>
        <v/>
      </c>
      <c r="L8" t="str">
        <f t="shared" ca="1" si="1"/>
        <v/>
      </c>
      <c r="U8" s="13" t="str">
        <f t="shared" si="2"/>
        <v/>
      </c>
      <c r="V8" t="str">
        <f t="shared" ca="1" si="3"/>
        <v/>
      </c>
    </row>
    <row r="9" spans="1:22" x14ac:dyDescent="0.25">
      <c r="K9" t="str">
        <f t="shared" ca="1" si="0"/>
        <v/>
      </c>
      <c r="L9" t="str">
        <f t="shared" ca="1" si="1"/>
        <v/>
      </c>
      <c r="U9" s="13" t="str">
        <f t="shared" si="2"/>
        <v/>
      </c>
      <c r="V9" t="str">
        <f t="shared" ca="1" si="3"/>
        <v/>
      </c>
    </row>
    <row r="10" spans="1:22" x14ac:dyDescent="0.25">
      <c r="K10" t="str">
        <f t="shared" ca="1" si="0"/>
        <v/>
      </c>
      <c r="L10" t="str">
        <f t="shared" ca="1" si="1"/>
        <v/>
      </c>
      <c r="U10" s="13" t="str">
        <f t="shared" si="2"/>
        <v/>
      </c>
      <c r="V10" t="str">
        <f t="shared" ca="1" si="3"/>
        <v/>
      </c>
    </row>
    <row r="11" spans="1:22" x14ac:dyDescent="0.25">
      <c r="K11" t="str">
        <f t="shared" ca="1" si="0"/>
        <v/>
      </c>
      <c r="L11" t="str">
        <f t="shared" ca="1" si="1"/>
        <v/>
      </c>
      <c r="U11" s="13" t="str">
        <f t="shared" si="2"/>
        <v/>
      </c>
      <c r="V11" t="str">
        <f t="shared" ca="1" si="3"/>
        <v/>
      </c>
    </row>
    <row r="12" spans="1:22" x14ac:dyDescent="0.25">
      <c r="K12" t="str">
        <f t="shared" ca="1" si="0"/>
        <v/>
      </c>
      <c r="L12" t="str">
        <f t="shared" ca="1" si="1"/>
        <v/>
      </c>
      <c r="U12" s="13" t="str">
        <f t="shared" si="2"/>
        <v/>
      </c>
      <c r="V12" t="str">
        <f t="shared" ca="1" si="3"/>
        <v/>
      </c>
    </row>
    <row r="13" spans="1:22" x14ac:dyDescent="0.25">
      <c r="K13" t="str">
        <f t="shared" ca="1" si="0"/>
        <v/>
      </c>
      <c r="L13" t="str">
        <f t="shared" ca="1" si="1"/>
        <v/>
      </c>
      <c r="U13" s="13" t="str">
        <f t="shared" si="2"/>
        <v/>
      </c>
      <c r="V13" t="str">
        <f t="shared" ca="1" si="3"/>
        <v/>
      </c>
    </row>
    <row r="14" spans="1:22" x14ac:dyDescent="0.25">
      <c r="K14" t="str">
        <f t="shared" ca="1" si="0"/>
        <v/>
      </c>
      <c r="L14" t="str">
        <f t="shared" ca="1" si="1"/>
        <v/>
      </c>
      <c r="U14" s="13" t="str">
        <f t="shared" si="2"/>
        <v/>
      </c>
      <c r="V14" t="str">
        <f t="shared" ca="1" si="3"/>
        <v/>
      </c>
    </row>
    <row r="15" spans="1:22" x14ac:dyDescent="0.25">
      <c r="K15" t="str">
        <f t="shared" ca="1" si="0"/>
        <v/>
      </c>
      <c r="L15" t="str">
        <f t="shared" ca="1" si="1"/>
        <v/>
      </c>
      <c r="U15" s="13" t="str">
        <f t="shared" si="2"/>
        <v/>
      </c>
      <c r="V15" t="str">
        <f t="shared" ca="1" si="3"/>
        <v/>
      </c>
    </row>
    <row r="16" spans="1:22" x14ac:dyDescent="0.25">
      <c r="K16" t="str">
        <f t="shared" ca="1" si="0"/>
        <v/>
      </c>
      <c r="L16" t="str">
        <f t="shared" ca="1" si="1"/>
        <v/>
      </c>
      <c r="U16" s="13" t="str">
        <f t="shared" si="2"/>
        <v/>
      </c>
      <c r="V16" t="str">
        <f t="shared" ca="1" si="3"/>
        <v/>
      </c>
    </row>
    <row r="17" spans="11:22" x14ac:dyDescent="0.25">
      <c r="K17" t="str">
        <f t="shared" ca="1" si="0"/>
        <v/>
      </c>
      <c r="L17" t="str">
        <f t="shared" ca="1" si="1"/>
        <v/>
      </c>
      <c r="U17" s="13" t="str">
        <f t="shared" si="2"/>
        <v/>
      </c>
      <c r="V17" t="str">
        <f t="shared" ca="1" si="3"/>
        <v/>
      </c>
    </row>
    <row r="18" spans="11:22" x14ac:dyDescent="0.25">
      <c r="K18" t="str">
        <f t="shared" ca="1" si="0"/>
        <v/>
      </c>
      <c r="L18" t="str">
        <f t="shared" ca="1" si="1"/>
        <v/>
      </c>
      <c r="U18" s="13" t="str">
        <f t="shared" si="2"/>
        <v/>
      </c>
      <c r="V18" t="str">
        <f t="shared" ca="1" si="3"/>
        <v/>
      </c>
    </row>
    <row r="19" spans="11:22" x14ac:dyDescent="0.25">
      <c r="K19" t="str">
        <f t="shared" ca="1" si="0"/>
        <v/>
      </c>
      <c r="L19" t="str">
        <f t="shared" ca="1" si="1"/>
        <v/>
      </c>
      <c r="U19" s="13" t="str">
        <f t="shared" si="2"/>
        <v/>
      </c>
      <c r="V19" t="str">
        <f t="shared" ca="1" si="3"/>
        <v/>
      </c>
    </row>
    <row r="20" spans="11:22" x14ac:dyDescent="0.25">
      <c r="K20" t="str">
        <f t="shared" ca="1" si="0"/>
        <v/>
      </c>
      <c r="L20" t="str">
        <f t="shared" ca="1" si="1"/>
        <v/>
      </c>
      <c r="U20" s="13" t="str">
        <f t="shared" si="2"/>
        <v/>
      </c>
      <c r="V20" t="str">
        <f t="shared" ca="1" si="3"/>
        <v/>
      </c>
    </row>
    <row r="21" spans="11:22" x14ac:dyDescent="0.25">
      <c r="K21" t="str">
        <f t="shared" ca="1" si="0"/>
        <v/>
      </c>
      <c r="L21" t="str">
        <f t="shared" ca="1" si="1"/>
        <v/>
      </c>
      <c r="U21" s="13" t="str">
        <f t="shared" si="2"/>
        <v/>
      </c>
      <c r="V21" t="str">
        <f t="shared" ca="1" si="3"/>
        <v/>
      </c>
    </row>
    <row r="22" spans="11:22" x14ac:dyDescent="0.25">
      <c r="K22" t="str">
        <f t="shared" ca="1" si="0"/>
        <v/>
      </c>
      <c r="L22" t="str">
        <f t="shared" ca="1" si="1"/>
        <v/>
      </c>
      <c r="U22" s="13" t="str">
        <f t="shared" si="2"/>
        <v/>
      </c>
      <c r="V22" t="str">
        <f t="shared" ca="1" si="3"/>
        <v/>
      </c>
    </row>
    <row r="23" spans="11:22" x14ac:dyDescent="0.25">
      <c r="K23" t="str">
        <f t="shared" ca="1" si="0"/>
        <v/>
      </c>
      <c r="L23" t="str">
        <f t="shared" ca="1" si="1"/>
        <v/>
      </c>
      <c r="U23" s="13" t="str">
        <f t="shared" si="2"/>
        <v/>
      </c>
      <c r="V23" t="str">
        <f t="shared" ca="1" si="3"/>
        <v/>
      </c>
    </row>
    <row r="24" spans="11:22" x14ac:dyDescent="0.25">
      <c r="K24" t="str">
        <f t="shared" ca="1" si="0"/>
        <v/>
      </c>
      <c r="L24" t="str">
        <f t="shared" ca="1" si="1"/>
        <v/>
      </c>
      <c r="U24" s="13" t="str">
        <f t="shared" si="2"/>
        <v/>
      </c>
      <c r="V24" t="str">
        <f t="shared" ca="1" si="3"/>
        <v/>
      </c>
    </row>
    <row r="25" spans="11:22" x14ac:dyDescent="0.25">
      <c r="K25" t="str">
        <f t="shared" ca="1" si="0"/>
        <v/>
      </c>
      <c r="L25" t="str">
        <f t="shared" ca="1" si="1"/>
        <v/>
      </c>
      <c r="U25" s="13" t="str">
        <f t="shared" si="2"/>
        <v/>
      </c>
      <c r="V25" t="str">
        <f t="shared" ca="1" si="3"/>
        <v/>
      </c>
    </row>
    <row r="26" spans="11:22" x14ac:dyDescent="0.25">
      <c r="K26" t="str">
        <f t="shared" ca="1" si="0"/>
        <v/>
      </c>
      <c r="L26" t="str">
        <f t="shared" ca="1" si="1"/>
        <v/>
      </c>
      <c r="U26" s="13" t="str">
        <f t="shared" si="2"/>
        <v/>
      </c>
      <c r="V26" t="str">
        <f t="shared" ca="1" si="3"/>
        <v/>
      </c>
    </row>
    <row r="27" spans="11:22" x14ac:dyDescent="0.25">
      <c r="K27" t="str">
        <f t="shared" ca="1" si="0"/>
        <v/>
      </c>
      <c r="L27" t="str">
        <f t="shared" ca="1" si="1"/>
        <v/>
      </c>
      <c r="U27" s="13" t="str">
        <f t="shared" si="2"/>
        <v/>
      </c>
      <c r="V27" t="str">
        <f t="shared" ca="1" si="3"/>
        <v/>
      </c>
    </row>
    <row r="28" spans="11:22" x14ac:dyDescent="0.25">
      <c r="K28" t="str">
        <f t="shared" ca="1" si="0"/>
        <v/>
      </c>
      <c r="L28" t="str">
        <f t="shared" ca="1" si="1"/>
        <v/>
      </c>
      <c r="U28" s="13" t="str">
        <f t="shared" si="2"/>
        <v/>
      </c>
      <c r="V28" t="str">
        <f t="shared" ca="1" si="3"/>
        <v/>
      </c>
    </row>
    <row r="29" spans="11:22" x14ac:dyDescent="0.25">
      <c r="K29" t="str">
        <f t="shared" ca="1" si="0"/>
        <v/>
      </c>
      <c r="L29" t="str">
        <f t="shared" ca="1" si="1"/>
        <v/>
      </c>
      <c r="U29" s="13" t="str">
        <f t="shared" si="2"/>
        <v/>
      </c>
      <c r="V29" t="str">
        <f t="shared" ca="1" si="3"/>
        <v/>
      </c>
    </row>
    <row r="30" spans="11:22" x14ac:dyDescent="0.25">
      <c r="K30" t="str">
        <f t="shared" ca="1" si="0"/>
        <v/>
      </c>
      <c r="L30" t="str">
        <f t="shared" ca="1" si="1"/>
        <v/>
      </c>
      <c r="U30" s="13" t="str">
        <f t="shared" si="2"/>
        <v/>
      </c>
      <c r="V30" t="str">
        <f t="shared" ca="1" si="3"/>
        <v/>
      </c>
    </row>
    <row r="31" spans="11:22" x14ac:dyDescent="0.25">
      <c r="K31" t="str">
        <f t="shared" ca="1" si="0"/>
        <v/>
      </c>
      <c r="L31" t="str">
        <f t="shared" ca="1" si="1"/>
        <v/>
      </c>
      <c r="U31" s="13" t="str">
        <f t="shared" si="2"/>
        <v/>
      </c>
      <c r="V31" t="str">
        <f t="shared" ca="1" si="3"/>
        <v/>
      </c>
    </row>
    <row r="32" spans="11:22" x14ac:dyDescent="0.25">
      <c r="K32" t="str">
        <f t="shared" ca="1" si="0"/>
        <v/>
      </c>
      <c r="L32" t="str">
        <f t="shared" ca="1" si="1"/>
        <v/>
      </c>
      <c r="U32" s="13" t="str">
        <f t="shared" si="2"/>
        <v/>
      </c>
      <c r="V32" t="str">
        <f t="shared" ca="1" si="3"/>
        <v/>
      </c>
    </row>
    <row r="33" spans="11:22" x14ac:dyDescent="0.25">
      <c r="K33" t="str">
        <f t="shared" ca="1" si="0"/>
        <v/>
      </c>
      <c r="L33" t="str">
        <f t="shared" ca="1" si="1"/>
        <v/>
      </c>
      <c r="U33" s="13" t="str">
        <f t="shared" si="2"/>
        <v/>
      </c>
      <c r="V33" t="str">
        <f t="shared" ca="1" si="3"/>
        <v/>
      </c>
    </row>
    <row r="34" spans="11:22" x14ac:dyDescent="0.25">
      <c r="K34" t="str">
        <f t="shared" ca="1" si="0"/>
        <v/>
      </c>
      <c r="L34" t="str">
        <f t="shared" ca="1" si="1"/>
        <v/>
      </c>
      <c r="U34" s="13" t="str">
        <f t="shared" si="2"/>
        <v/>
      </c>
      <c r="V34" t="str">
        <f t="shared" ca="1" si="3"/>
        <v/>
      </c>
    </row>
    <row r="35" spans="11:22" x14ac:dyDescent="0.25">
      <c r="K35" t="str">
        <f t="shared" ca="1" si="0"/>
        <v/>
      </c>
      <c r="L35" t="str">
        <f t="shared" ca="1" si="1"/>
        <v/>
      </c>
      <c r="U35" s="13" t="str">
        <f t="shared" si="2"/>
        <v/>
      </c>
      <c r="V35" t="str">
        <f t="shared" ca="1" si="3"/>
        <v/>
      </c>
    </row>
    <row r="36" spans="11:22" x14ac:dyDescent="0.25">
      <c r="K36" t="str">
        <f t="shared" ca="1" si="0"/>
        <v/>
      </c>
      <c r="L36" t="str">
        <f t="shared" ca="1" si="1"/>
        <v/>
      </c>
      <c r="U36" s="13" t="str">
        <f t="shared" si="2"/>
        <v/>
      </c>
      <c r="V36" t="str">
        <f t="shared" ca="1" si="3"/>
        <v/>
      </c>
    </row>
    <row r="37" spans="11:22" x14ac:dyDescent="0.25">
      <c r="K37" t="str">
        <f t="shared" ca="1" si="0"/>
        <v/>
      </c>
      <c r="L37" t="str">
        <f t="shared" ca="1" si="1"/>
        <v/>
      </c>
      <c r="U37" s="13" t="str">
        <f t="shared" si="2"/>
        <v/>
      </c>
      <c r="V37" t="str">
        <f t="shared" ca="1" si="3"/>
        <v/>
      </c>
    </row>
    <row r="38" spans="11:22" x14ac:dyDescent="0.25">
      <c r="K38" t="str">
        <f t="shared" ca="1" si="0"/>
        <v/>
      </c>
      <c r="L38" t="str">
        <f t="shared" ca="1" si="1"/>
        <v/>
      </c>
      <c r="U38" s="13" t="str">
        <f t="shared" si="2"/>
        <v/>
      </c>
      <c r="V38" t="str">
        <f t="shared" ca="1" si="3"/>
        <v/>
      </c>
    </row>
    <row r="39" spans="11:22" x14ac:dyDescent="0.25">
      <c r="K39" t="str">
        <f t="shared" ca="1" si="0"/>
        <v/>
      </c>
      <c r="L39" t="str">
        <f t="shared" ca="1" si="1"/>
        <v/>
      </c>
      <c r="U39" s="13" t="str">
        <f t="shared" si="2"/>
        <v/>
      </c>
      <c r="V39" t="str">
        <f t="shared" ca="1" si="3"/>
        <v/>
      </c>
    </row>
    <row r="40" spans="11:22" x14ac:dyDescent="0.25">
      <c r="K40" t="str">
        <f t="shared" ca="1" si="0"/>
        <v/>
      </c>
      <c r="L40" t="str">
        <f t="shared" ca="1" si="1"/>
        <v/>
      </c>
      <c r="U40" s="13" t="str">
        <f t="shared" si="2"/>
        <v/>
      </c>
      <c r="V40" t="str">
        <f t="shared" ca="1" si="3"/>
        <v/>
      </c>
    </row>
    <row r="41" spans="11:22" x14ac:dyDescent="0.25">
      <c r="K41" t="str">
        <f t="shared" ca="1" si="0"/>
        <v/>
      </c>
      <c r="L41" t="str">
        <f t="shared" ca="1" si="1"/>
        <v/>
      </c>
      <c r="U41" s="13" t="str">
        <f t="shared" si="2"/>
        <v/>
      </c>
      <c r="V41" t="str">
        <f t="shared" ca="1" si="3"/>
        <v/>
      </c>
    </row>
    <row r="42" spans="11:22" x14ac:dyDescent="0.25">
      <c r="K42" t="str">
        <f t="shared" ca="1" si="0"/>
        <v/>
      </c>
      <c r="L42" t="str">
        <f t="shared" ca="1" si="1"/>
        <v/>
      </c>
      <c r="U42" s="13" t="str">
        <f t="shared" si="2"/>
        <v/>
      </c>
      <c r="V42" t="str">
        <f t="shared" ca="1" si="3"/>
        <v/>
      </c>
    </row>
    <row r="43" spans="11:22" x14ac:dyDescent="0.25">
      <c r="K43" t="str">
        <f t="shared" ca="1" si="0"/>
        <v/>
      </c>
      <c r="L43" t="str">
        <f t="shared" ca="1" si="1"/>
        <v/>
      </c>
      <c r="U43" s="13" t="str">
        <f t="shared" si="2"/>
        <v/>
      </c>
      <c r="V43" t="str">
        <f t="shared" ca="1" si="3"/>
        <v/>
      </c>
    </row>
    <row r="44" spans="11:22" x14ac:dyDescent="0.25">
      <c r="K44" t="str">
        <f t="shared" ca="1" si="0"/>
        <v/>
      </c>
      <c r="L44" t="str">
        <f t="shared" ca="1" si="1"/>
        <v/>
      </c>
      <c r="U44" s="13" t="str">
        <f t="shared" si="2"/>
        <v/>
      </c>
      <c r="V44" t="str">
        <f t="shared" ca="1" si="3"/>
        <v/>
      </c>
    </row>
    <row r="45" spans="11:22" x14ac:dyDescent="0.25">
      <c r="K45" t="str">
        <f t="shared" ca="1" si="0"/>
        <v/>
      </c>
      <c r="L45" t="str">
        <f t="shared" ca="1" si="1"/>
        <v/>
      </c>
      <c r="U45" s="13" t="str">
        <f t="shared" si="2"/>
        <v/>
      </c>
      <c r="V45" t="str">
        <f t="shared" ca="1" si="3"/>
        <v/>
      </c>
    </row>
    <row r="46" spans="11:22" x14ac:dyDescent="0.25">
      <c r="K46" t="str">
        <f t="shared" ca="1" si="0"/>
        <v/>
      </c>
      <c r="L46" t="str">
        <f t="shared" ca="1" si="1"/>
        <v/>
      </c>
      <c r="U46" s="13" t="str">
        <f t="shared" si="2"/>
        <v/>
      </c>
      <c r="V46" t="str">
        <f t="shared" ca="1" si="3"/>
        <v/>
      </c>
    </row>
    <row r="47" spans="11:22" x14ac:dyDescent="0.25">
      <c r="K47" t="str">
        <f t="shared" ca="1" si="0"/>
        <v/>
      </c>
      <c r="L47" t="str">
        <f t="shared" ca="1" si="1"/>
        <v/>
      </c>
      <c r="U47" s="13" t="str">
        <f t="shared" si="2"/>
        <v/>
      </c>
      <c r="V47" t="str">
        <f t="shared" ca="1" si="3"/>
        <v/>
      </c>
    </row>
    <row r="48" spans="11:22" x14ac:dyDescent="0.25">
      <c r="K48" t="str">
        <f t="shared" ca="1" si="0"/>
        <v/>
      </c>
      <c r="L48" t="str">
        <f t="shared" ca="1" si="1"/>
        <v/>
      </c>
      <c r="U48" s="13" t="str">
        <f t="shared" si="2"/>
        <v/>
      </c>
      <c r="V48" t="str">
        <f t="shared" ca="1" si="3"/>
        <v/>
      </c>
    </row>
    <row r="49" spans="11:22" x14ac:dyDescent="0.25">
      <c r="K49" t="str">
        <f t="shared" ca="1" si="0"/>
        <v/>
      </c>
      <c r="L49" t="str">
        <f t="shared" ca="1" si="1"/>
        <v/>
      </c>
      <c r="U49" s="13" t="str">
        <f t="shared" si="2"/>
        <v/>
      </c>
      <c r="V49" t="str">
        <f t="shared" ca="1" si="3"/>
        <v/>
      </c>
    </row>
    <row r="50" spans="11:22" x14ac:dyDescent="0.25">
      <c r="K50" t="str">
        <f t="shared" ca="1" si="0"/>
        <v/>
      </c>
      <c r="L50" t="str">
        <f t="shared" ca="1" si="1"/>
        <v/>
      </c>
      <c r="U50" s="13" t="str">
        <f t="shared" si="2"/>
        <v/>
      </c>
      <c r="V50" t="str">
        <f t="shared" ca="1" si="3"/>
        <v/>
      </c>
    </row>
    <row r="51" spans="11:22" x14ac:dyDescent="0.25">
      <c r="K51" t="str">
        <f t="shared" ca="1" si="0"/>
        <v/>
      </c>
      <c r="L51" t="str">
        <f t="shared" ca="1" si="1"/>
        <v/>
      </c>
      <c r="U51" s="13" t="str">
        <f t="shared" si="2"/>
        <v/>
      </c>
      <c r="V51" t="str">
        <f t="shared" ca="1" si="3"/>
        <v/>
      </c>
    </row>
    <row r="52" spans="11:22" x14ac:dyDescent="0.25">
      <c r="K52" t="str">
        <f t="shared" ca="1" si="0"/>
        <v/>
      </c>
      <c r="L52" t="str">
        <f t="shared" ca="1" si="1"/>
        <v/>
      </c>
      <c r="U52" s="13" t="str">
        <f t="shared" si="2"/>
        <v/>
      </c>
      <c r="V52" t="str">
        <f t="shared" ca="1" si="3"/>
        <v/>
      </c>
    </row>
    <row r="53" spans="11:22" x14ac:dyDescent="0.25">
      <c r="K53" t="str">
        <f t="shared" ca="1" si="0"/>
        <v/>
      </c>
      <c r="L53" t="str">
        <f t="shared" ca="1" si="1"/>
        <v/>
      </c>
      <c r="U53" s="13" t="str">
        <f t="shared" si="2"/>
        <v/>
      </c>
      <c r="V53" t="str">
        <f t="shared" ca="1" si="3"/>
        <v/>
      </c>
    </row>
    <row r="54" spans="11:22" x14ac:dyDescent="0.25">
      <c r="K54" t="str">
        <f t="shared" ca="1" si="0"/>
        <v/>
      </c>
      <c r="L54" t="str">
        <f t="shared" ca="1" si="1"/>
        <v/>
      </c>
      <c r="U54" s="13" t="str">
        <f t="shared" si="2"/>
        <v/>
      </c>
      <c r="V54" t="str">
        <f t="shared" ca="1" si="3"/>
        <v/>
      </c>
    </row>
    <row r="55" spans="11:22" x14ac:dyDescent="0.25">
      <c r="K55" t="str">
        <f t="shared" ca="1" si="0"/>
        <v/>
      </c>
      <c r="L55" t="str">
        <f t="shared" ca="1" si="1"/>
        <v/>
      </c>
      <c r="U55" s="13" t="str">
        <f t="shared" si="2"/>
        <v/>
      </c>
      <c r="V55" t="str">
        <f t="shared" ca="1" si="3"/>
        <v/>
      </c>
    </row>
    <row r="56" spans="11:22" x14ac:dyDescent="0.25">
      <c r="K56" t="str">
        <f t="shared" ca="1" si="0"/>
        <v/>
      </c>
      <c r="L56" t="str">
        <f t="shared" ca="1" si="1"/>
        <v/>
      </c>
      <c r="U56" s="13" t="str">
        <f t="shared" si="2"/>
        <v/>
      </c>
      <c r="V56" t="str">
        <f t="shared" ca="1" si="3"/>
        <v/>
      </c>
    </row>
    <row r="57" spans="11:22" x14ac:dyDescent="0.25">
      <c r="K57" t="str">
        <f t="shared" ca="1" si="0"/>
        <v/>
      </c>
      <c r="L57" t="str">
        <f t="shared" ca="1" si="1"/>
        <v/>
      </c>
      <c r="U57" s="13" t="str">
        <f t="shared" si="2"/>
        <v/>
      </c>
      <c r="V57" t="str">
        <f t="shared" ca="1" si="3"/>
        <v/>
      </c>
    </row>
    <row r="58" spans="11:22" x14ac:dyDescent="0.25">
      <c r="K58" t="str">
        <f t="shared" ca="1" si="0"/>
        <v/>
      </c>
      <c r="L58" t="str">
        <f t="shared" ca="1" si="1"/>
        <v/>
      </c>
      <c r="U58" s="13" t="str">
        <f t="shared" si="2"/>
        <v/>
      </c>
      <c r="V58" t="str">
        <f t="shared" ca="1" si="3"/>
        <v/>
      </c>
    </row>
    <row r="59" spans="11:22" x14ac:dyDescent="0.25">
      <c r="K59" t="str">
        <f t="shared" ca="1" si="0"/>
        <v/>
      </c>
      <c r="L59" t="str">
        <f t="shared" ca="1" si="1"/>
        <v/>
      </c>
      <c r="U59" s="13" t="str">
        <f t="shared" si="2"/>
        <v/>
      </c>
      <c r="V59" t="str">
        <f t="shared" ca="1" si="3"/>
        <v/>
      </c>
    </row>
    <row r="60" spans="11:22" x14ac:dyDescent="0.25">
      <c r="K60" t="str">
        <f t="shared" ca="1" si="0"/>
        <v/>
      </c>
      <c r="L60" t="str">
        <f t="shared" ca="1" si="1"/>
        <v/>
      </c>
      <c r="U60" s="13" t="str">
        <f t="shared" si="2"/>
        <v/>
      </c>
      <c r="V60" t="str">
        <f t="shared" ca="1" si="3"/>
        <v/>
      </c>
    </row>
    <row r="61" spans="11:22" x14ac:dyDescent="0.25">
      <c r="K61" t="str">
        <f t="shared" ca="1" si="0"/>
        <v/>
      </c>
      <c r="L61" t="str">
        <f t="shared" ca="1" si="1"/>
        <v/>
      </c>
      <c r="U61" s="13" t="str">
        <f t="shared" si="2"/>
        <v/>
      </c>
      <c r="V61" t="str">
        <f t="shared" ca="1" si="3"/>
        <v/>
      </c>
    </row>
    <row r="62" spans="11:22" x14ac:dyDescent="0.25">
      <c r="K62" t="str">
        <f t="shared" ca="1" si="0"/>
        <v/>
      </c>
      <c r="L62" t="str">
        <f t="shared" ca="1" si="1"/>
        <v/>
      </c>
      <c r="U62" s="13" t="str">
        <f t="shared" si="2"/>
        <v/>
      </c>
      <c r="V62" t="str">
        <f t="shared" ca="1" si="3"/>
        <v/>
      </c>
    </row>
    <row r="63" spans="11:22" x14ac:dyDescent="0.25">
      <c r="K63" t="str">
        <f t="shared" ca="1" si="0"/>
        <v/>
      </c>
      <c r="L63" t="str">
        <f t="shared" ca="1" si="1"/>
        <v/>
      </c>
      <c r="U63" s="13" t="str">
        <f t="shared" si="2"/>
        <v/>
      </c>
      <c r="V63" t="str">
        <f t="shared" ca="1" si="3"/>
        <v/>
      </c>
    </row>
    <row r="64" spans="11:22" x14ac:dyDescent="0.25">
      <c r="K64" t="str">
        <f t="shared" ca="1" si="0"/>
        <v/>
      </c>
      <c r="L64" t="str">
        <f t="shared" ca="1" si="1"/>
        <v/>
      </c>
      <c r="U64" s="13" t="str">
        <f t="shared" si="2"/>
        <v/>
      </c>
      <c r="V64" t="str">
        <f t="shared" ca="1" si="3"/>
        <v/>
      </c>
    </row>
    <row r="65" spans="11:22" x14ac:dyDescent="0.25">
      <c r="K65" t="str">
        <f t="shared" ca="1" si="0"/>
        <v/>
      </c>
      <c r="L65" t="str">
        <f t="shared" ca="1" si="1"/>
        <v/>
      </c>
      <c r="U65" s="13" t="str">
        <f t="shared" si="2"/>
        <v/>
      </c>
      <c r="V65" t="str">
        <f t="shared" ca="1" si="3"/>
        <v/>
      </c>
    </row>
    <row r="66" spans="11:22" x14ac:dyDescent="0.25">
      <c r="K66" t="str">
        <f t="shared" ref="K66:K129" ca="1" si="4">IF(A66="","",IF(T66="Yes","Void",IF(I66&lt;&gt;"","Closed",IF(AND(H66&lt;&gt;"",TODAY()&gt;H66),"Overdue","Open"))))</f>
        <v/>
      </c>
      <c r="L66" t="str">
        <f t="shared" ref="L66:L129" ca="1" si="5">IF(A66="","",IF(I66&lt;&gt;"",J66-B66,TODAY()-B66))</f>
        <v/>
      </c>
      <c r="U66" s="13" t="str">
        <f t="shared" ref="U66:U129" si="6">IF(A66="","",MAX(B66+0,H66+0,J66+0))</f>
        <v/>
      </c>
      <c r="V66" t="str">
        <f t="shared" ref="V66:V129" ca="1" si="7">IF(A66="","",IF(K66="Closed","",TODAY()-U66))</f>
        <v/>
      </c>
    </row>
    <row r="67" spans="11:22" x14ac:dyDescent="0.25">
      <c r="K67" t="str">
        <f t="shared" ca="1" si="4"/>
        <v/>
      </c>
      <c r="L67" t="str">
        <f t="shared" ca="1" si="5"/>
        <v/>
      </c>
      <c r="U67" s="13" t="str">
        <f t="shared" si="6"/>
        <v/>
      </c>
      <c r="V67" t="str">
        <f t="shared" ca="1" si="7"/>
        <v/>
      </c>
    </row>
    <row r="68" spans="11:22" x14ac:dyDescent="0.25">
      <c r="K68" t="str">
        <f t="shared" ca="1" si="4"/>
        <v/>
      </c>
      <c r="L68" t="str">
        <f t="shared" ca="1" si="5"/>
        <v/>
      </c>
      <c r="U68" s="13" t="str">
        <f t="shared" si="6"/>
        <v/>
      </c>
      <c r="V68" t="str">
        <f t="shared" ca="1" si="7"/>
        <v/>
      </c>
    </row>
    <row r="69" spans="11:22" x14ac:dyDescent="0.25">
      <c r="K69" t="str">
        <f t="shared" ca="1" si="4"/>
        <v/>
      </c>
      <c r="L69" t="str">
        <f t="shared" ca="1" si="5"/>
        <v/>
      </c>
      <c r="U69" s="13" t="str">
        <f t="shared" si="6"/>
        <v/>
      </c>
      <c r="V69" t="str">
        <f t="shared" ca="1" si="7"/>
        <v/>
      </c>
    </row>
    <row r="70" spans="11:22" x14ac:dyDescent="0.25">
      <c r="K70" t="str">
        <f t="shared" ca="1" si="4"/>
        <v/>
      </c>
      <c r="L70" t="str">
        <f t="shared" ca="1" si="5"/>
        <v/>
      </c>
      <c r="U70" s="13" t="str">
        <f t="shared" si="6"/>
        <v/>
      </c>
      <c r="V70" t="str">
        <f t="shared" ca="1" si="7"/>
        <v/>
      </c>
    </row>
    <row r="71" spans="11:22" x14ac:dyDescent="0.25">
      <c r="K71" t="str">
        <f t="shared" ca="1" si="4"/>
        <v/>
      </c>
      <c r="L71" t="str">
        <f t="shared" ca="1" si="5"/>
        <v/>
      </c>
      <c r="U71" s="13" t="str">
        <f t="shared" si="6"/>
        <v/>
      </c>
      <c r="V71" t="str">
        <f t="shared" ca="1" si="7"/>
        <v/>
      </c>
    </row>
    <row r="72" spans="11:22" x14ac:dyDescent="0.25">
      <c r="K72" t="str">
        <f t="shared" ca="1" si="4"/>
        <v/>
      </c>
      <c r="L72" t="str">
        <f t="shared" ca="1" si="5"/>
        <v/>
      </c>
      <c r="U72" s="13" t="str">
        <f t="shared" si="6"/>
        <v/>
      </c>
      <c r="V72" t="str">
        <f t="shared" ca="1" si="7"/>
        <v/>
      </c>
    </row>
    <row r="73" spans="11:22" x14ac:dyDescent="0.25">
      <c r="K73" t="str">
        <f t="shared" ca="1" si="4"/>
        <v/>
      </c>
      <c r="L73" t="str">
        <f t="shared" ca="1" si="5"/>
        <v/>
      </c>
      <c r="U73" s="13" t="str">
        <f t="shared" si="6"/>
        <v/>
      </c>
      <c r="V73" t="str">
        <f t="shared" ca="1" si="7"/>
        <v/>
      </c>
    </row>
    <row r="74" spans="11:22" x14ac:dyDescent="0.25">
      <c r="K74" t="str">
        <f t="shared" ca="1" si="4"/>
        <v/>
      </c>
      <c r="L74" t="str">
        <f t="shared" ca="1" si="5"/>
        <v/>
      </c>
      <c r="U74" s="13" t="str">
        <f t="shared" si="6"/>
        <v/>
      </c>
      <c r="V74" t="str">
        <f t="shared" ca="1" si="7"/>
        <v/>
      </c>
    </row>
    <row r="75" spans="11:22" x14ac:dyDescent="0.25">
      <c r="K75" t="str">
        <f t="shared" ca="1" si="4"/>
        <v/>
      </c>
      <c r="L75" t="str">
        <f t="shared" ca="1" si="5"/>
        <v/>
      </c>
      <c r="U75" s="13" t="str">
        <f t="shared" si="6"/>
        <v/>
      </c>
      <c r="V75" t="str">
        <f t="shared" ca="1" si="7"/>
        <v/>
      </c>
    </row>
    <row r="76" spans="11:22" x14ac:dyDescent="0.25">
      <c r="K76" t="str">
        <f t="shared" ca="1" si="4"/>
        <v/>
      </c>
      <c r="L76" t="str">
        <f t="shared" ca="1" si="5"/>
        <v/>
      </c>
      <c r="U76" s="13" t="str">
        <f t="shared" si="6"/>
        <v/>
      </c>
      <c r="V76" t="str">
        <f t="shared" ca="1" si="7"/>
        <v/>
      </c>
    </row>
    <row r="77" spans="11:22" x14ac:dyDescent="0.25">
      <c r="K77" t="str">
        <f t="shared" ca="1" si="4"/>
        <v/>
      </c>
      <c r="L77" t="str">
        <f t="shared" ca="1" si="5"/>
        <v/>
      </c>
      <c r="U77" s="13" t="str">
        <f t="shared" si="6"/>
        <v/>
      </c>
      <c r="V77" t="str">
        <f t="shared" ca="1" si="7"/>
        <v/>
      </c>
    </row>
    <row r="78" spans="11:22" x14ac:dyDescent="0.25">
      <c r="K78" t="str">
        <f t="shared" ca="1" si="4"/>
        <v/>
      </c>
      <c r="L78" t="str">
        <f t="shared" ca="1" si="5"/>
        <v/>
      </c>
      <c r="U78" s="13" t="str">
        <f t="shared" si="6"/>
        <v/>
      </c>
      <c r="V78" t="str">
        <f t="shared" ca="1" si="7"/>
        <v/>
      </c>
    </row>
    <row r="79" spans="11:22" x14ac:dyDescent="0.25">
      <c r="K79" t="str">
        <f t="shared" ca="1" si="4"/>
        <v/>
      </c>
      <c r="L79" t="str">
        <f t="shared" ca="1" si="5"/>
        <v/>
      </c>
      <c r="U79" s="13" t="str">
        <f t="shared" si="6"/>
        <v/>
      </c>
      <c r="V79" t="str">
        <f t="shared" ca="1" si="7"/>
        <v/>
      </c>
    </row>
    <row r="80" spans="11:22" x14ac:dyDescent="0.25">
      <c r="K80" t="str">
        <f t="shared" ca="1" si="4"/>
        <v/>
      </c>
      <c r="L80" t="str">
        <f t="shared" ca="1" si="5"/>
        <v/>
      </c>
      <c r="U80" s="13" t="str">
        <f t="shared" si="6"/>
        <v/>
      </c>
      <c r="V80" t="str">
        <f t="shared" ca="1" si="7"/>
        <v/>
      </c>
    </row>
    <row r="81" spans="11:22" x14ac:dyDescent="0.25">
      <c r="K81" t="str">
        <f t="shared" ca="1" si="4"/>
        <v/>
      </c>
      <c r="L81" t="str">
        <f t="shared" ca="1" si="5"/>
        <v/>
      </c>
      <c r="U81" s="13" t="str">
        <f t="shared" si="6"/>
        <v/>
      </c>
      <c r="V81" t="str">
        <f t="shared" ca="1" si="7"/>
        <v/>
      </c>
    </row>
    <row r="82" spans="11:22" x14ac:dyDescent="0.25">
      <c r="K82" t="str">
        <f t="shared" ca="1" si="4"/>
        <v/>
      </c>
      <c r="L82" t="str">
        <f t="shared" ca="1" si="5"/>
        <v/>
      </c>
      <c r="U82" s="13" t="str">
        <f t="shared" si="6"/>
        <v/>
      </c>
      <c r="V82" t="str">
        <f t="shared" ca="1" si="7"/>
        <v/>
      </c>
    </row>
    <row r="83" spans="11:22" x14ac:dyDescent="0.25">
      <c r="K83" t="str">
        <f t="shared" ca="1" si="4"/>
        <v/>
      </c>
      <c r="L83" t="str">
        <f t="shared" ca="1" si="5"/>
        <v/>
      </c>
      <c r="U83" s="13" t="str">
        <f t="shared" si="6"/>
        <v/>
      </c>
      <c r="V83" t="str">
        <f t="shared" ca="1" si="7"/>
        <v/>
      </c>
    </row>
    <row r="84" spans="11:22" x14ac:dyDescent="0.25">
      <c r="K84" t="str">
        <f t="shared" ca="1" si="4"/>
        <v/>
      </c>
      <c r="L84" t="str">
        <f t="shared" ca="1" si="5"/>
        <v/>
      </c>
      <c r="U84" s="13" t="str">
        <f t="shared" si="6"/>
        <v/>
      </c>
      <c r="V84" t="str">
        <f t="shared" ca="1" si="7"/>
        <v/>
      </c>
    </row>
    <row r="85" spans="11:22" x14ac:dyDescent="0.25">
      <c r="K85" t="str">
        <f t="shared" ca="1" si="4"/>
        <v/>
      </c>
      <c r="L85" t="str">
        <f t="shared" ca="1" si="5"/>
        <v/>
      </c>
      <c r="U85" s="13" t="str">
        <f t="shared" si="6"/>
        <v/>
      </c>
      <c r="V85" t="str">
        <f t="shared" ca="1" si="7"/>
        <v/>
      </c>
    </row>
    <row r="86" spans="11:22" x14ac:dyDescent="0.25">
      <c r="K86" t="str">
        <f t="shared" ca="1" si="4"/>
        <v/>
      </c>
      <c r="L86" t="str">
        <f t="shared" ca="1" si="5"/>
        <v/>
      </c>
      <c r="U86" s="13" t="str">
        <f t="shared" si="6"/>
        <v/>
      </c>
      <c r="V86" t="str">
        <f t="shared" ca="1" si="7"/>
        <v/>
      </c>
    </row>
    <row r="87" spans="11:22" x14ac:dyDescent="0.25">
      <c r="K87" t="str">
        <f t="shared" ca="1" si="4"/>
        <v/>
      </c>
      <c r="L87" t="str">
        <f t="shared" ca="1" si="5"/>
        <v/>
      </c>
      <c r="U87" s="13" t="str">
        <f t="shared" si="6"/>
        <v/>
      </c>
      <c r="V87" t="str">
        <f t="shared" ca="1" si="7"/>
        <v/>
      </c>
    </row>
    <row r="88" spans="11:22" x14ac:dyDescent="0.25">
      <c r="K88" t="str">
        <f t="shared" ca="1" si="4"/>
        <v/>
      </c>
      <c r="L88" t="str">
        <f t="shared" ca="1" si="5"/>
        <v/>
      </c>
      <c r="U88" s="13" t="str">
        <f t="shared" si="6"/>
        <v/>
      </c>
      <c r="V88" t="str">
        <f t="shared" ca="1" si="7"/>
        <v/>
      </c>
    </row>
    <row r="89" spans="11:22" x14ac:dyDescent="0.25">
      <c r="K89" t="str">
        <f t="shared" ca="1" si="4"/>
        <v/>
      </c>
      <c r="L89" t="str">
        <f t="shared" ca="1" si="5"/>
        <v/>
      </c>
      <c r="U89" s="13" t="str">
        <f t="shared" si="6"/>
        <v/>
      </c>
      <c r="V89" t="str">
        <f t="shared" ca="1" si="7"/>
        <v/>
      </c>
    </row>
    <row r="90" spans="11:22" x14ac:dyDescent="0.25">
      <c r="K90" t="str">
        <f t="shared" ca="1" si="4"/>
        <v/>
      </c>
      <c r="L90" t="str">
        <f t="shared" ca="1" si="5"/>
        <v/>
      </c>
      <c r="U90" s="13" t="str">
        <f t="shared" si="6"/>
        <v/>
      </c>
      <c r="V90" t="str">
        <f t="shared" ca="1" si="7"/>
        <v/>
      </c>
    </row>
    <row r="91" spans="11:22" x14ac:dyDescent="0.25">
      <c r="K91" t="str">
        <f t="shared" ca="1" si="4"/>
        <v/>
      </c>
      <c r="L91" t="str">
        <f t="shared" ca="1" si="5"/>
        <v/>
      </c>
      <c r="U91" s="13" t="str">
        <f t="shared" si="6"/>
        <v/>
      </c>
      <c r="V91" t="str">
        <f t="shared" ca="1" si="7"/>
        <v/>
      </c>
    </row>
    <row r="92" spans="11:22" x14ac:dyDescent="0.25">
      <c r="K92" t="str">
        <f t="shared" ca="1" si="4"/>
        <v/>
      </c>
      <c r="L92" t="str">
        <f t="shared" ca="1" si="5"/>
        <v/>
      </c>
      <c r="U92" s="13" t="str">
        <f t="shared" si="6"/>
        <v/>
      </c>
      <c r="V92" t="str">
        <f t="shared" ca="1" si="7"/>
        <v/>
      </c>
    </row>
    <row r="93" spans="11:22" x14ac:dyDescent="0.25">
      <c r="K93" t="str">
        <f t="shared" ca="1" si="4"/>
        <v/>
      </c>
      <c r="L93" t="str">
        <f t="shared" ca="1" si="5"/>
        <v/>
      </c>
      <c r="U93" s="13" t="str">
        <f t="shared" si="6"/>
        <v/>
      </c>
      <c r="V93" t="str">
        <f t="shared" ca="1" si="7"/>
        <v/>
      </c>
    </row>
    <row r="94" spans="11:22" x14ac:dyDescent="0.25">
      <c r="K94" t="str">
        <f t="shared" ca="1" si="4"/>
        <v/>
      </c>
      <c r="L94" t="str">
        <f t="shared" ca="1" si="5"/>
        <v/>
      </c>
      <c r="U94" s="13" t="str">
        <f t="shared" si="6"/>
        <v/>
      </c>
      <c r="V94" t="str">
        <f t="shared" ca="1" si="7"/>
        <v/>
      </c>
    </row>
    <row r="95" spans="11:22" x14ac:dyDescent="0.25">
      <c r="K95" t="str">
        <f t="shared" ca="1" si="4"/>
        <v/>
      </c>
      <c r="L95" t="str">
        <f t="shared" ca="1" si="5"/>
        <v/>
      </c>
      <c r="U95" s="13" t="str">
        <f t="shared" si="6"/>
        <v/>
      </c>
      <c r="V95" t="str">
        <f t="shared" ca="1" si="7"/>
        <v/>
      </c>
    </row>
    <row r="96" spans="11:22" x14ac:dyDescent="0.25">
      <c r="K96" t="str">
        <f t="shared" ca="1" si="4"/>
        <v/>
      </c>
      <c r="L96" t="str">
        <f t="shared" ca="1" si="5"/>
        <v/>
      </c>
      <c r="U96" s="13" t="str">
        <f t="shared" si="6"/>
        <v/>
      </c>
      <c r="V96" t="str">
        <f t="shared" ca="1" si="7"/>
        <v/>
      </c>
    </row>
    <row r="97" spans="11:22" x14ac:dyDescent="0.25">
      <c r="K97" t="str">
        <f t="shared" ca="1" si="4"/>
        <v/>
      </c>
      <c r="L97" t="str">
        <f t="shared" ca="1" si="5"/>
        <v/>
      </c>
      <c r="U97" s="13" t="str">
        <f t="shared" si="6"/>
        <v/>
      </c>
      <c r="V97" t="str">
        <f t="shared" ca="1" si="7"/>
        <v/>
      </c>
    </row>
    <row r="98" spans="11:22" x14ac:dyDescent="0.25">
      <c r="K98" t="str">
        <f t="shared" ca="1" si="4"/>
        <v/>
      </c>
      <c r="L98" t="str">
        <f t="shared" ca="1" si="5"/>
        <v/>
      </c>
      <c r="U98" s="13" t="str">
        <f t="shared" si="6"/>
        <v/>
      </c>
      <c r="V98" t="str">
        <f t="shared" ca="1" si="7"/>
        <v/>
      </c>
    </row>
    <row r="99" spans="11:22" x14ac:dyDescent="0.25">
      <c r="K99" t="str">
        <f t="shared" ca="1" si="4"/>
        <v/>
      </c>
      <c r="L99" t="str">
        <f t="shared" ca="1" si="5"/>
        <v/>
      </c>
      <c r="U99" s="13" t="str">
        <f t="shared" si="6"/>
        <v/>
      </c>
      <c r="V99" t="str">
        <f t="shared" ca="1" si="7"/>
        <v/>
      </c>
    </row>
    <row r="100" spans="11:22" x14ac:dyDescent="0.25">
      <c r="K100" t="str">
        <f t="shared" ca="1" si="4"/>
        <v/>
      </c>
      <c r="L100" t="str">
        <f t="shared" ca="1" si="5"/>
        <v/>
      </c>
      <c r="U100" s="13" t="str">
        <f t="shared" si="6"/>
        <v/>
      </c>
      <c r="V100" t="str">
        <f t="shared" ca="1" si="7"/>
        <v/>
      </c>
    </row>
    <row r="101" spans="11:22" x14ac:dyDescent="0.25">
      <c r="K101" t="str">
        <f t="shared" ca="1" si="4"/>
        <v/>
      </c>
      <c r="L101" t="str">
        <f t="shared" ca="1" si="5"/>
        <v/>
      </c>
      <c r="U101" s="13" t="str">
        <f t="shared" si="6"/>
        <v/>
      </c>
      <c r="V101" t="str">
        <f t="shared" ca="1" si="7"/>
        <v/>
      </c>
    </row>
    <row r="102" spans="11:22" x14ac:dyDescent="0.25">
      <c r="K102" t="str">
        <f t="shared" ca="1" si="4"/>
        <v/>
      </c>
      <c r="L102" t="str">
        <f t="shared" ca="1" si="5"/>
        <v/>
      </c>
      <c r="U102" s="13" t="str">
        <f t="shared" si="6"/>
        <v/>
      </c>
      <c r="V102" t="str">
        <f t="shared" ca="1" si="7"/>
        <v/>
      </c>
    </row>
    <row r="103" spans="11:22" x14ac:dyDescent="0.25">
      <c r="K103" t="str">
        <f t="shared" ca="1" si="4"/>
        <v/>
      </c>
      <c r="L103" t="str">
        <f t="shared" ca="1" si="5"/>
        <v/>
      </c>
      <c r="U103" s="13" t="str">
        <f t="shared" si="6"/>
        <v/>
      </c>
      <c r="V103" t="str">
        <f t="shared" ca="1" si="7"/>
        <v/>
      </c>
    </row>
    <row r="104" spans="11:22" x14ac:dyDescent="0.25">
      <c r="K104" t="str">
        <f t="shared" ca="1" si="4"/>
        <v/>
      </c>
      <c r="L104" t="str">
        <f t="shared" ca="1" si="5"/>
        <v/>
      </c>
      <c r="U104" s="13" t="str">
        <f t="shared" si="6"/>
        <v/>
      </c>
      <c r="V104" t="str">
        <f t="shared" ca="1" si="7"/>
        <v/>
      </c>
    </row>
    <row r="105" spans="11:22" x14ac:dyDescent="0.25">
      <c r="K105" t="str">
        <f t="shared" ca="1" si="4"/>
        <v/>
      </c>
      <c r="L105" t="str">
        <f t="shared" ca="1" si="5"/>
        <v/>
      </c>
      <c r="U105" s="13" t="str">
        <f t="shared" si="6"/>
        <v/>
      </c>
      <c r="V105" t="str">
        <f t="shared" ca="1" si="7"/>
        <v/>
      </c>
    </row>
    <row r="106" spans="11:22" x14ac:dyDescent="0.25">
      <c r="K106" t="str">
        <f t="shared" ca="1" si="4"/>
        <v/>
      </c>
      <c r="L106" t="str">
        <f t="shared" ca="1" si="5"/>
        <v/>
      </c>
      <c r="U106" s="13" t="str">
        <f t="shared" si="6"/>
        <v/>
      </c>
      <c r="V106" t="str">
        <f t="shared" ca="1" si="7"/>
        <v/>
      </c>
    </row>
    <row r="107" spans="11:22" x14ac:dyDescent="0.25">
      <c r="K107" t="str">
        <f t="shared" ca="1" si="4"/>
        <v/>
      </c>
      <c r="L107" t="str">
        <f t="shared" ca="1" si="5"/>
        <v/>
      </c>
      <c r="U107" s="13" t="str">
        <f t="shared" si="6"/>
        <v/>
      </c>
      <c r="V107" t="str">
        <f t="shared" ca="1" si="7"/>
        <v/>
      </c>
    </row>
    <row r="108" spans="11:22" x14ac:dyDescent="0.25">
      <c r="K108" t="str">
        <f t="shared" ca="1" si="4"/>
        <v/>
      </c>
      <c r="L108" t="str">
        <f t="shared" ca="1" si="5"/>
        <v/>
      </c>
      <c r="U108" s="13" t="str">
        <f t="shared" si="6"/>
        <v/>
      </c>
      <c r="V108" t="str">
        <f t="shared" ca="1" si="7"/>
        <v/>
      </c>
    </row>
    <row r="109" spans="11:22" x14ac:dyDescent="0.25">
      <c r="K109" t="str">
        <f t="shared" ca="1" si="4"/>
        <v/>
      </c>
      <c r="L109" t="str">
        <f t="shared" ca="1" si="5"/>
        <v/>
      </c>
      <c r="U109" s="13" t="str">
        <f t="shared" si="6"/>
        <v/>
      </c>
      <c r="V109" t="str">
        <f t="shared" ca="1" si="7"/>
        <v/>
      </c>
    </row>
    <row r="110" spans="11:22" x14ac:dyDescent="0.25">
      <c r="K110" t="str">
        <f t="shared" ca="1" si="4"/>
        <v/>
      </c>
      <c r="L110" t="str">
        <f t="shared" ca="1" si="5"/>
        <v/>
      </c>
      <c r="U110" s="13" t="str">
        <f t="shared" si="6"/>
        <v/>
      </c>
      <c r="V110" t="str">
        <f t="shared" ca="1" si="7"/>
        <v/>
      </c>
    </row>
    <row r="111" spans="11:22" x14ac:dyDescent="0.25">
      <c r="K111" t="str">
        <f t="shared" ca="1" si="4"/>
        <v/>
      </c>
      <c r="L111" t="str">
        <f t="shared" ca="1" si="5"/>
        <v/>
      </c>
      <c r="U111" s="13" t="str">
        <f t="shared" si="6"/>
        <v/>
      </c>
      <c r="V111" t="str">
        <f t="shared" ca="1" si="7"/>
        <v/>
      </c>
    </row>
    <row r="112" spans="11:22" x14ac:dyDescent="0.25">
      <c r="K112" t="str">
        <f t="shared" ca="1" si="4"/>
        <v/>
      </c>
      <c r="L112" t="str">
        <f t="shared" ca="1" si="5"/>
        <v/>
      </c>
      <c r="U112" s="13" t="str">
        <f t="shared" si="6"/>
        <v/>
      </c>
      <c r="V112" t="str">
        <f t="shared" ca="1" si="7"/>
        <v/>
      </c>
    </row>
    <row r="113" spans="11:22" x14ac:dyDescent="0.25">
      <c r="K113" t="str">
        <f t="shared" ca="1" si="4"/>
        <v/>
      </c>
      <c r="L113" t="str">
        <f t="shared" ca="1" si="5"/>
        <v/>
      </c>
      <c r="U113" s="13" t="str">
        <f t="shared" si="6"/>
        <v/>
      </c>
      <c r="V113" t="str">
        <f t="shared" ca="1" si="7"/>
        <v/>
      </c>
    </row>
    <row r="114" spans="11:22" x14ac:dyDescent="0.25">
      <c r="K114" t="str">
        <f t="shared" ca="1" si="4"/>
        <v/>
      </c>
      <c r="L114" t="str">
        <f t="shared" ca="1" si="5"/>
        <v/>
      </c>
      <c r="U114" s="13" t="str">
        <f t="shared" si="6"/>
        <v/>
      </c>
      <c r="V114" t="str">
        <f t="shared" ca="1" si="7"/>
        <v/>
      </c>
    </row>
    <row r="115" spans="11:22" x14ac:dyDescent="0.25">
      <c r="K115" t="str">
        <f t="shared" ca="1" si="4"/>
        <v/>
      </c>
      <c r="L115" t="str">
        <f t="shared" ca="1" si="5"/>
        <v/>
      </c>
      <c r="U115" s="13" t="str">
        <f t="shared" si="6"/>
        <v/>
      </c>
      <c r="V115" t="str">
        <f t="shared" ca="1" si="7"/>
        <v/>
      </c>
    </row>
    <row r="116" spans="11:22" x14ac:dyDescent="0.25">
      <c r="K116" t="str">
        <f t="shared" ca="1" si="4"/>
        <v/>
      </c>
      <c r="L116" t="str">
        <f t="shared" ca="1" si="5"/>
        <v/>
      </c>
      <c r="U116" s="13" t="str">
        <f t="shared" si="6"/>
        <v/>
      </c>
      <c r="V116" t="str">
        <f t="shared" ca="1" si="7"/>
        <v/>
      </c>
    </row>
    <row r="117" spans="11:22" x14ac:dyDescent="0.25">
      <c r="K117" t="str">
        <f t="shared" ca="1" si="4"/>
        <v/>
      </c>
      <c r="L117" t="str">
        <f t="shared" ca="1" si="5"/>
        <v/>
      </c>
      <c r="U117" s="13" t="str">
        <f t="shared" si="6"/>
        <v/>
      </c>
      <c r="V117" t="str">
        <f t="shared" ca="1" si="7"/>
        <v/>
      </c>
    </row>
    <row r="118" spans="11:22" x14ac:dyDescent="0.25">
      <c r="K118" t="str">
        <f t="shared" ca="1" si="4"/>
        <v/>
      </c>
      <c r="L118" t="str">
        <f t="shared" ca="1" si="5"/>
        <v/>
      </c>
      <c r="U118" s="13" t="str">
        <f t="shared" si="6"/>
        <v/>
      </c>
      <c r="V118" t="str">
        <f t="shared" ca="1" si="7"/>
        <v/>
      </c>
    </row>
    <row r="119" spans="11:22" x14ac:dyDescent="0.25">
      <c r="K119" t="str">
        <f t="shared" ca="1" si="4"/>
        <v/>
      </c>
      <c r="L119" t="str">
        <f t="shared" ca="1" si="5"/>
        <v/>
      </c>
      <c r="U119" s="13" t="str">
        <f t="shared" si="6"/>
        <v/>
      </c>
      <c r="V119" t="str">
        <f t="shared" ca="1" si="7"/>
        <v/>
      </c>
    </row>
    <row r="120" spans="11:22" x14ac:dyDescent="0.25">
      <c r="K120" t="str">
        <f t="shared" ca="1" si="4"/>
        <v/>
      </c>
      <c r="L120" t="str">
        <f t="shared" ca="1" si="5"/>
        <v/>
      </c>
      <c r="U120" s="13" t="str">
        <f t="shared" si="6"/>
        <v/>
      </c>
      <c r="V120" t="str">
        <f t="shared" ca="1" si="7"/>
        <v/>
      </c>
    </row>
    <row r="121" spans="11:22" x14ac:dyDescent="0.25">
      <c r="K121" t="str">
        <f t="shared" ca="1" si="4"/>
        <v/>
      </c>
      <c r="L121" t="str">
        <f t="shared" ca="1" si="5"/>
        <v/>
      </c>
      <c r="U121" s="13" t="str">
        <f t="shared" si="6"/>
        <v/>
      </c>
      <c r="V121" t="str">
        <f t="shared" ca="1" si="7"/>
        <v/>
      </c>
    </row>
    <row r="122" spans="11:22" x14ac:dyDescent="0.25">
      <c r="K122" t="str">
        <f t="shared" ca="1" si="4"/>
        <v/>
      </c>
      <c r="L122" t="str">
        <f t="shared" ca="1" si="5"/>
        <v/>
      </c>
      <c r="U122" s="13" t="str">
        <f t="shared" si="6"/>
        <v/>
      </c>
      <c r="V122" t="str">
        <f t="shared" ca="1" si="7"/>
        <v/>
      </c>
    </row>
    <row r="123" spans="11:22" x14ac:dyDescent="0.25">
      <c r="K123" t="str">
        <f t="shared" ca="1" si="4"/>
        <v/>
      </c>
      <c r="L123" t="str">
        <f t="shared" ca="1" si="5"/>
        <v/>
      </c>
      <c r="U123" s="13" t="str">
        <f t="shared" si="6"/>
        <v/>
      </c>
      <c r="V123" t="str">
        <f t="shared" ca="1" si="7"/>
        <v/>
      </c>
    </row>
    <row r="124" spans="11:22" x14ac:dyDescent="0.25">
      <c r="K124" t="str">
        <f t="shared" ca="1" si="4"/>
        <v/>
      </c>
      <c r="L124" t="str">
        <f t="shared" ca="1" si="5"/>
        <v/>
      </c>
      <c r="U124" s="13" t="str">
        <f t="shared" si="6"/>
        <v/>
      </c>
      <c r="V124" t="str">
        <f t="shared" ca="1" si="7"/>
        <v/>
      </c>
    </row>
    <row r="125" spans="11:22" x14ac:dyDescent="0.25">
      <c r="K125" t="str">
        <f t="shared" ca="1" si="4"/>
        <v/>
      </c>
      <c r="L125" t="str">
        <f t="shared" ca="1" si="5"/>
        <v/>
      </c>
      <c r="U125" s="13" t="str">
        <f t="shared" si="6"/>
        <v/>
      </c>
      <c r="V125" t="str">
        <f t="shared" ca="1" si="7"/>
        <v/>
      </c>
    </row>
    <row r="126" spans="11:22" x14ac:dyDescent="0.25">
      <c r="K126" t="str">
        <f t="shared" ca="1" si="4"/>
        <v/>
      </c>
      <c r="L126" t="str">
        <f t="shared" ca="1" si="5"/>
        <v/>
      </c>
      <c r="U126" s="13" t="str">
        <f t="shared" si="6"/>
        <v/>
      </c>
      <c r="V126" t="str">
        <f t="shared" ca="1" si="7"/>
        <v/>
      </c>
    </row>
    <row r="127" spans="11:22" x14ac:dyDescent="0.25">
      <c r="K127" t="str">
        <f t="shared" ca="1" si="4"/>
        <v/>
      </c>
      <c r="L127" t="str">
        <f t="shared" ca="1" si="5"/>
        <v/>
      </c>
      <c r="U127" s="13" t="str">
        <f t="shared" si="6"/>
        <v/>
      </c>
      <c r="V127" t="str">
        <f t="shared" ca="1" si="7"/>
        <v/>
      </c>
    </row>
    <row r="128" spans="11:22" x14ac:dyDescent="0.25">
      <c r="K128" t="str">
        <f t="shared" ca="1" si="4"/>
        <v/>
      </c>
      <c r="L128" t="str">
        <f t="shared" ca="1" si="5"/>
        <v/>
      </c>
      <c r="U128" s="13" t="str">
        <f t="shared" si="6"/>
        <v/>
      </c>
      <c r="V128" t="str">
        <f t="shared" ca="1" si="7"/>
        <v/>
      </c>
    </row>
    <row r="129" spans="11:22" x14ac:dyDescent="0.25">
      <c r="K129" t="str">
        <f t="shared" ca="1" si="4"/>
        <v/>
      </c>
      <c r="L129" t="str">
        <f t="shared" ca="1" si="5"/>
        <v/>
      </c>
      <c r="U129" s="13" t="str">
        <f t="shared" si="6"/>
        <v/>
      </c>
      <c r="V129" t="str">
        <f t="shared" ca="1" si="7"/>
        <v/>
      </c>
    </row>
    <row r="130" spans="11:22" x14ac:dyDescent="0.25">
      <c r="K130" t="str">
        <f t="shared" ref="K130:K193" ca="1" si="8">IF(A130="","",IF(T130="Yes","Void",IF(I130&lt;&gt;"","Closed",IF(AND(H130&lt;&gt;"",TODAY()&gt;H130),"Overdue","Open"))))</f>
        <v/>
      </c>
      <c r="L130" t="str">
        <f t="shared" ref="L130:L193" ca="1" si="9">IF(A130="","",IF(I130&lt;&gt;"",J130-B130,TODAY()-B130))</f>
        <v/>
      </c>
      <c r="U130" s="13" t="str">
        <f t="shared" ref="U130:U193" si="10">IF(A130="","",MAX(B130+0,H130+0,J130+0))</f>
        <v/>
      </c>
      <c r="V130" t="str">
        <f t="shared" ref="V130:V193" ca="1" si="11">IF(A130="","",IF(K130="Closed","",TODAY()-U130))</f>
        <v/>
      </c>
    </row>
    <row r="131" spans="11:22" x14ac:dyDescent="0.25">
      <c r="K131" t="str">
        <f t="shared" ca="1" si="8"/>
        <v/>
      </c>
      <c r="L131" t="str">
        <f t="shared" ca="1" si="9"/>
        <v/>
      </c>
      <c r="U131" s="13" t="str">
        <f t="shared" si="10"/>
        <v/>
      </c>
      <c r="V131" t="str">
        <f t="shared" ca="1" si="11"/>
        <v/>
      </c>
    </row>
    <row r="132" spans="11:22" x14ac:dyDescent="0.25">
      <c r="K132" t="str">
        <f t="shared" ca="1" si="8"/>
        <v/>
      </c>
      <c r="L132" t="str">
        <f t="shared" ca="1" si="9"/>
        <v/>
      </c>
      <c r="U132" s="13" t="str">
        <f t="shared" si="10"/>
        <v/>
      </c>
      <c r="V132" t="str">
        <f t="shared" ca="1" si="11"/>
        <v/>
      </c>
    </row>
    <row r="133" spans="11:22" x14ac:dyDescent="0.25">
      <c r="K133" t="str">
        <f t="shared" ca="1" si="8"/>
        <v/>
      </c>
      <c r="L133" t="str">
        <f t="shared" ca="1" si="9"/>
        <v/>
      </c>
      <c r="U133" s="13" t="str">
        <f t="shared" si="10"/>
        <v/>
      </c>
      <c r="V133" t="str">
        <f t="shared" ca="1" si="11"/>
        <v/>
      </c>
    </row>
    <row r="134" spans="11:22" x14ac:dyDescent="0.25">
      <c r="K134" t="str">
        <f t="shared" ca="1" si="8"/>
        <v/>
      </c>
      <c r="L134" t="str">
        <f t="shared" ca="1" si="9"/>
        <v/>
      </c>
      <c r="U134" s="13" t="str">
        <f t="shared" si="10"/>
        <v/>
      </c>
      <c r="V134" t="str">
        <f t="shared" ca="1" si="11"/>
        <v/>
      </c>
    </row>
    <row r="135" spans="11:22" x14ac:dyDescent="0.25">
      <c r="K135" t="str">
        <f t="shared" ca="1" si="8"/>
        <v/>
      </c>
      <c r="L135" t="str">
        <f t="shared" ca="1" si="9"/>
        <v/>
      </c>
      <c r="U135" s="13" t="str">
        <f t="shared" si="10"/>
        <v/>
      </c>
      <c r="V135" t="str">
        <f t="shared" ca="1" si="11"/>
        <v/>
      </c>
    </row>
    <row r="136" spans="11:22" x14ac:dyDescent="0.25">
      <c r="K136" t="str">
        <f t="shared" ca="1" si="8"/>
        <v/>
      </c>
      <c r="L136" t="str">
        <f t="shared" ca="1" si="9"/>
        <v/>
      </c>
      <c r="U136" s="13" t="str">
        <f t="shared" si="10"/>
        <v/>
      </c>
      <c r="V136" t="str">
        <f t="shared" ca="1" si="11"/>
        <v/>
      </c>
    </row>
    <row r="137" spans="11:22" x14ac:dyDescent="0.25">
      <c r="K137" t="str">
        <f t="shared" ca="1" si="8"/>
        <v/>
      </c>
      <c r="L137" t="str">
        <f t="shared" ca="1" si="9"/>
        <v/>
      </c>
      <c r="U137" s="13" t="str">
        <f t="shared" si="10"/>
        <v/>
      </c>
      <c r="V137" t="str">
        <f t="shared" ca="1" si="11"/>
        <v/>
      </c>
    </row>
    <row r="138" spans="11:22" x14ac:dyDescent="0.25">
      <c r="K138" t="str">
        <f t="shared" ca="1" si="8"/>
        <v/>
      </c>
      <c r="L138" t="str">
        <f t="shared" ca="1" si="9"/>
        <v/>
      </c>
      <c r="U138" s="13" t="str">
        <f t="shared" si="10"/>
        <v/>
      </c>
      <c r="V138" t="str">
        <f t="shared" ca="1" si="11"/>
        <v/>
      </c>
    </row>
    <row r="139" spans="11:22" x14ac:dyDescent="0.25">
      <c r="K139" t="str">
        <f t="shared" ca="1" si="8"/>
        <v/>
      </c>
      <c r="L139" t="str">
        <f t="shared" ca="1" si="9"/>
        <v/>
      </c>
      <c r="U139" s="13" t="str">
        <f t="shared" si="10"/>
        <v/>
      </c>
      <c r="V139" t="str">
        <f t="shared" ca="1" si="11"/>
        <v/>
      </c>
    </row>
    <row r="140" spans="11:22" x14ac:dyDescent="0.25">
      <c r="K140" t="str">
        <f t="shared" ca="1" si="8"/>
        <v/>
      </c>
      <c r="L140" t="str">
        <f t="shared" ca="1" si="9"/>
        <v/>
      </c>
      <c r="U140" s="13" t="str">
        <f t="shared" si="10"/>
        <v/>
      </c>
      <c r="V140" t="str">
        <f t="shared" ca="1" si="11"/>
        <v/>
      </c>
    </row>
    <row r="141" spans="11:22" x14ac:dyDescent="0.25">
      <c r="K141" t="str">
        <f t="shared" ca="1" si="8"/>
        <v/>
      </c>
      <c r="L141" t="str">
        <f t="shared" ca="1" si="9"/>
        <v/>
      </c>
      <c r="U141" s="13" t="str">
        <f t="shared" si="10"/>
        <v/>
      </c>
      <c r="V141" t="str">
        <f t="shared" ca="1" si="11"/>
        <v/>
      </c>
    </row>
    <row r="142" spans="11:22" x14ac:dyDescent="0.25">
      <c r="K142" t="str">
        <f t="shared" ca="1" si="8"/>
        <v/>
      </c>
      <c r="L142" t="str">
        <f t="shared" ca="1" si="9"/>
        <v/>
      </c>
      <c r="U142" s="13" t="str">
        <f t="shared" si="10"/>
        <v/>
      </c>
      <c r="V142" t="str">
        <f t="shared" ca="1" si="11"/>
        <v/>
      </c>
    </row>
    <row r="143" spans="11:22" x14ac:dyDescent="0.25">
      <c r="K143" t="str">
        <f t="shared" ca="1" si="8"/>
        <v/>
      </c>
      <c r="L143" t="str">
        <f t="shared" ca="1" si="9"/>
        <v/>
      </c>
      <c r="U143" s="13" t="str">
        <f t="shared" si="10"/>
        <v/>
      </c>
      <c r="V143" t="str">
        <f t="shared" ca="1" si="11"/>
        <v/>
      </c>
    </row>
    <row r="144" spans="11:22" x14ac:dyDescent="0.25">
      <c r="K144" t="str">
        <f t="shared" ca="1" si="8"/>
        <v/>
      </c>
      <c r="L144" t="str">
        <f t="shared" ca="1" si="9"/>
        <v/>
      </c>
      <c r="U144" s="13" t="str">
        <f t="shared" si="10"/>
        <v/>
      </c>
      <c r="V144" t="str">
        <f t="shared" ca="1" si="11"/>
        <v/>
      </c>
    </row>
    <row r="145" spans="11:22" x14ac:dyDescent="0.25">
      <c r="K145" t="str">
        <f t="shared" ca="1" si="8"/>
        <v/>
      </c>
      <c r="L145" t="str">
        <f t="shared" ca="1" si="9"/>
        <v/>
      </c>
      <c r="U145" s="13" t="str">
        <f t="shared" si="10"/>
        <v/>
      </c>
      <c r="V145" t="str">
        <f t="shared" ca="1" si="11"/>
        <v/>
      </c>
    </row>
    <row r="146" spans="11:22" x14ac:dyDescent="0.25">
      <c r="K146" t="str">
        <f t="shared" ca="1" si="8"/>
        <v/>
      </c>
      <c r="L146" t="str">
        <f t="shared" ca="1" si="9"/>
        <v/>
      </c>
      <c r="U146" s="13" t="str">
        <f t="shared" si="10"/>
        <v/>
      </c>
      <c r="V146" t="str">
        <f t="shared" ca="1" si="11"/>
        <v/>
      </c>
    </row>
    <row r="147" spans="11:22" x14ac:dyDescent="0.25">
      <c r="K147" t="str">
        <f t="shared" ca="1" si="8"/>
        <v/>
      </c>
      <c r="L147" t="str">
        <f t="shared" ca="1" si="9"/>
        <v/>
      </c>
      <c r="U147" s="13" t="str">
        <f t="shared" si="10"/>
        <v/>
      </c>
      <c r="V147" t="str">
        <f t="shared" ca="1" si="11"/>
        <v/>
      </c>
    </row>
    <row r="148" spans="11:22" x14ac:dyDescent="0.25">
      <c r="K148" t="str">
        <f t="shared" ca="1" si="8"/>
        <v/>
      </c>
      <c r="L148" t="str">
        <f t="shared" ca="1" si="9"/>
        <v/>
      </c>
      <c r="U148" s="13" t="str">
        <f t="shared" si="10"/>
        <v/>
      </c>
      <c r="V148" t="str">
        <f t="shared" ca="1" si="11"/>
        <v/>
      </c>
    </row>
    <row r="149" spans="11:22" x14ac:dyDescent="0.25">
      <c r="K149" t="str">
        <f t="shared" ca="1" si="8"/>
        <v/>
      </c>
      <c r="L149" t="str">
        <f t="shared" ca="1" si="9"/>
        <v/>
      </c>
      <c r="U149" s="13" t="str">
        <f t="shared" si="10"/>
        <v/>
      </c>
      <c r="V149" t="str">
        <f t="shared" ca="1" si="11"/>
        <v/>
      </c>
    </row>
    <row r="150" spans="11:22" x14ac:dyDescent="0.25">
      <c r="K150" t="str">
        <f t="shared" ca="1" si="8"/>
        <v/>
      </c>
      <c r="L150" t="str">
        <f t="shared" ca="1" si="9"/>
        <v/>
      </c>
      <c r="U150" s="13" t="str">
        <f t="shared" si="10"/>
        <v/>
      </c>
      <c r="V150" t="str">
        <f t="shared" ca="1" si="11"/>
        <v/>
      </c>
    </row>
    <row r="151" spans="11:22" x14ac:dyDescent="0.25">
      <c r="K151" t="str">
        <f t="shared" ca="1" si="8"/>
        <v/>
      </c>
      <c r="L151" t="str">
        <f t="shared" ca="1" si="9"/>
        <v/>
      </c>
      <c r="U151" s="13" t="str">
        <f t="shared" si="10"/>
        <v/>
      </c>
      <c r="V151" t="str">
        <f t="shared" ca="1" si="11"/>
        <v/>
      </c>
    </row>
    <row r="152" spans="11:22" x14ac:dyDescent="0.25">
      <c r="K152" t="str">
        <f t="shared" ca="1" si="8"/>
        <v/>
      </c>
      <c r="L152" t="str">
        <f t="shared" ca="1" si="9"/>
        <v/>
      </c>
      <c r="U152" s="13" t="str">
        <f t="shared" si="10"/>
        <v/>
      </c>
      <c r="V152" t="str">
        <f t="shared" ca="1" si="11"/>
        <v/>
      </c>
    </row>
    <row r="153" spans="11:22" x14ac:dyDescent="0.25">
      <c r="K153" t="str">
        <f t="shared" ca="1" si="8"/>
        <v/>
      </c>
      <c r="L153" t="str">
        <f t="shared" ca="1" si="9"/>
        <v/>
      </c>
      <c r="U153" s="13" t="str">
        <f t="shared" si="10"/>
        <v/>
      </c>
      <c r="V153" t="str">
        <f t="shared" ca="1" si="11"/>
        <v/>
      </c>
    </row>
    <row r="154" spans="11:22" x14ac:dyDescent="0.25">
      <c r="K154" t="str">
        <f t="shared" ca="1" si="8"/>
        <v/>
      </c>
      <c r="L154" t="str">
        <f t="shared" ca="1" si="9"/>
        <v/>
      </c>
      <c r="U154" s="13" t="str">
        <f t="shared" si="10"/>
        <v/>
      </c>
      <c r="V154" t="str">
        <f t="shared" ca="1" si="11"/>
        <v/>
      </c>
    </row>
    <row r="155" spans="11:22" x14ac:dyDescent="0.25">
      <c r="K155" t="str">
        <f t="shared" ca="1" si="8"/>
        <v/>
      </c>
      <c r="L155" t="str">
        <f t="shared" ca="1" si="9"/>
        <v/>
      </c>
      <c r="U155" s="13" t="str">
        <f t="shared" si="10"/>
        <v/>
      </c>
      <c r="V155" t="str">
        <f t="shared" ca="1" si="11"/>
        <v/>
      </c>
    </row>
    <row r="156" spans="11:22" x14ac:dyDescent="0.25">
      <c r="K156" t="str">
        <f t="shared" ca="1" si="8"/>
        <v/>
      </c>
      <c r="L156" t="str">
        <f t="shared" ca="1" si="9"/>
        <v/>
      </c>
      <c r="U156" s="13" t="str">
        <f t="shared" si="10"/>
        <v/>
      </c>
      <c r="V156" t="str">
        <f t="shared" ca="1" si="11"/>
        <v/>
      </c>
    </row>
    <row r="157" spans="11:22" x14ac:dyDescent="0.25">
      <c r="K157" t="str">
        <f t="shared" ca="1" si="8"/>
        <v/>
      </c>
      <c r="L157" t="str">
        <f t="shared" ca="1" si="9"/>
        <v/>
      </c>
      <c r="U157" s="13" t="str">
        <f t="shared" si="10"/>
        <v/>
      </c>
      <c r="V157" t="str">
        <f t="shared" ca="1" si="11"/>
        <v/>
      </c>
    </row>
    <row r="158" spans="11:22" x14ac:dyDescent="0.25">
      <c r="K158" t="str">
        <f t="shared" ca="1" si="8"/>
        <v/>
      </c>
      <c r="L158" t="str">
        <f t="shared" ca="1" si="9"/>
        <v/>
      </c>
      <c r="U158" s="13" t="str">
        <f t="shared" si="10"/>
        <v/>
      </c>
      <c r="V158" t="str">
        <f t="shared" ca="1" si="11"/>
        <v/>
      </c>
    </row>
    <row r="159" spans="11:22" x14ac:dyDescent="0.25">
      <c r="K159" t="str">
        <f t="shared" ca="1" si="8"/>
        <v/>
      </c>
      <c r="L159" t="str">
        <f t="shared" ca="1" si="9"/>
        <v/>
      </c>
      <c r="U159" s="13" t="str">
        <f t="shared" si="10"/>
        <v/>
      </c>
      <c r="V159" t="str">
        <f t="shared" ca="1" si="11"/>
        <v/>
      </c>
    </row>
    <row r="160" spans="11:22" x14ac:dyDescent="0.25">
      <c r="K160" t="str">
        <f t="shared" ca="1" si="8"/>
        <v/>
      </c>
      <c r="L160" t="str">
        <f t="shared" ca="1" si="9"/>
        <v/>
      </c>
      <c r="U160" s="13" t="str">
        <f t="shared" si="10"/>
        <v/>
      </c>
      <c r="V160" t="str">
        <f t="shared" ca="1" si="11"/>
        <v/>
      </c>
    </row>
    <row r="161" spans="11:22" x14ac:dyDescent="0.25">
      <c r="K161" t="str">
        <f t="shared" ca="1" si="8"/>
        <v/>
      </c>
      <c r="L161" t="str">
        <f t="shared" ca="1" si="9"/>
        <v/>
      </c>
      <c r="U161" s="13" t="str">
        <f t="shared" si="10"/>
        <v/>
      </c>
      <c r="V161" t="str">
        <f t="shared" ca="1" si="11"/>
        <v/>
      </c>
    </row>
    <row r="162" spans="11:22" x14ac:dyDescent="0.25">
      <c r="K162" t="str">
        <f t="shared" ca="1" si="8"/>
        <v/>
      </c>
      <c r="L162" t="str">
        <f t="shared" ca="1" si="9"/>
        <v/>
      </c>
      <c r="U162" s="13" t="str">
        <f t="shared" si="10"/>
        <v/>
      </c>
      <c r="V162" t="str">
        <f t="shared" ca="1" si="11"/>
        <v/>
      </c>
    </row>
    <row r="163" spans="11:22" x14ac:dyDescent="0.25">
      <c r="K163" t="str">
        <f t="shared" ca="1" si="8"/>
        <v/>
      </c>
      <c r="L163" t="str">
        <f t="shared" ca="1" si="9"/>
        <v/>
      </c>
      <c r="U163" s="13" t="str">
        <f t="shared" si="10"/>
        <v/>
      </c>
      <c r="V163" t="str">
        <f t="shared" ca="1" si="11"/>
        <v/>
      </c>
    </row>
    <row r="164" spans="11:22" x14ac:dyDescent="0.25">
      <c r="K164" t="str">
        <f t="shared" ca="1" si="8"/>
        <v/>
      </c>
      <c r="L164" t="str">
        <f t="shared" ca="1" si="9"/>
        <v/>
      </c>
      <c r="U164" s="13" t="str">
        <f t="shared" si="10"/>
        <v/>
      </c>
      <c r="V164" t="str">
        <f t="shared" ca="1" si="11"/>
        <v/>
      </c>
    </row>
    <row r="165" spans="11:22" x14ac:dyDescent="0.25">
      <c r="K165" t="str">
        <f t="shared" ca="1" si="8"/>
        <v/>
      </c>
      <c r="L165" t="str">
        <f t="shared" ca="1" si="9"/>
        <v/>
      </c>
      <c r="U165" s="13" t="str">
        <f t="shared" si="10"/>
        <v/>
      </c>
      <c r="V165" t="str">
        <f t="shared" ca="1" si="11"/>
        <v/>
      </c>
    </row>
    <row r="166" spans="11:22" x14ac:dyDescent="0.25">
      <c r="K166" t="str">
        <f t="shared" ca="1" si="8"/>
        <v/>
      </c>
      <c r="L166" t="str">
        <f t="shared" ca="1" si="9"/>
        <v/>
      </c>
      <c r="U166" s="13" t="str">
        <f t="shared" si="10"/>
        <v/>
      </c>
      <c r="V166" t="str">
        <f t="shared" ca="1" si="11"/>
        <v/>
      </c>
    </row>
    <row r="167" spans="11:22" x14ac:dyDescent="0.25">
      <c r="K167" t="str">
        <f t="shared" ca="1" si="8"/>
        <v/>
      </c>
      <c r="L167" t="str">
        <f t="shared" ca="1" si="9"/>
        <v/>
      </c>
      <c r="U167" s="13" t="str">
        <f t="shared" si="10"/>
        <v/>
      </c>
      <c r="V167" t="str">
        <f t="shared" ca="1" si="11"/>
        <v/>
      </c>
    </row>
    <row r="168" spans="11:22" x14ac:dyDescent="0.25">
      <c r="K168" t="str">
        <f t="shared" ca="1" si="8"/>
        <v/>
      </c>
      <c r="L168" t="str">
        <f t="shared" ca="1" si="9"/>
        <v/>
      </c>
      <c r="U168" s="13" t="str">
        <f t="shared" si="10"/>
        <v/>
      </c>
      <c r="V168" t="str">
        <f t="shared" ca="1" si="11"/>
        <v/>
      </c>
    </row>
    <row r="169" spans="11:22" x14ac:dyDescent="0.25">
      <c r="K169" t="str">
        <f t="shared" ca="1" si="8"/>
        <v/>
      </c>
      <c r="L169" t="str">
        <f t="shared" ca="1" si="9"/>
        <v/>
      </c>
      <c r="U169" s="13" t="str">
        <f t="shared" si="10"/>
        <v/>
      </c>
      <c r="V169" t="str">
        <f t="shared" ca="1" si="11"/>
        <v/>
      </c>
    </row>
    <row r="170" spans="11:22" x14ac:dyDescent="0.25">
      <c r="K170" t="str">
        <f t="shared" ca="1" si="8"/>
        <v/>
      </c>
      <c r="L170" t="str">
        <f t="shared" ca="1" si="9"/>
        <v/>
      </c>
      <c r="U170" s="13" t="str">
        <f t="shared" si="10"/>
        <v/>
      </c>
      <c r="V170" t="str">
        <f t="shared" ca="1" si="11"/>
        <v/>
      </c>
    </row>
    <row r="171" spans="11:22" x14ac:dyDescent="0.25">
      <c r="K171" t="str">
        <f t="shared" ca="1" si="8"/>
        <v/>
      </c>
      <c r="L171" t="str">
        <f t="shared" ca="1" si="9"/>
        <v/>
      </c>
      <c r="U171" s="13" t="str">
        <f t="shared" si="10"/>
        <v/>
      </c>
      <c r="V171" t="str">
        <f t="shared" ca="1" si="11"/>
        <v/>
      </c>
    </row>
    <row r="172" spans="11:22" x14ac:dyDescent="0.25">
      <c r="K172" t="str">
        <f t="shared" ca="1" si="8"/>
        <v/>
      </c>
      <c r="L172" t="str">
        <f t="shared" ca="1" si="9"/>
        <v/>
      </c>
      <c r="U172" s="13" t="str">
        <f t="shared" si="10"/>
        <v/>
      </c>
      <c r="V172" t="str">
        <f t="shared" ca="1" si="11"/>
        <v/>
      </c>
    </row>
    <row r="173" spans="11:22" x14ac:dyDescent="0.25">
      <c r="K173" t="str">
        <f t="shared" ca="1" si="8"/>
        <v/>
      </c>
      <c r="L173" t="str">
        <f t="shared" ca="1" si="9"/>
        <v/>
      </c>
      <c r="U173" s="13" t="str">
        <f t="shared" si="10"/>
        <v/>
      </c>
      <c r="V173" t="str">
        <f t="shared" ca="1" si="11"/>
        <v/>
      </c>
    </row>
    <row r="174" spans="11:22" x14ac:dyDescent="0.25">
      <c r="K174" t="str">
        <f t="shared" ca="1" si="8"/>
        <v/>
      </c>
      <c r="L174" t="str">
        <f t="shared" ca="1" si="9"/>
        <v/>
      </c>
      <c r="U174" s="13" t="str">
        <f t="shared" si="10"/>
        <v/>
      </c>
      <c r="V174" t="str">
        <f t="shared" ca="1" si="11"/>
        <v/>
      </c>
    </row>
    <row r="175" spans="11:22" x14ac:dyDescent="0.25">
      <c r="K175" t="str">
        <f t="shared" ca="1" si="8"/>
        <v/>
      </c>
      <c r="L175" t="str">
        <f t="shared" ca="1" si="9"/>
        <v/>
      </c>
      <c r="U175" s="13" t="str">
        <f t="shared" si="10"/>
        <v/>
      </c>
      <c r="V175" t="str">
        <f t="shared" ca="1" si="11"/>
        <v/>
      </c>
    </row>
    <row r="176" spans="11:22" x14ac:dyDescent="0.25">
      <c r="K176" t="str">
        <f t="shared" ca="1" si="8"/>
        <v/>
      </c>
      <c r="L176" t="str">
        <f t="shared" ca="1" si="9"/>
        <v/>
      </c>
      <c r="U176" s="13" t="str">
        <f t="shared" si="10"/>
        <v/>
      </c>
      <c r="V176" t="str">
        <f t="shared" ca="1" si="11"/>
        <v/>
      </c>
    </row>
    <row r="177" spans="11:22" x14ac:dyDescent="0.25">
      <c r="K177" t="str">
        <f t="shared" ca="1" si="8"/>
        <v/>
      </c>
      <c r="L177" t="str">
        <f t="shared" ca="1" si="9"/>
        <v/>
      </c>
      <c r="U177" s="13" t="str">
        <f t="shared" si="10"/>
        <v/>
      </c>
      <c r="V177" t="str">
        <f t="shared" ca="1" si="11"/>
        <v/>
      </c>
    </row>
    <row r="178" spans="11:22" x14ac:dyDescent="0.25">
      <c r="K178" t="str">
        <f t="shared" ca="1" si="8"/>
        <v/>
      </c>
      <c r="L178" t="str">
        <f t="shared" ca="1" si="9"/>
        <v/>
      </c>
      <c r="U178" s="13" t="str">
        <f t="shared" si="10"/>
        <v/>
      </c>
      <c r="V178" t="str">
        <f t="shared" ca="1" si="11"/>
        <v/>
      </c>
    </row>
    <row r="179" spans="11:22" x14ac:dyDescent="0.25">
      <c r="K179" t="str">
        <f t="shared" ca="1" si="8"/>
        <v/>
      </c>
      <c r="L179" t="str">
        <f t="shared" ca="1" si="9"/>
        <v/>
      </c>
      <c r="U179" s="13" t="str">
        <f t="shared" si="10"/>
        <v/>
      </c>
      <c r="V179" t="str">
        <f t="shared" ca="1" si="11"/>
        <v/>
      </c>
    </row>
    <row r="180" spans="11:22" x14ac:dyDescent="0.25">
      <c r="K180" t="str">
        <f t="shared" ca="1" si="8"/>
        <v/>
      </c>
      <c r="L180" t="str">
        <f t="shared" ca="1" si="9"/>
        <v/>
      </c>
      <c r="U180" s="13" t="str">
        <f t="shared" si="10"/>
        <v/>
      </c>
      <c r="V180" t="str">
        <f t="shared" ca="1" si="11"/>
        <v/>
      </c>
    </row>
    <row r="181" spans="11:22" x14ac:dyDescent="0.25">
      <c r="K181" t="str">
        <f t="shared" ca="1" si="8"/>
        <v/>
      </c>
      <c r="L181" t="str">
        <f t="shared" ca="1" si="9"/>
        <v/>
      </c>
      <c r="U181" s="13" t="str">
        <f t="shared" si="10"/>
        <v/>
      </c>
      <c r="V181" t="str">
        <f t="shared" ca="1" si="11"/>
        <v/>
      </c>
    </row>
    <row r="182" spans="11:22" x14ac:dyDescent="0.25">
      <c r="K182" t="str">
        <f t="shared" ca="1" si="8"/>
        <v/>
      </c>
      <c r="L182" t="str">
        <f t="shared" ca="1" si="9"/>
        <v/>
      </c>
      <c r="U182" s="13" t="str">
        <f t="shared" si="10"/>
        <v/>
      </c>
      <c r="V182" t="str">
        <f t="shared" ca="1" si="11"/>
        <v/>
      </c>
    </row>
    <row r="183" spans="11:22" x14ac:dyDescent="0.25">
      <c r="K183" t="str">
        <f t="shared" ca="1" si="8"/>
        <v/>
      </c>
      <c r="L183" t="str">
        <f t="shared" ca="1" si="9"/>
        <v/>
      </c>
      <c r="U183" s="13" t="str">
        <f t="shared" si="10"/>
        <v/>
      </c>
      <c r="V183" t="str">
        <f t="shared" ca="1" si="11"/>
        <v/>
      </c>
    </row>
    <row r="184" spans="11:22" x14ac:dyDescent="0.25">
      <c r="K184" t="str">
        <f t="shared" ca="1" si="8"/>
        <v/>
      </c>
      <c r="L184" t="str">
        <f t="shared" ca="1" si="9"/>
        <v/>
      </c>
      <c r="U184" s="13" t="str">
        <f t="shared" si="10"/>
        <v/>
      </c>
      <c r="V184" t="str">
        <f t="shared" ca="1" si="11"/>
        <v/>
      </c>
    </row>
    <row r="185" spans="11:22" x14ac:dyDescent="0.25">
      <c r="K185" t="str">
        <f t="shared" ca="1" si="8"/>
        <v/>
      </c>
      <c r="L185" t="str">
        <f t="shared" ca="1" si="9"/>
        <v/>
      </c>
      <c r="U185" s="13" t="str">
        <f t="shared" si="10"/>
        <v/>
      </c>
      <c r="V185" t="str">
        <f t="shared" ca="1" si="11"/>
        <v/>
      </c>
    </row>
    <row r="186" spans="11:22" x14ac:dyDescent="0.25">
      <c r="K186" t="str">
        <f t="shared" ca="1" si="8"/>
        <v/>
      </c>
      <c r="L186" t="str">
        <f t="shared" ca="1" si="9"/>
        <v/>
      </c>
      <c r="U186" s="13" t="str">
        <f t="shared" si="10"/>
        <v/>
      </c>
      <c r="V186" t="str">
        <f t="shared" ca="1" si="11"/>
        <v/>
      </c>
    </row>
    <row r="187" spans="11:22" x14ac:dyDescent="0.25">
      <c r="K187" t="str">
        <f t="shared" ca="1" si="8"/>
        <v/>
      </c>
      <c r="L187" t="str">
        <f t="shared" ca="1" si="9"/>
        <v/>
      </c>
      <c r="U187" s="13" t="str">
        <f t="shared" si="10"/>
        <v/>
      </c>
      <c r="V187" t="str">
        <f t="shared" ca="1" si="11"/>
        <v/>
      </c>
    </row>
    <row r="188" spans="11:22" x14ac:dyDescent="0.25">
      <c r="K188" t="str">
        <f t="shared" ca="1" si="8"/>
        <v/>
      </c>
      <c r="L188" t="str">
        <f t="shared" ca="1" si="9"/>
        <v/>
      </c>
      <c r="U188" s="13" t="str">
        <f t="shared" si="10"/>
        <v/>
      </c>
      <c r="V188" t="str">
        <f t="shared" ca="1" si="11"/>
        <v/>
      </c>
    </row>
    <row r="189" spans="11:22" x14ac:dyDescent="0.25">
      <c r="K189" t="str">
        <f t="shared" ca="1" si="8"/>
        <v/>
      </c>
      <c r="L189" t="str">
        <f t="shared" ca="1" si="9"/>
        <v/>
      </c>
      <c r="U189" s="13" t="str">
        <f t="shared" si="10"/>
        <v/>
      </c>
      <c r="V189" t="str">
        <f t="shared" ca="1" si="11"/>
        <v/>
      </c>
    </row>
    <row r="190" spans="11:22" x14ac:dyDescent="0.25">
      <c r="K190" t="str">
        <f t="shared" ca="1" si="8"/>
        <v/>
      </c>
      <c r="L190" t="str">
        <f t="shared" ca="1" si="9"/>
        <v/>
      </c>
      <c r="U190" s="13" t="str">
        <f t="shared" si="10"/>
        <v/>
      </c>
      <c r="V190" t="str">
        <f t="shared" ca="1" si="11"/>
        <v/>
      </c>
    </row>
    <row r="191" spans="11:22" x14ac:dyDescent="0.25">
      <c r="K191" t="str">
        <f t="shared" ca="1" si="8"/>
        <v/>
      </c>
      <c r="L191" t="str">
        <f t="shared" ca="1" si="9"/>
        <v/>
      </c>
      <c r="U191" s="13" t="str">
        <f t="shared" si="10"/>
        <v/>
      </c>
      <c r="V191" t="str">
        <f t="shared" ca="1" si="11"/>
        <v/>
      </c>
    </row>
    <row r="192" spans="11:22" x14ac:dyDescent="0.25">
      <c r="K192" t="str">
        <f t="shared" ca="1" si="8"/>
        <v/>
      </c>
      <c r="L192" t="str">
        <f t="shared" ca="1" si="9"/>
        <v/>
      </c>
      <c r="U192" s="13" t="str">
        <f t="shared" si="10"/>
        <v/>
      </c>
      <c r="V192" t="str">
        <f t="shared" ca="1" si="11"/>
        <v/>
      </c>
    </row>
    <row r="193" spans="11:22" x14ac:dyDescent="0.25">
      <c r="K193" t="str">
        <f t="shared" ca="1" si="8"/>
        <v/>
      </c>
      <c r="L193" t="str">
        <f t="shared" ca="1" si="9"/>
        <v/>
      </c>
      <c r="U193" s="13" t="str">
        <f t="shared" si="10"/>
        <v/>
      </c>
      <c r="V193" t="str">
        <f t="shared" ca="1" si="11"/>
        <v/>
      </c>
    </row>
    <row r="194" spans="11:22" x14ac:dyDescent="0.25">
      <c r="K194" t="str">
        <f t="shared" ref="K194:K257" ca="1" si="12">IF(A194="","",IF(T194="Yes","Void",IF(I194&lt;&gt;"","Closed",IF(AND(H194&lt;&gt;"",TODAY()&gt;H194),"Overdue","Open"))))</f>
        <v/>
      </c>
      <c r="L194" t="str">
        <f t="shared" ref="L194:L257" ca="1" si="13">IF(A194="","",IF(I194&lt;&gt;"",J194-B194,TODAY()-B194))</f>
        <v/>
      </c>
      <c r="U194" s="13" t="str">
        <f t="shared" ref="U194:U257" si="14">IF(A194="","",MAX(B194+0,H194+0,J194+0))</f>
        <v/>
      </c>
      <c r="V194" t="str">
        <f t="shared" ref="V194:V257" ca="1" si="15">IF(A194="","",IF(K194="Closed","",TODAY()-U194))</f>
        <v/>
      </c>
    </row>
    <row r="195" spans="11:22" x14ac:dyDescent="0.25">
      <c r="K195" t="str">
        <f t="shared" ca="1" si="12"/>
        <v/>
      </c>
      <c r="L195" t="str">
        <f t="shared" ca="1" si="13"/>
        <v/>
      </c>
      <c r="U195" s="13" t="str">
        <f t="shared" si="14"/>
        <v/>
      </c>
      <c r="V195" t="str">
        <f t="shared" ca="1" si="15"/>
        <v/>
      </c>
    </row>
    <row r="196" spans="11:22" x14ac:dyDescent="0.25">
      <c r="K196" t="str">
        <f t="shared" ca="1" si="12"/>
        <v/>
      </c>
      <c r="L196" t="str">
        <f t="shared" ca="1" si="13"/>
        <v/>
      </c>
      <c r="U196" s="13" t="str">
        <f t="shared" si="14"/>
        <v/>
      </c>
      <c r="V196" t="str">
        <f t="shared" ca="1" si="15"/>
        <v/>
      </c>
    </row>
    <row r="197" spans="11:22" x14ac:dyDescent="0.25">
      <c r="K197" t="str">
        <f t="shared" ca="1" si="12"/>
        <v/>
      </c>
      <c r="L197" t="str">
        <f t="shared" ca="1" si="13"/>
        <v/>
      </c>
      <c r="U197" s="13" t="str">
        <f t="shared" si="14"/>
        <v/>
      </c>
      <c r="V197" t="str">
        <f t="shared" ca="1" si="15"/>
        <v/>
      </c>
    </row>
    <row r="198" spans="11:22" x14ac:dyDescent="0.25">
      <c r="K198" t="str">
        <f t="shared" ca="1" si="12"/>
        <v/>
      </c>
      <c r="L198" t="str">
        <f t="shared" ca="1" si="13"/>
        <v/>
      </c>
      <c r="U198" s="13" t="str">
        <f t="shared" si="14"/>
        <v/>
      </c>
      <c r="V198" t="str">
        <f t="shared" ca="1" si="15"/>
        <v/>
      </c>
    </row>
    <row r="199" spans="11:22" x14ac:dyDescent="0.25">
      <c r="K199" t="str">
        <f t="shared" ca="1" si="12"/>
        <v/>
      </c>
      <c r="L199" t="str">
        <f t="shared" ca="1" si="13"/>
        <v/>
      </c>
      <c r="U199" s="13" t="str">
        <f t="shared" si="14"/>
        <v/>
      </c>
      <c r="V199" t="str">
        <f t="shared" ca="1" si="15"/>
        <v/>
      </c>
    </row>
    <row r="200" spans="11:22" x14ac:dyDescent="0.25">
      <c r="K200" t="str">
        <f t="shared" ca="1" si="12"/>
        <v/>
      </c>
      <c r="L200" t="str">
        <f t="shared" ca="1" si="13"/>
        <v/>
      </c>
      <c r="U200" s="13" t="str">
        <f t="shared" si="14"/>
        <v/>
      </c>
      <c r="V200" t="str">
        <f t="shared" ca="1" si="15"/>
        <v/>
      </c>
    </row>
    <row r="201" spans="11:22" x14ac:dyDescent="0.25">
      <c r="K201" t="str">
        <f t="shared" ca="1" si="12"/>
        <v/>
      </c>
      <c r="L201" t="str">
        <f t="shared" ca="1" si="13"/>
        <v/>
      </c>
      <c r="U201" s="13" t="str">
        <f t="shared" si="14"/>
        <v/>
      </c>
      <c r="V201" t="str">
        <f t="shared" ca="1" si="15"/>
        <v/>
      </c>
    </row>
    <row r="202" spans="11:22" x14ac:dyDescent="0.25">
      <c r="K202" t="str">
        <f t="shared" ca="1" si="12"/>
        <v/>
      </c>
      <c r="L202" t="str">
        <f t="shared" ca="1" si="13"/>
        <v/>
      </c>
      <c r="U202" s="13" t="str">
        <f t="shared" si="14"/>
        <v/>
      </c>
      <c r="V202" t="str">
        <f t="shared" ca="1" si="15"/>
        <v/>
      </c>
    </row>
    <row r="203" spans="11:22" x14ac:dyDescent="0.25">
      <c r="K203" t="str">
        <f t="shared" ca="1" si="12"/>
        <v/>
      </c>
      <c r="L203" t="str">
        <f t="shared" ca="1" si="13"/>
        <v/>
      </c>
      <c r="U203" s="13" t="str">
        <f t="shared" si="14"/>
        <v/>
      </c>
      <c r="V203" t="str">
        <f t="shared" ca="1" si="15"/>
        <v/>
      </c>
    </row>
    <row r="204" spans="11:22" x14ac:dyDescent="0.25">
      <c r="K204" t="str">
        <f t="shared" ca="1" si="12"/>
        <v/>
      </c>
      <c r="L204" t="str">
        <f t="shared" ca="1" si="13"/>
        <v/>
      </c>
      <c r="U204" s="13" t="str">
        <f t="shared" si="14"/>
        <v/>
      </c>
      <c r="V204" t="str">
        <f t="shared" ca="1" si="15"/>
        <v/>
      </c>
    </row>
    <row r="205" spans="11:22" x14ac:dyDescent="0.25">
      <c r="K205" t="str">
        <f t="shared" ca="1" si="12"/>
        <v/>
      </c>
      <c r="L205" t="str">
        <f t="shared" ca="1" si="13"/>
        <v/>
      </c>
      <c r="U205" s="13" t="str">
        <f t="shared" si="14"/>
        <v/>
      </c>
      <c r="V205" t="str">
        <f t="shared" ca="1" si="15"/>
        <v/>
      </c>
    </row>
    <row r="206" spans="11:22" x14ac:dyDescent="0.25">
      <c r="K206" t="str">
        <f t="shared" ca="1" si="12"/>
        <v/>
      </c>
      <c r="L206" t="str">
        <f t="shared" ca="1" si="13"/>
        <v/>
      </c>
      <c r="U206" s="13" t="str">
        <f t="shared" si="14"/>
        <v/>
      </c>
      <c r="V206" t="str">
        <f t="shared" ca="1" si="15"/>
        <v/>
      </c>
    </row>
    <row r="207" spans="11:22" x14ac:dyDescent="0.25">
      <c r="K207" t="str">
        <f t="shared" ca="1" si="12"/>
        <v/>
      </c>
      <c r="L207" t="str">
        <f t="shared" ca="1" si="13"/>
        <v/>
      </c>
      <c r="U207" s="13" t="str">
        <f t="shared" si="14"/>
        <v/>
      </c>
      <c r="V207" t="str">
        <f t="shared" ca="1" si="15"/>
        <v/>
      </c>
    </row>
    <row r="208" spans="11:22" x14ac:dyDescent="0.25">
      <c r="K208" t="str">
        <f t="shared" ca="1" si="12"/>
        <v/>
      </c>
      <c r="L208" t="str">
        <f t="shared" ca="1" si="13"/>
        <v/>
      </c>
      <c r="U208" s="13" t="str">
        <f t="shared" si="14"/>
        <v/>
      </c>
      <c r="V208" t="str">
        <f t="shared" ca="1" si="15"/>
        <v/>
      </c>
    </row>
    <row r="209" spans="11:22" x14ac:dyDescent="0.25">
      <c r="K209" t="str">
        <f t="shared" ca="1" si="12"/>
        <v/>
      </c>
      <c r="L209" t="str">
        <f t="shared" ca="1" si="13"/>
        <v/>
      </c>
      <c r="U209" s="13" t="str">
        <f t="shared" si="14"/>
        <v/>
      </c>
      <c r="V209" t="str">
        <f t="shared" ca="1" si="15"/>
        <v/>
      </c>
    </row>
    <row r="210" spans="11:22" x14ac:dyDescent="0.25">
      <c r="K210" t="str">
        <f t="shared" ca="1" si="12"/>
        <v/>
      </c>
      <c r="L210" t="str">
        <f t="shared" ca="1" si="13"/>
        <v/>
      </c>
      <c r="U210" s="13" t="str">
        <f t="shared" si="14"/>
        <v/>
      </c>
      <c r="V210" t="str">
        <f t="shared" ca="1" si="15"/>
        <v/>
      </c>
    </row>
    <row r="211" spans="11:22" x14ac:dyDescent="0.25">
      <c r="K211" t="str">
        <f t="shared" ca="1" si="12"/>
        <v/>
      </c>
      <c r="L211" t="str">
        <f t="shared" ca="1" si="13"/>
        <v/>
      </c>
      <c r="U211" s="13" t="str">
        <f t="shared" si="14"/>
        <v/>
      </c>
      <c r="V211" t="str">
        <f t="shared" ca="1" si="15"/>
        <v/>
      </c>
    </row>
    <row r="212" spans="11:22" x14ac:dyDescent="0.25">
      <c r="K212" t="str">
        <f t="shared" ca="1" si="12"/>
        <v/>
      </c>
      <c r="L212" t="str">
        <f t="shared" ca="1" si="13"/>
        <v/>
      </c>
      <c r="U212" s="13" t="str">
        <f t="shared" si="14"/>
        <v/>
      </c>
      <c r="V212" t="str">
        <f t="shared" ca="1" si="15"/>
        <v/>
      </c>
    </row>
    <row r="213" spans="11:22" x14ac:dyDescent="0.25">
      <c r="K213" t="str">
        <f t="shared" ca="1" si="12"/>
        <v/>
      </c>
      <c r="L213" t="str">
        <f t="shared" ca="1" si="13"/>
        <v/>
      </c>
      <c r="U213" s="13" t="str">
        <f t="shared" si="14"/>
        <v/>
      </c>
      <c r="V213" t="str">
        <f t="shared" ca="1" si="15"/>
        <v/>
      </c>
    </row>
    <row r="214" spans="11:22" x14ac:dyDescent="0.25">
      <c r="K214" t="str">
        <f t="shared" ca="1" si="12"/>
        <v/>
      </c>
      <c r="L214" t="str">
        <f t="shared" ca="1" si="13"/>
        <v/>
      </c>
      <c r="U214" s="13" t="str">
        <f t="shared" si="14"/>
        <v/>
      </c>
      <c r="V214" t="str">
        <f t="shared" ca="1" si="15"/>
        <v/>
      </c>
    </row>
    <row r="215" spans="11:22" x14ac:dyDescent="0.25">
      <c r="K215" t="str">
        <f t="shared" ca="1" si="12"/>
        <v/>
      </c>
      <c r="L215" t="str">
        <f t="shared" ca="1" si="13"/>
        <v/>
      </c>
      <c r="U215" s="13" t="str">
        <f t="shared" si="14"/>
        <v/>
      </c>
      <c r="V215" t="str">
        <f t="shared" ca="1" si="15"/>
        <v/>
      </c>
    </row>
    <row r="216" spans="11:22" x14ac:dyDescent="0.25">
      <c r="K216" t="str">
        <f t="shared" ca="1" si="12"/>
        <v/>
      </c>
      <c r="L216" t="str">
        <f t="shared" ca="1" si="13"/>
        <v/>
      </c>
      <c r="U216" s="13" t="str">
        <f t="shared" si="14"/>
        <v/>
      </c>
      <c r="V216" t="str">
        <f t="shared" ca="1" si="15"/>
        <v/>
      </c>
    </row>
    <row r="217" spans="11:22" x14ac:dyDescent="0.25">
      <c r="K217" t="str">
        <f t="shared" ca="1" si="12"/>
        <v/>
      </c>
      <c r="L217" t="str">
        <f t="shared" ca="1" si="13"/>
        <v/>
      </c>
      <c r="U217" s="13" t="str">
        <f t="shared" si="14"/>
        <v/>
      </c>
      <c r="V217" t="str">
        <f t="shared" ca="1" si="15"/>
        <v/>
      </c>
    </row>
    <row r="218" spans="11:22" x14ac:dyDescent="0.25">
      <c r="K218" t="str">
        <f t="shared" ca="1" si="12"/>
        <v/>
      </c>
      <c r="L218" t="str">
        <f t="shared" ca="1" si="13"/>
        <v/>
      </c>
      <c r="U218" s="13" t="str">
        <f t="shared" si="14"/>
        <v/>
      </c>
      <c r="V218" t="str">
        <f t="shared" ca="1" si="15"/>
        <v/>
      </c>
    </row>
    <row r="219" spans="11:22" x14ac:dyDescent="0.25">
      <c r="K219" t="str">
        <f t="shared" ca="1" si="12"/>
        <v/>
      </c>
      <c r="L219" t="str">
        <f t="shared" ca="1" si="13"/>
        <v/>
      </c>
      <c r="U219" s="13" t="str">
        <f t="shared" si="14"/>
        <v/>
      </c>
      <c r="V219" t="str">
        <f t="shared" ca="1" si="15"/>
        <v/>
      </c>
    </row>
    <row r="220" spans="11:22" x14ac:dyDescent="0.25">
      <c r="K220" t="str">
        <f t="shared" ca="1" si="12"/>
        <v/>
      </c>
      <c r="L220" t="str">
        <f t="shared" ca="1" si="13"/>
        <v/>
      </c>
      <c r="U220" s="13" t="str">
        <f t="shared" si="14"/>
        <v/>
      </c>
      <c r="V220" t="str">
        <f t="shared" ca="1" si="15"/>
        <v/>
      </c>
    </row>
    <row r="221" spans="11:22" x14ac:dyDescent="0.25">
      <c r="K221" t="str">
        <f t="shared" ca="1" si="12"/>
        <v/>
      </c>
      <c r="L221" t="str">
        <f t="shared" ca="1" si="13"/>
        <v/>
      </c>
      <c r="U221" s="13" t="str">
        <f t="shared" si="14"/>
        <v/>
      </c>
      <c r="V221" t="str">
        <f t="shared" ca="1" si="15"/>
        <v/>
      </c>
    </row>
    <row r="222" spans="11:22" x14ac:dyDescent="0.25">
      <c r="K222" t="str">
        <f t="shared" ca="1" si="12"/>
        <v/>
      </c>
      <c r="L222" t="str">
        <f t="shared" ca="1" si="13"/>
        <v/>
      </c>
      <c r="U222" s="13" t="str">
        <f t="shared" si="14"/>
        <v/>
      </c>
      <c r="V222" t="str">
        <f t="shared" ca="1" si="15"/>
        <v/>
      </c>
    </row>
    <row r="223" spans="11:22" x14ac:dyDescent="0.25">
      <c r="K223" t="str">
        <f t="shared" ca="1" si="12"/>
        <v/>
      </c>
      <c r="L223" t="str">
        <f t="shared" ca="1" si="13"/>
        <v/>
      </c>
      <c r="U223" s="13" t="str">
        <f t="shared" si="14"/>
        <v/>
      </c>
      <c r="V223" t="str">
        <f t="shared" ca="1" si="15"/>
        <v/>
      </c>
    </row>
    <row r="224" spans="11:22" x14ac:dyDescent="0.25">
      <c r="K224" t="str">
        <f t="shared" ca="1" si="12"/>
        <v/>
      </c>
      <c r="L224" t="str">
        <f t="shared" ca="1" si="13"/>
        <v/>
      </c>
      <c r="U224" s="13" t="str">
        <f t="shared" si="14"/>
        <v/>
      </c>
      <c r="V224" t="str">
        <f t="shared" ca="1" si="15"/>
        <v/>
      </c>
    </row>
    <row r="225" spans="11:22" x14ac:dyDescent="0.25">
      <c r="K225" t="str">
        <f t="shared" ca="1" si="12"/>
        <v/>
      </c>
      <c r="L225" t="str">
        <f t="shared" ca="1" si="13"/>
        <v/>
      </c>
      <c r="U225" s="13" t="str">
        <f t="shared" si="14"/>
        <v/>
      </c>
      <c r="V225" t="str">
        <f t="shared" ca="1" si="15"/>
        <v/>
      </c>
    </row>
    <row r="226" spans="11:22" x14ac:dyDescent="0.25">
      <c r="K226" t="str">
        <f t="shared" ca="1" si="12"/>
        <v/>
      </c>
      <c r="L226" t="str">
        <f t="shared" ca="1" si="13"/>
        <v/>
      </c>
      <c r="U226" s="13" t="str">
        <f t="shared" si="14"/>
        <v/>
      </c>
      <c r="V226" t="str">
        <f t="shared" ca="1" si="15"/>
        <v/>
      </c>
    </row>
    <row r="227" spans="11:22" x14ac:dyDescent="0.25">
      <c r="K227" t="str">
        <f t="shared" ca="1" si="12"/>
        <v/>
      </c>
      <c r="L227" t="str">
        <f t="shared" ca="1" si="13"/>
        <v/>
      </c>
      <c r="U227" s="13" t="str">
        <f t="shared" si="14"/>
        <v/>
      </c>
      <c r="V227" t="str">
        <f t="shared" ca="1" si="15"/>
        <v/>
      </c>
    </row>
    <row r="228" spans="11:22" x14ac:dyDescent="0.25">
      <c r="K228" t="str">
        <f t="shared" ca="1" si="12"/>
        <v/>
      </c>
      <c r="L228" t="str">
        <f t="shared" ca="1" si="13"/>
        <v/>
      </c>
      <c r="U228" s="13" t="str">
        <f t="shared" si="14"/>
        <v/>
      </c>
      <c r="V228" t="str">
        <f t="shared" ca="1" si="15"/>
        <v/>
      </c>
    </row>
    <row r="229" spans="11:22" x14ac:dyDescent="0.25">
      <c r="K229" t="str">
        <f t="shared" ca="1" si="12"/>
        <v/>
      </c>
      <c r="L229" t="str">
        <f t="shared" ca="1" si="13"/>
        <v/>
      </c>
      <c r="U229" s="13" t="str">
        <f t="shared" si="14"/>
        <v/>
      </c>
      <c r="V229" t="str">
        <f t="shared" ca="1" si="15"/>
        <v/>
      </c>
    </row>
    <row r="230" spans="11:22" x14ac:dyDescent="0.25">
      <c r="K230" t="str">
        <f t="shared" ca="1" si="12"/>
        <v/>
      </c>
      <c r="L230" t="str">
        <f t="shared" ca="1" si="13"/>
        <v/>
      </c>
      <c r="U230" s="13" t="str">
        <f t="shared" si="14"/>
        <v/>
      </c>
      <c r="V230" t="str">
        <f t="shared" ca="1" si="15"/>
        <v/>
      </c>
    </row>
    <row r="231" spans="11:22" x14ac:dyDescent="0.25">
      <c r="K231" t="str">
        <f t="shared" ca="1" si="12"/>
        <v/>
      </c>
      <c r="L231" t="str">
        <f t="shared" ca="1" si="13"/>
        <v/>
      </c>
      <c r="U231" s="13" t="str">
        <f t="shared" si="14"/>
        <v/>
      </c>
      <c r="V231" t="str">
        <f t="shared" ca="1" si="15"/>
        <v/>
      </c>
    </row>
    <row r="232" spans="11:22" x14ac:dyDescent="0.25">
      <c r="K232" t="str">
        <f t="shared" ca="1" si="12"/>
        <v/>
      </c>
      <c r="L232" t="str">
        <f t="shared" ca="1" si="13"/>
        <v/>
      </c>
      <c r="U232" s="13" t="str">
        <f t="shared" si="14"/>
        <v/>
      </c>
      <c r="V232" t="str">
        <f t="shared" ca="1" si="15"/>
        <v/>
      </c>
    </row>
    <row r="233" spans="11:22" x14ac:dyDescent="0.25">
      <c r="K233" t="str">
        <f t="shared" ca="1" si="12"/>
        <v/>
      </c>
      <c r="L233" t="str">
        <f t="shared" ca="1" si="13"/>
        <v/>
      </c>
      <c r="U233" s="13" t="str">
        <f t="shared" si="14"/>
        <v/>
      </c>
      <c r="V233" t="str">
        <f t="shared" ca="1" si="15"/>
        <v/>
      </c>
    </row>
    <row r="234" spans="11:22" x14ac:dyDescent="0.25">
      <c r="K234" t="str">
        <f t="shared" ca="1" si="12"/>
        <v/>
      </c>
      <c r="L234" t="str">
        <f t="shared" ca="1" si="13"/>
        <v/>
      </c>
      <c r="U234" s="13" t="str">
        <f t="shared" si="14"/>
        <v/>
      </c>
      <c r="V234" t="str">
        <f t="shared" ca="1" si="15"/>
        <v/>
      </c>
    </row>
    <row r="235" spans="11:22" x14ac:dyDescent="0.25">
      <c r="K235" t="str">
        <f t="shared" ca="1" si="12"/>
        <v/>
      </c>
      <c r="L235" t="str">
        <f t="shared" ca="1" si="13"/>
        <v/>
      </c>
      <c r="U235" s="13" t="str">
        <f t="shared" si="14"/>
        <v/>
      </c>
      <c r="V235" t="str">
        <f t="shared" ca="1" si="15"/>
        <v/>
      </c>
    </row>
    <row r="236" spans="11:22" x14ac:dyDescent="0.25">
      <c r="K236" t="str">
        <f t="shared" ca="1" si="12"/>
        <v/>
      </c>
      <c r="L236" t="str">
        <f t="shared" ca="1" si="13"/>
        <v/>
      </c>
      <c r="U236" s="13" t="str">
        <f t="shared" si="14"/>
        <v/>
      </c>
      <c r="V236" t="str">
        <f t="shared" ca="1" si="15"/>
        <v/>
      </c>
    </row>
    <row r="237" spans="11:22" x14ac:dyDescent="0.25">
      <c r="K237" t="str">
        <f t="shared" ca="1" si="12"/>
        <v/>
      </c>
      <c r="L237" t="str">
        <f t="shared" ca="1" si="13"/>
        <v/>
      </c>
      <c r="U237" s="13" t="str">
        <f t="shared" si="14"/>
        <v/>
      </c>
      <c r="V237" t="str">
        <f t="shared" ca="1" si="15"/>
        <v/>
      </c>
    </row>
    <row r="238" spans="11:22" x14ac:dyDescent="0.25">
      <c r="K238" t="str">
        <f t="shared" ca="1" si="12"/>
        <v/>
      </c>
      <c r="L238" t="str">
        <f t="shared" ca="1" si="13"/>
        <v/>
      </c>
      <c r="U238" s="13" t="str">
        <f t="shared" si="14"/>
        <v/>
      </c>
      <c r="V238" t="str">
        <f t="shared" ca="1" si="15"/>
        <v/>
      </c>
    </row>
    <row r="239" spans="11:22" x14ac:dyDescent="0.25">
      <c r="K239" t="str">
        <f t="shared" ca="1" si="12"/>
        <v/>
      </c>
      <c r="L239" t="str">
        <f t="shared" ca="1" si="13"/>
        <v/>
      </c>
      <c r="U239" s="13" t="str">
        <f t="shared" si="14"/>
        <v/>
      </c>
      <c r="V239" t="str">
        <f t="shared" ca="1" si="15"/>
        <v/>
      </c>
    </row>
    <row r="240" spans="11:22" x14ac:dyDescent="0.25">
      <c r="K240" t="str">
        <f t="shared" ca="1" si="12"/>
        <v/>
      </c>
      <c r="L240" t="str">
        <f t="shared" ca="1" si="13"/>
        <v/>
      </c>
      <c r="U240" s="13" t="str">
        <f t="shared" si="14"/>
        <v/>
      </c>
      <c r="V240" t="str">
        <f t="shared" ca="1" si="15"/>
        <v/>
      </c>
    </row>
    <row r="241" spans="11:22" x14ac:dyDescent="0.25">
      <c r="K241" t="str">
        <f t="shared" ca="1" si="12"/>
        <v/>
      </c>
      <c r="L241" t="str">
        <f t="shared" ca="1" si="13"/>
        <v/>
      </c>
      <c r="U241" s="13" t="str">
        <f t="shared" si="14"/>
        <v/>
      </c>
      <c r="V241" t="str">
        <f t="shared" ca="1" si="15"/>
        <v/>
      </c>
    </row>
    <row r="242" spans="11:22" x14ac:dyDescent="0.25">
      <c r="K242" t="str">
        <f t="shared" ca="1" si="12"/>
        <v/>
      </c>
      <c r="L242" t="str">
        <f t="shared" ca="1" si="13"/>
        <v/>
      </c>
      <c r="U242" s="13" t="str">
        <f t="shared" si="14"/>
        <v/>
      </c>
      <c r="V242" t="str">
        <f t="shared" ca="1" si="15"/>
        <v/>
      </c>
    </row>
    <row r="243" spans="11:22" x14ac:dyDescent="0.25">
      <c r="K243" t="str">
        <f t="shared" ca="1" si="12"/>
        <v/>
      </c>
      <c r="L243" t="str">
        <f t="shared" ca="1" si="13"/>
        <v/>
      </c>
      <c r="U243" s="13" t="str">
        <f t="shared" si="14"/>
        <v/>
      </c>
      <c r="V243" t="str">
        <f t="shared" ca="1" si="15"/>
        <v/>
      </c>
    </row>
    <row r="244" spans="11:22" x14ac:dyDescent="0.25">
      <c r="K244" t="str">
        <f t="shared" ca="1" si="12"/>
        <v/>
      </c>
      <c r="L244" t="str">
        <f t="shared" ca="1" si="13"/>
        <v/>
      </c>
      <c r="U244" s="13" t="str">
        <f t="shared" si="14"/>
        <v/>
      </c>
      <c r="V244" t="str">
        <f t="shared" ca="1" si="15"/>
        <v/>
      </c>
    </row>
    <row r="245" spans="11:22" x14ac:dyDescent="0.25">
      <c r="K245" t="str">
        <f t="shared" ca="1" si="12"/>
        <v/>
      </c>
      <c r="L245" t="str">
        <f t="shared" ca="1" si="13"/>
        <v/>
      </c>
      <c r="U245" s="13" t="str">
        <f t="shared" si="14"/>
        <v/>
      </c>
      <c r="V245" t="str">
        <f t="shared" ca="1" si="15"/>
        <v/>
      </c>
    </row>
    <row r="246" spans="11:22" x14ac:dyDescent="0.25">
      <c r="K246" t="str">
        <f t="shared" ca="1" si="12"/>
        <v/>
      </c>
      <c r="L246" t="str">
        <f t="shared" ca="1" si="13"/>
        <v/>
      </c>
      <c r="U246" s="13" t="str">
        <f t="shared" si="14"/>
        <v/>
      </c>
      <c r="V246" t="str">
        <f t="shared" ca="1" si="15"/>
        <v/>
      </c>
    </row>
    <row r="247" spans="11:22" x14ac:dyDescent="0.25">
      <c r="K247" t="str">
        <f t="shared" ca="1" si="12"/>
        <v/>
      </c>
      <c r="L247" t="str">
        <f t="shared" ca="1" si="13"/>
        <v/>
      </c>
      <c r="U247" s="13" t="str">
        <f t="shared" si="14"/>
        <v/>
      </c>
      <c r="V247" t="str">
        <f t="shared" ca="1" si="15"/>
        <v/>
      </c>
    </row>
    <row r="248" spans="11:22" x14ac:dyDescent="0.25">
      <c r="K248" t="str">
        <f t="shared" ca="1" si="12"/>
        <v/>
      </c>
      <c r="L248" t="str">
        <f t="shared" ca="1" si="13"/>
        <v/>
      </c>
      <c r="U248" s="13" t="str">
        <f t="shared" si="14"/>
        <v/>
      </c>
      <c r="V248" t="str">
        <f t="shared" ca="1" si="15"/>
        <v/>
      </c>
    </row>
    <row r="249" spans="11:22" x14ac:dyDescent="0.25">
      <c r="K249" t="str">
        <f t="shared" ca="1" si="12"/>
        <v/>
      </c>
      <c r="L249" t="str">
        <f t="shared" ca="1" si="13"/>
        <v/>
      </c>
      <c r="U249" s="13" t="str">
        <f t="shared" si="14"/>
        <v/>
      </c>
      <c r="V249" t="str">
        <f t="shared" ca="1" si="15"/>
        <v/>
      </c>
    </row>
    <row r="250" spans="11:22" x14ac:dyDescent="0.25">
      <c r="K250" t="str">
        <f t="shared" ca="1" si="12"/>
        <v/>
      </c>
      <c r="L250" t="str">
        <f t="shared" ca="1" si="13"/>
        <v/>
      </c>
      <c r="U250" s="13" t="str">
        <f t="shared" si="14"/>
        <v/>
      </c>
      <c r="V250" t="str">
        <f t="shared" ca="1" si="15"/>
        <v/>
      </c>
    </row>
    <row r="251" spans="11:22" x14ac:dyDescent="0.25">
      <c r="K251" t="str">
        <f t="shared" ca="1" si="12"/>
        <v/>
      </c>
      <c r="L251" t="str">
        <f t="shared" ca="1" si="13"/>
        <v/>
      </c>
      <c r="U251" s="13" t="str">
        <f t="shared" si="14"/>
        <v/>
      </c>
      <c r="V251" t="str">
        <f t="shared" ca="1" si="15"/>
        <v/>
      </c>
    </row>
    <row r="252" spans="11:22" x14ac:dyDescent="0.25">
      <c r="K252" t="str">
        <f t="shared" ca="1" si="12"/>
        <v/>
      </c>
      <c r="L252" t="str">
        <f t="shared" ca="1" si="13"/>
        <v/>
      </c>
      <c r="U252" s="13" t="str">
        <f t="shared" si="14"/>
        <v/>
      </c>
      <c r="V252" t="str">
        <f t="shared" ca="1" si="15"/>
        <v/>
      </c>
    </row>
    <row r="253" spans="11:22" x14ac:dyDescent="0.25">
      <c r="K253" t="str">
        <f t="shared" ca="1" si="12"/>
        <v/>
      </c>
      <c r="L253" t="str">
        <f t="shared" ca="1" si="13"/>
        <v/>
      </c>
      <c r="U253" s="13" t="str">
        <f t="shared" si="14"/>
        <v/>
      </c>
      <c r="V253" t="str">
        <f t="shared" ca="1" si="15"/>
        <v/>
      </c>
    </row>
    <row r="254" spans="11:22" x14ac:dyDescent="0.25">
      <c r="K254" t="str">
        <f t="shared" ca="1" si="12"/>
        <v/>
      </c>
      <c r="L254" t="str">
        <f t="shared" ca="1" si="13"/>
        <v/>
      </c>
      <c r="U254" s="13" t="str">
        <f t="shared" si="14"/>
        <v/>
      </c>
      <c r="V254" t="str">
        <f t="shared" ca="1" si="15"/>
        <v/>
      </c>
    </row>
    <row r="255" spans="11:22" x14ac:dyDescent="0.25">
      <c r="K255" t="str">
        <f t="shared" ca="1" si="12"/>
        <v/>
      </c>
      <c r="L255" t="str">
        <f t="shared" ca="1" si="13"/>
        <v/>
      </c>
      <c r="U255" s="13" t="str">
        <f t="shared" si="14"/>
        <v/>
      </c>
      <c r="V255" t="str">
        <f t="shared" ca="1" si="15"/>
        <v/>
      </c>
    </row>
    <row r="256" spans="11:22" x14ac:dyDescent="0.25">
      <c r="K256" t="str">
        <f t="shared" ca="1" si="12"/>
        <v/>
      </c>
      <c r="L256" t="str">
        <f t="shared" ca="1" si="13"/>
        <v/>
      </c>
      <c r="U256" s="13" t="str">
        <f t="shared" si="14"/>
        <v/>
      </c>
      <c r="V256" t="str">
        <f t="shared" ca="1" si="15"/>
        <v/>
      </c>
    </row>
    <row r="257" spans="11:22" x14ac:dyDescent="0.25">
      <c r="K257" t="str">
        <f t="shared" ca="1" si="12"/>
        <v/>
      </c>
      <c r="L257" t="str">
        <f t="shared" ca="1" si="13"/>
        <v/>
      </c>
      <c r="U257" s="13" t="str">
        <f t="shared" si="14"/>
        <v/>
      </c>
      <c r="V257" t="str">
        <f t="shared" ca="1" si="15"/>
        <v/>
      </c>
    </row>
    <row r="258" spans="11:22" x14ac:dyDescent="0.25">
      <c r="K258" t="str">
        <f t="shared" ref="K258:K298" ca="1" si="16">IF(A258="","",IF(T258="Yes","Void",IF(I258&lt;&gt;"","Closed",IF(AND(H258&lt;&gt;"",TODAY()&gt;H258),"Overdue","Open"))))</f>
        <v/>
      </c>
      <c r="L258" t="str">
        <f t="shared" ref="L258:L298" ca="1" si="17">IF(A258="","",IF(I258&lt;&gt;"",J258-B258,TODAY()-B258))</f>
        <v/>
      </c>
      <c r="U258" s="13" t="str">
        <f t="shared" ref="U258:U298" si="18">IF(A258="","",MAX(B258+0,H258+0,J258+0))</f>
        <v/>
      </c>
      <c r="V258" t="str">
        <f t="shared" ref="V258:V298" ca="1" si="19">IF(A258="","",IF(K258="Closed","",TODAY()-U258))</f>
        <v/>
      </c>
    </row>
    <row r="259" spans="11:22" x14ac:dyDescent="0.25">
      <c r="K259" t="str">
        <f t="shared" ca="1" si="16"/>
        <v/>
      </c>
      <c r="L259" t="str">
        <f t="shared" ca="1" si="17"/>
        <v/>
      </c>
      <c r="U259" s="13" t="str">
        <f t="shared" si="18"/>
        <v/>
      </c>
      <c r="V259" t="str">
        <f t="shared" ca="1" si="19"/>
        <v/>
      </c>
    </row>
    <row r="260" spans="11:22" x14ac:dyDescent="0.25">
      <c r="K260" t="str">
        <f t="shared" ca="1" si="16"/>
        <v/>
      </c>
      <c r="L260" t="str">
        <f t="shared" ca="1" si="17"/>
        <v/>
      </c>
      <c r="U260" s="13" t="str">
        <f t="shared" si="18"/>
        <v/>
      </c>
      <c r="V260" t="str">
        <f t="shared" ca="1" si="19"/>
        <v/>
      </c>
    </row>
    <row r="261" spans="11:22" x14ac:dyDescent="0.25">
      <c r="K261" t="str">
        <f t="shared" ca="1" si="16"/>
        <v/>
      </c>
      <c r="L261" t="str">
        <f t="shared" ca="1" si="17"/>
        <v/>
      </c>
      <c r="U261" s="13" t="str">
        <f t="shared" si="18"/>
        <v/>
      </c>
      <c r="V261" t="str">
        <f t="shared" ca="1" si="19"/>
        <v/>
      </c>
    </row>
    <row r="262" spans="11:22" x14ac:dyDescent="0.25">
      <c r="K262" t="str">
        <f t="shared" ca="1" si="16"/>
        <v/>
      </c>
      <c r="L262" t="str">
        <f t="shared" ca="1" si="17"/>
        <v/>
      </c>
      <c r="U262" s="13" t="str">
        <f t="shared" si="18"/>
        <v/>
      </c>
      <c r="V262" t="str">
        <f t="shared" ca="1" si="19"/>
        <v/>
      </c>
    </row>
    <row r="263" spans="11:22" x14ac:dyDescent="0.25">
      <c r="K263" t="str">
        <f t="shared" ca="1" si="16"/>
        <v/>
      </c>
      <c r="L263" t="str">
        <f t="shared" ca="1" si="17"/>
        <v/>
      </c>
      <c r="U263" s="13" t="str">
        <f t="shared" si="18"/>
        <v/>
      </c>
      <c r="V263" t="str">
        <f t="shared" ca="1" si="19"/>
        <v/>
      </c>
    </row>
    <row r="264" spans="11:22" x14ac:dyDescent="0.25">
      <c r="K264" t="str">
        <f t="shared" ca="1" si="16"/>
        <v/>
      </c>
      <c r="L264" t="str">
        <f t="shared" ca="1" si="17"/>
        <v/>
      </c>
      <c r="U264" s="13" t="str">
        <f t="shared" si="18"/>
        <v/>
      </c>
      <c r="V264" t="str">
        <f t="shared" ca="1" si="19"/>
        <v/>
      </c>
    </row>
    <row r="265" spans="11:22" x14ac:dyDescent="0.25">
      <c r="K265" t="str">
        <f t="shared" ca="1" si="16"/>
        <v/>
      </c>
      <c r="L265" t="str">
        <f t="shared" ca="1" si="17"/>
        <v/>
      </c>
      <c r="U265" s="13" t="str">
        <f t="shared" si="18"/>
        <v/>
      </c>
      <c r="V265" t="str">
        <f t="shared" ca="1" si="19"/>
        <v/>
      </c>
    </row>
    <row r="266" spans="11:22" x14ac:dyDescent="0.25">
      <c r="K266" t="str">
        <f t="shared" ca="1" si="16"/>
        <v/>
      </c>
      <c r="L266" t="str">
        <f t="shared" ca="1" si="17"/>
        <v/>
      </c>
      <c r="U266" s="13" t="str">
        <f t="shared" si="18"/>
        <v/>
      </c>
      <c r="V266" t="str">
        <f t="shared" ca="1" si="19"/>
        <v/>
      </c>
    </row>
    <row r="267" spans="11:22" x14ac:dyDescent="0.25">
      <c r="K267" t="str">
        <f t="shared" ca="1" si="16"/>
        <v/>
      </c>
      <c r="L267" t="str">
        <f t="shared" ca="1" si="17"/>
        <v/>
      </c>
      <c r="U267" s="13" t="str">
        <f t="shared" si="18"/>
        <v/>
      </c>
      <c r="V267" t="str">
        <f t="shared" ca="1" si="19"/>
        <v/>
      </c>
    </row>
    <row r="268" spans="11:22" x14ac:dyDescent="0.25">
      <c r="K268" t="str">
        <f t="shared" ca="1" si="16"/>
        <v/>
      </c>
      <c r="L268" t="str">
        <f t="shared" ca="1" si="17"/>
        <v/>
      </c>
      <c r="U268" s="13" t="str">
        <f t="shared" si="18"/>
        <v/>
      </c>
      <c r="V268" t="str">
        <f t="shared" ca="1" si="19"/>
        <v/>
      </c>
    </row>
    <row r="269" spans="11:22" x14ac:dyDescent="0.25">
      <c r="K269" t="str">
        <f t="shared" ca="1" si="16"/>
        <v/>
      </c>
      <c r="L269" t="str">
        <f t="shared" ca="1" si="17"/>
        <v/>
      </c>
      <c r="U269" s="13" t="str">
        <f t="shared" si="18"/>
        <v/>
      </c>
      <c r="V269" t="str">
        <f t="shared" ca="1" si="19"/>
        <v/>
      </c>
    </row>
    <row r="270" spans="11:22" x14ac:dyDescent="0.25">
      <c r="K270" t="str">
        <f t="shared" ca="1" si="16"/>
        <v/>
      </c>
      <c r="L270" t="str">
        <f t="shared" ca="1" si="17"/>
        <v/>
      </c>
      <c r="U270" s="13" t="str">
        <f t="shared" si="18"/>
        <v/>
      </c>
      <c r="V270" t="str">
        <f t="shared" ca="1" si="19"/>
        <v/>
      </c>
    </row>
    <row r="271" spans="11:22" x14ac:dyDescent="0.25">
      <c r="K271" t="str">
        <f t="shared" ca="1" si="16"/>
        <v/>
      </c>
      <c r="L271" t="str">
        <f t="shared" ca="1" si="17"/>
        <v/>
      </c>
      <c r="U271" s="13" t="str">
        <f t="shared" si="18"/>
        <v/>
      </c>
      <c r="V271" t="str">
        <f t="shared" ca="1" si="19"/>
        <v/>
      </c>
    </row>
    <row r="272" spans="11:22" x14ac:dyDescent="0.25">
      <c r="K272" t="str">
        <f t="shared" ca="1" si="16"/>
        <v/>
      </c>
      <c r="L272" t="str">
        <f t="shared" ca="1" si="17"/>
        <v/>
      </c>
      <c r="U272" s="13" t="str">
        <f t="shared" si="18"/>
        <v/>
      </c>
      <c r="V272" t="str">
        <f t="shared" ca="1" si="19"/>
        <v/>
      </c>
    </row>
    <row r="273" spans="11:22" x14ac:dyDescent="0.25">
      <c r="K273" t="str">
        <f t="shared" ca="1" si="16"/>
        <v/>
      </c>
      <c r="L273" t="str">
        <f t="shared" ca="1" si="17"/>
        <v/>
      </c>
      <c r="U273" s="13" t="str">
        <f t="shared" si="18"/>
        <v/>
      </c>
      <c r="V273" t="str">
        <f t="shared" ca="1" si="19"/>
        <v/>
      </c>
    </row>
    <row r="274" spans="11:22" x14ac:dyDescent="0.25">
      <c r="K274" t="str">
        <f t="shared" ca="1" si="16"/>
        <v/>
      </c>
      <c r="L274" t="str">
        <f t="shared" ca="1" si="17"/>
        <v/>
      </c>
      <c r="U274" s="13" t="str">
        <f t="shared" si="18"/>
        <v/>
      </c>
      <c r="V274" t="str">
        <f t="shared" ca="1" si="19"/>
        <v/>
      </c>
    </row>
    <row r="275" spans="11:22" x14ac:dyDescent="0.25">
      <c r="K275" t="str">
        <f t="shared" ca="1" si="16"/>
        <v/>
      </c>
      <c r="L275" t="str">
        <f t="shared" ca="1" si="17"/>
        <v/>
      </c>
      <c r="U275" s="13" t="str">
        <f t="shared" si="18"/>
        <v/>
      </c>
      <c r="V275" t="str">
        <f t="shared" ca="1" si="19"/>
        <v/>
      </c>
    </row>
    <row r="276" spans="11:22" x14ac:dyDescent="0.25">
      <c r="K276" t="str">
        <f t="shared" ca="1" si="16"/>
        <v/>
      </c>
      <c r="L276" t="str">
        <f t="shared" ca="1" si="17"/>
        <v/>
      </c>
      <c r="U276" s="13" t="str">
        <f t="shared" si="18"/>
        <v/>
      </c>
      <c r="V276" t="str">
        <f t="shared" ca="1" si="19"/>
        <v/>
      </c>
    </row>
    <row r="277" spans="11:22" x14ac:dyDescent="0.25">
      <c r="K277" t="str">
        <f t="shared" ca="1" si="16"/>
        <v/>
      </c>
      <c r="L277" t="str">
        <f t="shared" ca="1" si="17"/>
        <v/>
      </c>
      <c r="U277" s="13" t="str">
        <f t="shared" si="18"/>
        <v/>
      </c>
      <c r="V277" t="str">
        <f t="shared" ca="1" si="19"/>
        <v/>
      </c>
    </row>
    <row r="278" spans="11:22" x14ac:dyDescent="0.25">
      <c r="K278" t="str">
        <f t="shared" ca="1" si="16"/>
        <v/>
      </c>
      <c r="L278" t="str">
        <f t="shared" ca="1" si="17"/>
        <v/>
      </c>
      <c r="U278" s="13" t="str">
        <f t="shared" si="18"/>
        <v/>
      </c>
      <c r="V278" t="str">
        <f t="shared" ca="1" si="19"/>
        <v/>
      </c>
    </row>
    <row r="279" spans="11:22" x14ac:dyDescent="0.25">
      <c r="K279" t="str">
        <f t="shared" ca="1" si="16"/>
        <v/>
      </c>
      <c r="L279" t="str">
        <f t="shared" ca="1" si="17"/>
        <v/>
      </c>
      <c r="U279" s="13" t="str">
        <f t="shared" si="18"/>
        <v/>
      </c>
      <c r="V279" t="str">
        <f t="shared" ca="1" si="19"/>
        <v/>
      </c>
    </row>
    <row r="280" spans="11:22" x14ac:dyDescent="0.25">
      <c r="K280" t="str">
        <f t="shared" ca="1" si="16"/>
        <v/>
      </c>
      <c r="L280" t="str">
        <f t="shared" ca="1" si="17"/>
        <v/>
      </c>
      <c r="U280" s="13" t="str">
        <f t="shared" si="18"/>
        <v/>
      </c>
      <c r="V280" t="str">
        <f t="shared" ca="1" si="19"/>
        <v/>
      </c>
    </row>
    <row r="281" spans="11:22" x14ac:dyDescent="0.25">
      <c r="K281" t="str">
        <f t="shared" ca="1" si="16"/>
        <v/>
      </c>
      <c r="L281" t="str">
        <f t="shared" ca="1" si="17"/>
        <v/>
      </c>
      <c r="U281" s="13" t="str">
        <f t="shared" si="18"/>
        <v/>
      </c>
      <c r="V281" t="str">
        <f t="shared" ca="1" si="19"/>
        <v/>
      </c>
    </row>
    <row r="282" spans="11:22" x14ac:dyDescent="0.25">
      <c r="K282" t="str">
        <f t="shared" ca="1" si="16"/>
        <v/>
      </c>
      <c r="L282" t="str">
        <f t="shared" ca="1" si="17"/>
        <v/>
      </c>
      <c r="U282" s="13" t="str">
        <f t="shared" si="18"/>
        <v/>
      </c>
      <c r="V282" t="str">
        <f t="shared" ca="1" si="19"/>
        <v/>
      </c>
    </row>
    <row r="283" spans="11:22" x14ac:dyDescent="0.25">
      <c r="K283" t="str">
        <f t="shared" ca="1" si="16"/>
        <v/>
      </c>
      <c r="L283" t="str">
        <f t="shared" ca="1" si="17"/>
        <v/>
      </c>
      <c r="U283" s="13" t="str">
        <f t="shared" si="18"/>
        <v/>
      </c>
      <c r="V283" t="str">
        <f t="shared" ca="1" si="19"/>
        <v/>
      </c>
    </row>
    <row r="284" spans="11:22" x14ac:dyDescent="0.25">
      <c r="K284" t="str">
        <f t="shared" ca="1" si="16"/>
        <v/>
      </c>
      <c r="L284" t="str">
        <f t="shared" ca="1" si="17"/>
        <v/>
      </c>
      <c r="U284" s="13" t="str">
        <f t="shared" si="18"/>
        <v/>
      </c>
      <c r="V284" t="str">
        <f t="shared" ca="1" si="19"/>
        <v/>
      </c>
    </row>
    <row r="285" spans="11:22" x14ac:dyDescent="0.25">
      <c r="K285" t="str">
        <f t="shared" ca="1" si="16"/>
        <v/>
      </c>
      <c r="L285" t="str">
        <f t="shared" ca="1" si="17"/>
        <v/>
      </c>
      <c r="U285" s="13" t="str">
        <f t="shared" si="18"/>
        <v/>
      </c>
      <c r="V285" t="str">
        <f t="shared" ca="1" si="19"/>
        <v/>
      </c>
    </row>
    <row r="286" spans="11:22" x14ac:dyDescent="0.25">
      <c r="K286" t="str">
        <f t="shared" ca="1" si="16"/>
        <v/>
      </c>
      <c r="L286" t="str">
        <f t="shared" ca="1" si="17"/>
        <v/>
      </c>
      <c r="U286" s="13" t="str">
        <f t="shared" si="18"/>
        <v/>
      </c>
      <c r="V286" t="str">
        <f t="shared" ca="1" si="19"/>
        <v/>
      </c>
    </row>
    <row r="287" spans="11:22" x14ac:dyDescent="0.25">
      <c r="K287" t="str">
        <f t="shared" ca="1" si="16"/>
        <v/>
      </c>
      <c r="L287" t="str">
        <f t="shared" ca="1" si="17"/>
        <v/>
      </c>
      <c r="U287" s="13" t="str">
        <f t="shared" si="18"/>
        <v/>
      </c>
      <c r="V287" t="str">
        <f t="shared" ca="1" si="19"/>
        <v/>
      </c>
    </row>
    <row r="288" spans="11:22" x14ac:dyDescent="0.25">
      <c r="K288" t="str">
        <f t="shared" ca="1" si="16"/>
        <v/>
      </c>
      <c r="L288" t="str">
        <f t="shared" ca="1" si="17"/>
        <v/>
      </c>
      <c r="U288" s="13" t="str">
        <f t="shared" si="18"/>
        <v/>
      </c>
      <c r="V288" t="str">
        <f t="shared" ca="1" si="19"/>
        <v/>
      </c>
    </row>
    <row r="289" spans="1:22" x14ac:dyDescent="0.25">
      <c r="K289" t="str">
        <f t="shared" ca="1" si="16"/>
        <v/>
      </c>
      <c r="L289" t="str">
        <f t="shared" ca="1" si="17"/>
        <v/>
      </c>
      <c r="U289" s="13" t="str">
        <f t="shared" si="18"/>
        <v/>
      </c>
      <c r="V289" t="str">
        <f t="shared" ca="1" si="19"/>
        <v/>
      </c>
    </row>
    <row r="290" spans="1:22" x14ac:dyDescent="0.25">
      <c r="K290" t="str">
        <f t="shared" ca="1" si="16"/>
        <v/>
      </c>
      <c r="L290" t="str">
        <f t="shared" ca="1" si="17"/>
        <v/>
      </c>
      <c r="U290" s="13" t="str">
        <f t="shared" si="18"/>
        <v/>
      </c>
      <c r="V290" t="str">
        <f t="shared" ca="1" si="19"/>
        <v/>
      </c>
    </row>
    <row r="291" spans="1:22" x14ac:dyDescent="0.25">
      <c r="K291" t="str">
        <f t="shared" ca="1" si="16"/>
        <v/>
      </c>
      <c r="L291" t="str">
        <f t="shared" ca="1" si="17"/>
        <v/>
      </c>
      <c r="U291" s="13" t="str">
        <f t="shared" si="18"/>
        <v/>
      </c>
      <c r="V291" t="str">
        <f t="shared" ca="1" si="19"/>
        <v/>
      </c>
    </row>
    <row r="292" spans="1:22" x14ac:dyDescent="0.25">
      <c r="K292" t="str">
        <f t="shared" ca="1" si="16"/>
        <v/>
      </c>
      <c r="L292" t="str">
        <f t="shared" ca="1" si="17"/>
        <v/>
      </c>
      <c r="U292" s="13" t="str">
        <f t="shared" si="18"/>
        <v/>
      </c>
      <c r="V292" t="str">
        <f t="shared" ca="1" si="19"/>
        <v/>
      </c>
    </row>
    <row r="293" spans="1:22" x14ac:dyDescent="0.25">
      <c r="K293" t="str">
        <f t="shared" ca="1" si="16"/>
        <v/>
      </c>
      <c r="L293" t="str">
        <f t="shared" ca="1" si="17"/>
        <v/>
      </c>
      <c r="U293" s="13" t="str">
        <f t="shared" si="18"/>
        <v/>
      </c>
      <c r="V293" t="str">
        <f t="shared" ca="1" si="19"/>
        <v/>
      </c>
    </row>
    <row r="294" spans="1:22" x14ac:dyDescent="0.25">
      <c r="K294" t="str">
        <f t="shared" ca="1" si="16"/>
        <v/>
      </c>
      <c r="L294" t="str">
        <f t="shared" ca="1" si="17"/>
        <v/>
      </c>
      <c r="U294" s="13" t="str">
        <f t="shared" si="18"/>
        <v/>
      </c>
      <c r="V294" t="str">
        <f t="shared" ca="1" si="19"/>
        <v/>
      </c>
    </row>
    <row r="295" spans="1:22" x14ac:dyDescent="0.25">
      <c r="K295" t="str">
        <f t="shared" ca="1" si="16"/>
        <v/>
      </c>
      <c r="L295" t="str">
        <f t="shared" ca="1" si="17"/>
        <v/>
      </c>
      <c r="U295" s="13" t="str">
        <f t="shared" si="18"/>
        <v/>
      </c>
      <c r="V295" t="str">
        <f t="shared" ca="1" si="19"/>
        <v/>
      </c>
    </row>
    <row r="296" spans="1:22" x14ac:dyDescent="0.25">
      <c r="K296" t="str">
        <f t="shared" ca="1" si="16"/>
        <v/>
      </c>
      <c r="L296" t="str">
        <f t="shared" ca="1" si="17"/>
        <v/>
      </c>
      <c r="U296" s="13" t="str">
        <f t="shared" si="18"/>
        <v/>
      </c>
      <c r="V296" t="str">
        <f t="shared" ca="1" si="19"/>
        <v/>
      </c>
    </row>
    <row r="297" spans="1:22" x14ac:dyDescent="0.25">
      <c r="K297" t="str">
        <f t="shared" ca="1" si="16"/>
        <v/>
      </c>
      <c r="L297" t="str">
        <f t="shared" ca="1" si="17"/>
        <v/>
      </c>
      <c r="U297" s="13" t="str">
        <f t="shared" si="18"/>
        <v/>
      </c>
      <c r="V297" t="str">
        <f t="shared" ca="1" si="19"/>
        <v/>
      </c>
    </row>
    <row r="298" spans="1:22" x14ac:dyDescent="0.25">
      <c r="K298" t="str">
        <f t="shared" ca="1" si="16"/>
        <v/>
      </c>
      <c r="L298" t="str">
        <f t="shared" ca="1" si="17"/>
        <v/>
      </c>
      <c r="U298" s="13" t="str">
        <f t="shared" si="18"/>
        <v/>
      </c>
      <c r="V298" t="str">
        <f t="shared" ca="1" si="19"/>
        <v/>
      </c>
    </row>
    <row r="301" spans="1:22" x14ac:dyDescent="0.25">
      <c r="A301" s="3" t="s">
        <v>275</v>
      </c>
    </row>
  </sheetData>
  <conditionalFormatting sqref="K2:K299">
    <cfRule type="cellIs" dxfId="29" priority="3" operator="equal">
      <formula>"Overdue"</formula>
    </cfRule>
    <cfRule type="cellIs" dxfId="28" priority="4" operator="equal">
      <formula>"Void"</formula>
    </cfRule>
  </conditionalFormatting>
  <conditionalFormatting sqref="V2:V299">
    <cfRule type="cellIs" dxfId="27" priority="2" operator="greaterThanOrEqual">
      <formula>14</formula>
    </cfRule>
  </conditionalFormatting>
  <dataValidations count="2">
    <dataValidation type="list" allowBlank="1" sqref="K2:K499" xr:uid="{00000000-0002-0000-0300-000000000000}">
      <formula1>"Open,Closed,Overdue,Void"</formula1>
      <formula2>0</formula2>
    </dataValidation>
    <dataValidation type="list" allowBlank="1" sqref="R2:R499 T2:T499" xr:uid="{00000000-0002-0000-0300-000001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1A1A"/>
    <pageSetUpPr fitToPage="1"/>
  </sheetPr>
  <dimension ref="A1:P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10" customWidth="1"/>
    <col min="2" max="2" width="12" customWidth="1"/>
    <col min="3" max="3" width="26" customWidth="1"/>
    <col min="4" max="4" width="16" customWidth="1"/>
    <col min="5" max="5" width="18" customWidth="1"/>
    <col min="6" max="9" width="14" customWidth="1"/>
    <col min="10" max="10" width="18" customWidth="1"/>
    <col min="11" max="12" width="12" customWidth="1"/>
    <col min="13" max="13" width="24" customWidth="1"/>
    <col min="14" max="16" width="14" customWidth="1"/>
  </cols>
  <sheetData>
    <row r="1" spans="1:16" ht="31.5" customHeight="1" x14ac:dyDescent="0.25">
      <c r="A1" s="18" t="s">
        <v>276</v>
      </c>
      <c r="B1" s="18" t="s">
        <v>277</v>
      </c>
      <c r="C1" s="18" t="s">
        <v>278</v>
      </c>
      <c r="D1" s="18" t="s">
        <v>279</v>
      </c>
      <c r="E1" s="18" t="s">
        <v>280</v>
      </c>
      <c r="F1" s="18" t="s">
        <v>281</v>
      </c>
      <c r="G1" s="18" t="s">
        <v>282</v>
      </c>
      <c r="H1" s="18" t="s">
        <v>283</v>
      </c>
      <c r="I1" s="18" t="s">
        <v>284</v>
      </c>
      <c r="J1" s="18" t="s">
        <v>220</v>
      </c>
      <c r="K1" s="18" t="s">
        <v>285</v>
      </c>
      <c r="L1" s="18" t="s">
        <v>286</v>
      </c>
      <c r="M1" s="18" t="s">
        <v>226</v>
      </c>
      <c r="N1" s="18" t="s">
        <v>227</v>
      </c>
      <c r="O1" s="18" t="s">
        <v>230</v>
      </c>
      <c r="P1" s="18" t="s">
        <v>231</v>
      </c>
    </row>
    <row r="2" spans="1:16" x14ac:dyDescent="0.25">
      <c r="A2" t="s">
        <v>512</v>
      </c>
      <c r="B2" s="24" t="s">
        <v>513</v>
      </c>
      <c r="C2" t="s">
        <v>514</v>
      </c>
      <c r="D2" t="s">
        <v>515</v>
      </c>
      <c r="E2" t="s">
        <v>516</v>
      </c>
      <c r="F2" s="25">
        <v>46268</v>
      </c>
      <c r="G2" s="25">
        <v>46274</v>
      </c>
      <c r="H2" s="25">
        <v>46288</v>
      </c>
      <c r="I2" s="25">
        <v>46289</v>
      </c>
      <c r="J2" t="s">
        <v>517</v>
      </c>
      <c r="K2">
        <f t="shared" ref="K2:K65" ca="1" si="0">IF(A2="","",IF(I2&lt;&gt;"",I2-G2,IF(G2&lt;&gt;"",TODAY()-G2,"")))</f>
        <v>15</v>
      </c>
      <c r="M2" t="s">
        <v>518</v>
      </c>
      <c r="N2" t="s">
        <v>274</v>
      </c>
      <c r="O2" s="13">
        <f t="shared" ref="O2:O65" si="1">IF(A2="","",MAX(F2+0,G2+0,H2+0,I2+0))</f>
        <v>46289</v>
      </c>
      <c r="P2" t="str">
        <f t="shared" ref="P2:P65" ca="1" si="2">IF(A2="","",IF(OR(J2="Approved",J2="Approved as Noted"),"",TODAY()-O2))</f>
        <v/>
      </c>
    </row>
    <row r="3" spans="1:16" x14ac:dyDescent="0.25">
      <c r="A3" t="s">
        <v>519</v>
      </c>
      <c r="B3" s="24" t="s">
        <v>513</v>
      </c>
      <c r="C3" t="s">
        <v>520</v>
      </c>
      <c r="D3" t="s">
        <v>515</v>
      </c>
      <c r="E3" t="s">
        <v>516</v>
      </c>
      <c r="F3" s="25">
        <v>46287</v>
      </c>
      <c r="G3" s="25">
        <v>46287</v>
      </c>
      <c r="H3" s="25">
        <v>46309</v>
      </c>
      <c r="I3" s="25">
        <v>46293</v>
      </c>
      <c r="J3" t="s">
        <v>517</v>
      </c>
      <c r="K3">
        <f t="shared" ca="1" si="0"/>
        <v>6</v>
      </c>
      <c r="M3" t="s">
        <v>518</v>
      </c>
      <c r="N3" t="s">
        <v>274</v>
      </c>
      <c r="O3" s="13">
        <f t="shared" si="1"/>
        <v>46309</v>
      </c>
      <c r="P3" t="str">
        <f t="shared" ca="1" si="2"/>
        <v/>
      </c>
    </row>
    <row r="4" spans="1:16" x14ac:dyDescent="0.25">
      <c r="A4" t="s">
        <v>521</v>
      </c>
      <c r="B4" s="24" t="s">
        <v>522</v>
      </c>
      <c r="C4" t="s">
        <v>523</v>
      </c>
      <c r="D4" t="s">
        <v>515</v>
      </c>
      <c r="E4" t="s">
        <v>524</v>
      </c>
      <c r="F4" s="25">
        <v>46260</v>
      </c>
      <c r="G4" s="25">
        <v>46260</v>
      </c>
      <c r="H4" s="25">
        <v>46274</v>
      </c>
      <c r="J4" t="s">
        <v>525</v>
      </c>
      <c r="K4">
        <f t="shared" ca="1" si="0"/>
        <v>36</v>
      </c>
      <c r="M4" t="s">
        <v>526</v>
      </c>
      <c r="N4" t="s">
        <v>274</v>
      </c>
      <c r="O4" s="13">
        <f t="shared" si="1"/>
        <v>46274</v>
      </c>
      <c r="P4">
        <f t="shared" ca="1" si="2"/>
        <v>22</v>
      </c>
    </row>
    <row r="5" spans="1:16" x14ac:dyDescent="0.25">
      <c r="A5" t="s">
        <v>527</v>
      </c>
      <c r="B5" s="24" t="s">
        <v>522</v>
      </c>
      <c r="C5" t="s">
        <v>530</v>
      </c>
      <c r="D5" t="s">
        <v>515</v>
      </c>
      <c r="E5" t="s">
        <v>528</v>
      </c>
      <c r="F5" s="25">
        <v>46260</v>
      </c>
      <c r="G5" s="25">
        <v>46260</v>
      </c>
      <c r="H5" s="25">
        <v>46276</v>
      </c>
      <c r="J5" t="s">
        <v>525</v>
      </c>
      <c r="K5">
        <f t="shared" ca="1" si="0"/>
        <v>36</v>
      </c>
      <c r="M5" t="s">
        <v>529</v>
      </c>
      <c r="N5" t="s">
        <v>274</v>
      </c>
      <c r="O5" s="13">
        <f t="shared" si="1"/>
        <v>46276</v>
      </c>
      <c r="P5">
        <f t="shared" ca="1" si="2"/>
        <v>20</v>
      </c>
    </row>
    <row r="6" spans="1:16" x14ac:dyDescent="0.25">
      <c r="A6" t="s">
        <v>531</v>
      </c>
      <c r="B6" s="24" t="s">
        <v>532</v>
      </c>
      <c r="C6" t="s">
        <v>533</v>
      </c>
      <c r="D6" t="s">
        <v>515</v>
      </c>
      <c r="E6" t="s">
        <v>528</v>
      </c>
      <c r="F6" s="25">
        <v>46260</v>
      </c>
      <c r="G6" s="25">
        <v>46260</v>
      </c>
      <c r="H6" s="25">
        <v>46276</v>
      </c>
      <c r="J6" t="s">
        <v>525</v>
      </c>
      <c r="K6">
        <f t="shared" ca="1" si="0"/>
        <v>36</v>
      </c>
      <c r="M6" t="s">
        <v>534</v>
      </c>
      <c r="N6" t="s">
        <v>274</v>
      </c>
      <c r="O6" s="13">
        <f t="shared" si="1"/>
        <v>46276</v>
      </c>
      <c r="P6">
        <f t="shared" ca="1" si="2"/>
        <v>20</v>
      </c>
    </row>
    <row r="7" spans="1:16" x14ac:dyDescent="0.25">
      <c r="A7" t="s">
        <v>535</v>
      </c>
      <c r="B7" s="24" t="s">
        <v>536</v>
      </c>
      <c r="C7" t="s">
        <v>537</v>
      </c>
      <c r="D7" t="s">
        <v>515</v>
      </c>
      <c r="E7" t="s">
        <v>528</v>
      </c>
      <c r="F7" s="25">
        <v>46260</v>
      </c>
      <c r="G7" s="25">
        <v>46260</v>
      </c>
      <c r="H7" s="25">
        <v>46276</v>
      </c>
      <c r="J7" t="s">
        <v>525</v>
      </c>
      <c r="K7">
        <f t="shared" ca="1" si="0"/>
        <v>36</v>
      </c>
      <c r="M7" t="s">
        <v>538</v>
      </c>
      <c r="N7" t="s">
        <v>274</v>
      </c>
      <c r="O7" s="13">
        <f t="shared" si="1"/>
        <v>46276</v>
      </c>
      <c r="P7">
        <f t="shared" ca="1" si="2"/>
        <v>20</v>
      </c>
    </row>
    <row r="8" spans="1:16" x14ac:dyDescent="0.25">
      <c r="A8" t="s">
        <v>539</v>
      </c>
      <c r="B8" s="24" t="s">
        <v>540</v>
      </c>
      <c r="C8" t="s">
        <v>541</v>
      </c>
      <c r="D8" t="s">
        <v>515</v>
      </c>
      <c r="E8" t="s">
        <v>528</v>
      </c>
      <c r="F8" s="25">
        <v>46260</v>
      </c>
      <c r="G8" s="25">
        <v>46260</v>
      </c>
      <c r="H8" s="25">
        <v>46276</v>
      </c>
      <c r="J8" t="s">
        <v>525</v>
      </c>
      <c r="K8">
        <f t="shared" ca="1" si="0"/>
        <v>36</v>
      </c>
      <c r="M8" t="s">
        <v>542</v>
      </c>
      <c r="N8" t="s">
        <v>274</v>
      </c>
      <c r="O8" s="13">
        <f t="shared" si="1"/>
        <v>46276</v>
      </c>
      <c r="P8">
        <f t="shared" ca="1" si="2"/>
        <v>20</v>
      </c>
    </row>
    <row r="9" spans="1:16" x14ac:dyDescent="0.25">
      <c r="A9" t="s">
        <v>543</v>
      </c>
      <c r="B9" s="24" t="s">
        <v>544</v>
      </c>
      <c r="C9" t="s">
        <v>545</v>
      </c>
      <c r="D9" t="s">
        <v>515</v>
      </c>
      <c r="E9" t="s">
        <v>546</v>
      </c>
      <c r="F9" s="25">
        <v>46260</v>
      </c>
      <c r="G9" s="25">
        <v>46268</v>
      </c>
      <c r="H9" s="25">
        <v>46276</v>
      </c>
      <c r="I9" s="25">
        <v>46290</v>
      </c>
      <c r="J9" t="s">
        <v>517</v>
      </c>
      <c r="K9">
        <f t="shared" ca="1" si="0"/>
        <v>22</v>
      </c>
      <c r="M9" t="s">
        <v>547</v>
      </c>
      <c r="N9" t="s">
        <v>274</v>
      </c>
      <c r="O9" s="13">
        <f t="shared" si="1"/>
        <v>46290</v>
      </c>
      <c r="P9" t="str">
        <f t="shared" ca="1" si="2"/>
        <v/>
      </c>
    </row>
    <row r="10" spans="1:16" x14ac:dyDescent="0.25">
      <c r="A10" t="s">
        <v>548</v>
      </c>
      <c r="B10" s="24" t="s">
        <v>549</v>
      </c>
      <c r="C10" t="s">
        <v>550</v>
      </c>
      <c r="D10" t="s">
        <v>515</v>
      </c>
      <c r="E10" t="s">
        <v>551</v>
      </c>
      <c r="F10" s="25">
        <v>46265</v>
      </c>
      <c r="G10" s="25">
        <v>46283</v>
      </c>
      <c r="H10" s="25">
        <v>46290</v>
      </c>
      <c r="J10" t="s">
        <v>525</v>
      </c>
      <c r="K10">
        <f t="shared" ca="1" si="0"/>
        <v>13</v>
      </c>
      <c r="M10" t="s">
        <v>552</v>
      </c>
      <c r="N10" t="s">
        <v>274</v>
      </c>
      <c r="O10" s="13">
        <f t="shared" si="1"/>
        <v>46290</v>
      </c>
      <c r="P10">
        <f t="shared" ca="1" si="2"/>
        <v>6</v>
      </c>
    </row>
    <row r="11" spans="1:16" x14ac:dyDescent="0.25">
      <c r="A11" t="s">
        <v>553</v>
      </c>
      <c r="B11" s="24" t="s">
        <v>549</v>
      </c>
      <c r="C11" t="s">
        <v>554</v>
      </c>
      <c r="D11" t="s">
        <v>555</v>
      </c>
      <c r="E11" t="s">
        <v>556</v>
      </c>
      <c r="F11" s="25">
        <v>46265</v>
      </c>
      <c r="G11" s="25">
        <v>46283</v>
      </c>
      <c r="H11" s="25">
        <v>46290</v>
      </c>
      <c r="J11" t="s">
        <v>525</v>
      </c>
      <c r="K11">
        <f t="shared" ca="1" si="0"/>
        <v>13</v>
      </c>
      <c r="M11" t="s">
        <v>557</v>
      </c>
      <c r="N11" t="s">
        <v>274</v>
      </c>
      <c r="O11" s="13">
        <f t="shared" si="1"/>
        <v>46290</v>
      </c>
      <c r="P11">
        <f t="shared" ca="1" si="2"/>
        <v>6</v>
      </c>
    </row>
    <row r="12" spans="1:16" x14ac:dyDescent="0.25">
      <c r="A12" t="s">
        <v>558</v>
      </c>
      <c r="B12" s="24" t="s">
        <v>549</v>
      </c>
      <c r="C12" t="s">
        <v>559</v>
      </c>
      <c r="D12" t="s">
        <v>515</v>
      </c>
      <c r="E12" t="s">
        <v>560</v>
      </c>
      <c r="F12" s="25">
        <v>46265</v>
      </c>
      <c r="G12" s="25">
        <v>46283</v>
      </c>
      <c r="H12" s="25">
        <v>46290</v>
      </c>
      <c r="J12" t="s">
        <v>525</v>
      </c>
      <c r="K12">
        <f t="shared" ca="1" si="0"/>
        <v>13</v>
      </c>
      <c r="M12" t="s">
        <v>561</v>
      </c>
      <c r="N12" t="s">
        <v>274</v>
      </c>
      <c r="O12" s="13">
        <f t="shared" si="1"/>
        <v>46290</v>
      </c>
      <c r="P12">
        <f t="shared" ca="1" si="2"/>
        <v>6</v>
      </c>
    </row>
    <row r="13" spans="1:16" x14ac:dyDescent="0.25">
      <c r="K13" t="str">
        <f t="shared" ca="1" si="0"/>
        <v/>
      </c>
      <c r="O13" s="13" t="str">
        <f t="shared" si="1"/>
        <v/>
      </c>
      <c r="P13" t="str">
        <f t="shared" ca="1" si="2"/>
        <v/>
      </c>
    </row>
    <row r="14" spans="1:16" x14ac:dyDescent="0.25">
      <c r="K14" t="str">
        <f t="shared" ca="1" si="0"/>
        <v/>
      </c>
      <c r="O14" s="13" t="str">
        <f t="shared" si="1"/>
        <v/>
      </c>
      <c r="P14" t="str">
        <f t="shared" ca="1" si="2"/>
        <v/>
      </c>
    </row>
    <row r="15" spans="1:16" x14ac:dyDescent="0.25">
      <c r="K15" t="str">
        <f t="shared" ca="1" si="0"/>
        <v/>
      </c>
      <c r="O15" s="13" t="str">
        <f t="shared" si="1"/>
        <v/>
      </c>
      <c r="P15" t="str">
        <f t="shared" ca="1" si="2"/>
        <v/>
      </c>
    </row>
    <row r="16" spans="1:16" x14ac:dyDescent="0.25">
      <c r="K16" t="str">
        <f t="shared" ca="1" si="0"/>
        <v/>
      </c>
      <c r="O16" s="13" t="str">
        <f t="shared" si="1"/>
        <v/>
      </c>
      <c r="P16" t="str">
        <f t="shared" ca="1" si="2"/>
        <v/>
      </c>
    </row>
    <row r="17" spans="11:16" x14ac:dyDescent="0.25">
      <c r="K17" t="str">
        <f t="shared" ca="1" si="0"/>
        <v/>
      </c>
      <c r="O17" s="13" t="str">
        <f t="shared" si="1"/>
        <v/>
      </c>
      <c r="P17" t="str">
        <f t="shared" ca="1" si="2"/>
        <v/>
      </c>
    </row>
    <row r="18" spans="11:16" x14ac:dyDescent="0.25">
      <c r="K18" t="str">
        <f t="shared" ca="1" si="0"/>
        <v/>
      </c>
      <c r="O18" s="13" t="str">
        <f t="shared" si="1"/>
        <v/>
      </c>
      <c r="P18" t="str">
        <f t="shared" ca="1" si="2"/>
        <v/>
      </c>
    </row>
    <row r="19" spans="11:16" x14ac:dyDescent="0.25">
      <c r="K19" t="str">
        <f t="shared" ca="1" si="0"/>
        <v/>
      </c>
      <c r="O19" s="13" t="str">
        <f t="shared" si="1"/>
        <v/>
      </c>
      <c r="P19" t="str">
        <f t="shared" ca="1" si="2"/>
        <v/>
      </c>
    </row>
    <row r="20" spans="11:16" x14ac:dyDescent="0.25">
      <c r="K20" t="str">
        <f t="shared" ca="1" si="0"/>
        <v/>
      </c>
      <c r="O20" s="13" t="str">
        <f t="shared" si="1"/>
        <v/>
      </c>
      <c r="P20" t="str">
        <f t="shared" ca="1" si="2"/>
        <v/>
      </c>
    </row>
    <row r="21" spans="11:16" x14ac:dyDescent="0.25">
      <c r="K21" t="str">
        <f t="shared" ca="1" si="0"/>
        <v/>
      </c>
      <c r="O21" s="13" t="str">
        <f t="shared" si="1"/>
        <v/>
      </c>
      <c r="P21" t="str">
        <f t="shared" ca="1" si="2"/>
        <v/>
      </c>
    </row>
    <row r="22" spans="11:16" x14ac:dyDescent="0.25">
      <c r="K22" t="str">
        <f t="shared" ca="1" si="0"/>
        <v/>
      </c>
      <c r="O22" s="13" t="str">
        <f t="shared" si="1"/>
        <v/>
      </c>
      <c r="P22" t="str">
        <f t="shared" ca="1" si="2"/>
        <v/>
      </c>
    </row>
    <row r="23" spans="11:16" x14ac:dyDescent="0.25">
      <c r="K23" t="str">
        <f t="shared" ca="1" si="0"/>
        <v/>
      </c>
      <c r="O23" s="13" t="str">
        <f t="shared" si="1"/>
        <v/>
      </c>
      <c r="P23" t="str">
        <f t="shared" ca="1" si="2"/>
        <v/>
      </c>
    </row>
    <row r="24" spans="11:16" x14ac:dyDescent="0.25">
      <c r="K24" t="str">
        <f t="shared" ca="1" si="0"/>
        <v/>
      </c>
      <c r="O24" s="13" t="str">
        <f t="shared" si="1"/>
        <v/>
      </c>
      <c r="P24" t="str">
        <f t="shared" ca="1" si="2"/>
        <v/>
      </c>
    </row>
    <row r="25" spans="11:16" x14ac:dyDescent="0.25">
      <c r="K25" t="str">
        <f t="shared" ca="1" si="0"/>
        <v/>
      </c>
      <c r="O25" s="13" t="str">
        <f t="shared" si="1"/>
        <v/>
      </c>
      <c r="P25" t="str">
        <f t="shared" ca="1" si="2"/>
        <v/>
      </c>
    </row>
    <row r="26" spans="11:16" x14ac:dyDescent="0.25">
      <c r="K26" t="str">
        <f t="shared" ca="1" si="0"/>
        <v/>
      </c>
      <c r="O26" s="13" t="str">
        <f t="shared" si="1"/>
        <v/>
      </c>
      <c r="P26" t="str">
        <f t="shared" ca="1" si="2"/>
        <v/>
      </c>
    </row>
    <row r="27" spans="11:16" x14ac:dyDescent="0.25">
      <c r="K27" t="str">
        <f t="shared" ca="1" si="0"/>
        <v/>
      </c>
      <c r="O27" s="13" t="str">
        <f t="shared" si="1"/>
        <v/>
      </c>
      <c r="P27" t="str">
        <f t="shared" ca="1" si="2"/>
        <v/>
      </c>
    </row>
    <row r="28" spans="11:16" x14ac:dyDescent="0.25">
      <c r="K28" t="str">
        <f t="shared" ca="1" si="0"/>
        <v/>
      </c>
      <c r="O28" s="13" t="str">
        <f t="shared" si="1"/>
        <v/>
      </c>
      <c r="P28" t="str">
        <f t="shared" ca="1" si="2"/>
        <v/>
      </c>
    </row>
    <row r="29" spans="11:16" x14ac:dyDescent="0.25">
      <c r="K29" t="str">
        <f t="shared" ca="1" si="0"/>
        <v/>
      </c>
      <c r="O29" s="13" t="str">
        <f t="shared" si="1"/>
        <v/>
      </c>
      <c r="P29" t="str">
        <f t="shared" ca="1" si="2"/>
        <v/>
      </c>
    </row>
    <row r="30" spans="11:16" x14ac:dyDescent="0.25">
      <c r="K30" t="str">
        <f t="shared" ca="1" si="0"/>
        <v/>
      </c>
      <c r="O30" s="13" t="str">
        <f t="shared" si="1"/>
        <v/>
      </c>
      <c r="P30" t="str">
        <f t="shared" ca="1" si="2"/>
        <v/>
      </c>
    </row>
    <row r="31" spans="11:16" x14ac:dyDescent="0.25">
      <c r="K31" t="str">
        <f t="shared" ca="1" si="0"/>
        <v/>
      </c>
      <c r="O31" s="13" t="str">
        <f t="shared" si="1"/>
        <v/>
      </c>
      <c r="P31" t="str">
        <f t="shared" ca="1" si="2"/>
        <v/>
      </c>
    </row>
    <row r="32" spans="11:16" x14ac:dyDescent="0.25">
      <c r="K32" t="str">
        <f t="shared" ca="1" si="0"/>
        <v/>
      </c>
      <c r="O32" s="13" t="str">
        <f t="shared" si="1"/>
        <v/>
      </c>
      <c r="P32" t="str">
        <f t="shared" ca="1" si="2"/>
        <v/>
      </c>
    </row>
    <row r="33" spans="11:16" x14ac:dyDescent="0.25">
      <c r="K33" t="str">
        <f t="shared" ca="1" si="0"/>
        <v/>
      </c>
      <c r="O33" s="13" t="str">
        <f t="shared" si="1"/>
        <v/>
      </c>
      <c r="P33" t="str">
        <f t="shared" ca="1" si="2"/>
        <v/>
      </c>
    </row>
    <row r="34" spans="11:16" x14ac:dyDescent="0.25">
      <c r="K34" t="str">
        <f t="shared" ca="1" si="0"/>
        <v/>
      </c>
      <c r="O34" s="13" t="str">
        <f t="shared" si="1"/>
        <v/>
      </c>
      <c r="P34" t="str">
        <f t="shared" ca="1" si="2"/>
        <v/>
      </c>
    </row>
    <row r="35" spans="11:16" x14ac:dyDescent="0.25">
      <c r="K35" t="str">
        <f t="shared" ca="1" si="0"/>
        <v/>
      </c>
      <c r="O35" s="13" t="str">
        <f t="shared" si="1"/>
        <v/>
      </c>
      <c r="P35" t="str">
        <f t="shared" ca="1" si="2"/>
        <v/>
      </c>
    </row>
    <row r="36" spans="11:16" x14ac:dyDescent="0.25">
      <c r="K36" t="str">
        <f t="shared" ca="1" si="0"/>
        <v/>
      </c>
      <c r="O36" s="13" t="str">
        <f t="shared" si="1"/>
        <v/>
      </c>
      <c r="P36" t="str">
        <f t="shared" ca="1" si="2"/>
        <v/>
      </c>
    </row>
    <row r="37" spans="11:16" x14ac:dyDescent="0.25">
      <c r="K37" t="str">
        <f t="shared" ca="1" si="0"/>
        <v/>
      </c>
      <c r="O37" s="13" t="str">
        <f t="shared" si="1"/>
        <v/>
      </c>
      <c r="P37" t="str">
        <f t="shared" ca="1" si="2"/>
        <v/>
      </c>
    </row>
    <row r="38" spans="11:16" x14ac:dyDescent="0.25">
      <c r="K38" t="str">
        <f t="shared" ca="1" si="0"/>
        <v/>
      </c>
      <c r="O38" s="13" t="str">
        <f t="shared" si="1"/>
        <v/>
      </c>
      <c r="P38" t="str">
        <f t="shared" ca="1" si="2"/>
        <v/>
      </c>
    </row>
    <row r="39" spans="11:16" x14ac:dyDescent="0.25">
      <c r="K39" t="str">
        <f t="shared" ca="1" si="0"/>
        <v/>
      </c>
      <c r="O39" s="13" t="str">
        <f t="shared" si="1"/>
        <v/>
      </c>
      <c r="P39" t="str">
        <f t="shared" ca="1" si="2"/>
        <v/>
      </c>
    </row>
    <row r="40" spans="11:16" x14ac:dyDescent="0.25">
      <c r="K40" t="str">
        <f t="shared" ca="1" si="0"/>
        <v/>
      </c>
      <c r="O40" s="13" t="str">
        <f t="shared" si="1"/>
        <v/>
      </c>
      <c r="P40" t="str">
        <f t="shared" ca="1" si="2"/>
        <v/>
      </c>
    </row>
    <row r="41" spans="11:16" x14ac:dyDescent="0.25">
      <c r="K41" t="str">
        <f t="shared" ca="1" si="0"/>
        <v/>
      </c>
      <c r="O41" s="13" t="str">
        <f t="shared" si="1"/>
        <v/>
      </c>
      <c r="P41" t="str">
        <f t="shared" ca="1" si="2"/>
        <v/>
      </c>
    </row>
    <row r="42" spans="11:16" x14ac:dyDescent="0.25">
      <c r="K42" t="str">
        <f t="shared" ca="1" si="0"/>
        <v/>
      </c>
      <c r="O42" s="13" t="str">
        <f t="shared" si="1"/>
        <v/>
      </c>
      <c r="P42" t="str">
        <f t="shared" ca="1" si="2"/>
        <v/>
      </c>
    </row>
    <row r="43" spans="11:16" x14ac:dyDescent="0.25">
      <c r="K43" t="str">
        <f t="shared" ca="1" si="0"/>
        <v/>
      </c>
      <c r="O43" s="13" t="str">
        <f t="shared" si="1"/>
        <v/>
      </c>
      <c r="P43" t="str">
        <f t="shared" ca="1" si="2"/>
        <v/>
      </c>
    </row>
    <row r="44" spans="11:16" x14ac:dyDescent="0.25">
      <c r="K44" t="str">
        <f t="shared" ca="1" si="0"/>
        <v/>
      </c>
      <c r="O44" s="13" t="str">
        <f t="shared" si="1"/>
        <v/>
      </c>
      <c r="P44" t="str">
        <f t="shared" ca="1" si="2"/>
        <v/>
      </c>
    </row>
    <row r="45" spans="11:16" x14ac:dyDescent="0.25">
      <c r="K45" t="str">
        <f t="shared" ca="1" si="0"/>
        <v/>
      </c>
      <c r="O45" s="13" t="str">
        <f t="shared" si="1"/>
        <v/>
      </c>
      <c r="P45" t="str">
        <f t="shared" ca="1" si="2"/>
        <v/>
      </c>
    </row>
    <row r="46" spans="11:16" x14ac:dyDescent="0.25">
      <c r="K46" t="str">
        <f t="shared" ca="1" si="0"/>
        <v/>
      </c>
      <c r="O46" s="13" t="str">
        <f t="shared" si="1"/>
        <v/>
      </c>
      <c r="P46" t="str">
        <f t="shared" ca="1" si="2"/>
        <v/>
      </c>
    </row>
    <row r="47" spans="11:16" x14ac:dyDescent="0.25">
      <c r="K47" t="str">
        <f t="shared" ca="1" si="0"/>
        <v/>
      </c>
      <c r="O47" s="13" t="str">
        <f t="shared" si="1"/>
        <v/>
      </c>
      <c r="P47" t="str">
        <f t="shared" ca="1" si="2"/>
        <v/>
      </c>
    </row>
    <row r="48" spans="11:16" x14ac:dyDescent="0.25">
      <c r="K48" t="str">
        <f t="shared" ca="1" si="0"/>
        <v/>
      </c>
      <c r="O48" s="13" t="str">
        <f t="shared" si="1"/>
        <v/>
      </c>
      <c r="P48" t="str">
        <f t="shared" ca="1" si="2"/>
        <v/>
      </c>
    </row>
    <row r="49" spans="11:16" x14ac:dyDescent="0.25">
      <c r="K49" t="str">
        <f t="shared" ca="1" si="0"/>
        <v/>
      </c>
      <c r="O49" s="13" t="str">
        <f t="shared" si="1"/>
        <v/>
      </c>
      <c r="P49" t="str">
        <f t="shared" ca="1" si="2"/>
        <v/>
      </c>
    </row>
    <row r="50" spans="11:16" x14ac:dyDescent="0.25">
      <c r="K50" t="str">
        <f t="shared" ca="1" si="0"/>
        <v/>
      </c>
      <c r="O50" s="13" t="str">
        <f t="shared" si="1"/>
        <v/>
      </c>
      <c r="P50" t="str">
        <f t="shared" ca="1" si="2"/>
        <v/>
      </c>
    </row>
    <row r="51" spans="11:16" x14ac:dyDescent="0.25">
      <c r="K51" t="str">
        <f t="shared" ca="1" si="0"/>
        <v/>
      </c>
      <c r="O51" s="13" t="str">
        <f t="shared" si="1"/>
        <v/>
      </c>
      <c r="P51" t="str">
        <f t="shared" ca="1" si="2"/>
        <v/>
      </c>
    </row>
    <row r="52" spans="11:16" x14ac:dyDescent="0.25">
      <c r="K52" t="str">
        <f t="shared" ca="1" si="0"/>
        <v/>
      </c>
      <c r="O52" s="13" t="str">
        <f t="shared" si="1"/>
        <v/>
      </c>
      <c r="P52" t="str">
        <f t="shared" ca="1" si="2"/>
        <v/>
      </c>
    </row>
    <row r="53" spans="11:16" x14ac:dyDescent="0.25">
      <c r="K53" t="str">
        <f t="shared" ca="1" si="0"/>
        <v/>
      </c>
      <c r="O53" s="13" t="str">
        <f t="shared" si="1"/>
        <v/>
      </c>
      <c r="P53" t="str">
        <f t="shared" ca="1" si="2"/>
        <v/>
      </c>
    </row>
    <row r="54" spans="11:16" x14ac:dyDescent="0.25">
      <c r="K54" t="str">
        <f t="shared" ca="1" si="0"/>
        <v/>
      </c>
      <c r="O54" s="13" t="str">
        <f t="shared" si="1"/>
        <v/>
      </c>
      <c r="P54" t="str">
        <f t="shared" ca="1" si="2"/>
        <v/>
      </c>
    </row>
    <row r="55" spans="11:16" x14ac:dyDescent="0.25">
      <c r="K55" t="str">
        <f t="shared" ca="1" si="0"/>
        <v/>
      </c>
      <c r="O55" s="13" t="str">
        <f t="shared" si="1"/>
        <v/>
      </c>
      <c r="P55" t="str">
        <f t="shared" ca="1" si="2"/>
        <v/>
      </c>
    </row>
    <row r="56" spans="11:16" x14ac:dyDescent="0.25">
      <c r="K56" t="str">
        <f t="shared" ca="1" si="0"/>
        <v/>
      </c>
      <c r="O56" s="13" t="str">
        <f t="shared" si="1"/>
        <v/>
      </c>
      <c r="P56" t="str">
        <f t="shared" ca="1" si="2"/>
        <v/>
      </c>
    </row>
    <row r="57" spans="11:16" x14ac:dyDescent="0.25">
      <c r="K57" t="str">
        <f t="shared" ca="1" si="0"/>
        <v/>
      </c>
      <c r="O57" s="13" t="str">
        <f t="shared" si="1"/>
        <v/>
      </c>
      <c r="P57" t="str">
        <f t="shared" ca="1" si="2"/>
        <v/>
      </c>
    </row>
    <row r="58" spans="11:16" x14ac:dyDescent="0.25">
      <c r="K58" t="str">
        <f t="shared" ca="1" si="0"/>
        <v/>
      </c>
      <c r="O58" s="13" t="str">
        <f t="shared" si="1"/>
        <v/>
      </c>
      <c r="P58" t="str">
        <f t="shared" ca="1" si="2"/>
        <v/>
      </c>
    </row>
    <row r="59" spans="11:16" x14ac:dyDescent="0.25">
      <c r="K59" t="str">
        <f t="shared" ca="1" si="0"/>
        <v/>
      </c>
      <c r="O59" s="13" t="str">
        <f t="shared" si="1"/>
        <v/>
      </c>
      <c r="P59" t="str">
        <f t="shared" ca="1" si="2"/>
        <v/>
      </c>
    </row>
    <row r="60" spans="11:16" x14ac:dyDescent="0.25">
      <c r="K60" t="str">
        <f t="shared" ca="1" si="0"/>
        <v/>
      </c>
      <c r="O60" s="13" t="str">
        <f t="shared" si="1"/>
        <v/>
      </c>
      <c r="P60" t="str">
        <f t="shared" ca="1" si="2"/>
        <v/>
      </c>
    </row>
    <row r="61" spans="11:16" x14ac:dyDescent="0.25">
      <c r="K61" t="str">
        <f t="shared" ca="1" si="0"/>
        <v/>
      </c>
      <c r="O61" s="13" t="str">
        <f t="shared" si="1"/>
        <v/>
      </c>
      <c r="P61" t="str">
        <f t="shared" ca="1" si="2"/>
        <v/>
      </c>
    </row>
    <row r="62" spans="11:16" x14ac:dyDescent="0.25">
      <c r="K62" t="str">
        <f t="shared" ca="1" si="0"/>
        <v/>
      </c>
      <c r="O62" s="13" t="str">
        <f t="shared" si="1"/>
        <v/>
      </c>
      <c r="P62" t="str">
        <f t="shared" ca="1" si="2"/>
        <v/>
      </c>
    </row>
    <row r="63" spans="11:16" x14ac:dyDescent="0.25">
      <c r="K63" t="str">
        <f t="shared" ca="1" si="0"/>
        <v/>
      </c>
      <c r="O63" s="13" t="str">
        <f t="shared" si="1"/>
        <v/>
      </c>
      <c r="P63" t="str">
        <f t="shared" ca="1" si="2"/>
        <v/>
      </c>
    </row>
    <row r="64" spans="11:16" x14ac:dyDescent="0.25">
      <c r="K64" t="str">
        <f t="shared" ca="1" si="0"/>
        <v/>
      </c>
      <c r="O64" s="13" t="str">
        <f t="shared" si="1"/>
        <v/>
      </c>
      <c r="P64" t="str">
        <f t="shared" ca="1" si="2"/>
        <v/>
      </c>
    </row>
    <row r="65" spans="11:16" x14ac:dyDescent="0.25">
      <c r="K65" t="str">
        <f t="shared" ca="1" si="0"/>
        <v/>
      </c>
      <c r="O65" s="13" t="str">
        <f t="shared" si="1"/>
        <v/>
      </c>
      <c r="P65" t="str">
        <f t="shared" ca="1" si="2"/>
        <v/>
      </c>
    </row>
    <row r="66" spans="11:16" x14ac:dyDescent="0.25">
      <c r="K66" t="str">
        <f t="shared" ref="K66:K129" ca="1" si="3">IF(A66="","",IF(I66&lt;&gt;"",I66-G66,IF(G66&lt;&gt;"",TODAY()-G66,"")))</f>
        <v/>
      </c>
      <c r="O66" s="13" t="str">
        <f t="shared" ref="O66:O129" si="4">IF(A66="","",MAX(F66+0,G66+0,H66+0,I66+0))</f>
        <v/>
      </c>
      <c r="P66" t="str">
        <f t="shared" ref="P66:P129" ca="1" si="5">IF(A66="","",IF(OR(J66="Approved",J66="Approved as Noted"),"",TODAY()-O66))</f>
        <v/>
      </c>
    </row>
    <row r="67" spans="11:16" x14ac:dyDescent="0.25">
      <c r="K67" t="str">
        <f t="shared" ca="1" si="3"/>
        <v/>
      </c>
      <c r="O67" s="13" t="str">
        <f t="shared" si="4"/>
        <v/>
      </c>
      <c r="P67" t="str">
        <f t="shared" ca="1" si="5"/>
        <v/>
      </c>
    </row>
    <row r="68" spans="11:16" x14ac:dyDescent="0.25">
      <c r="K68" t="str">
        <f t="shared" ca="1" si="3"/>
        <v/>
      </c>
      <c r="O68" s="13" t="str">
        <f t="shared" si="4"/>
        <v/>
      </c>
      <c r="P68" t="str">
        <f t="shared" ca="1" si="5"/>
        <v/>
      </c>
    </row>
    <row r="69" spans="11:16" x14ac:dyDescent="0.25">
      <c r="K69" t="str">
        <f t="shared" ca="1" si="3"/>
        <v/>
      </c>
      <c r="O69" s="13" t="str">
        <f t="shared" si="4"/>
        <v/>
      </c>
      <c r="P69" t="str">
        <f t="shared" ca="1" si="5"/>
        <v/>
      </c>
    </row>
    <row r="70" spans="11:16" x14ac:dyDescent="0.25">
      <c r="K70" t="str">
        <f t="shared" ca="1" si="3"/>
        <v/>
      </c>
      <c r="O70" s="13" t="str">
        <f t="shared" si="4"/>
        <v/>
      </c>
      <c r="P70" t="str">
        <f t="shared" ca="1" si="5"/>
        <v/>
      </c>
    </row>
    <row r="71" spans="11:16" x14ac:dyDescent="0.25">
      <c r="K71" t="str">
        <f t="shared" ca="1" si="3"/>
        <v/>
      </c>
      <c r="O71" s="13" t="str">
        <f t="shared" si="4"/>
        <v/>
      </c>
      <c r="P71" t="str">
        <f t="shared" ca="1" si="5"/>
        <v/>
      </c>
    </row>
    <row r="72" spans="11:16" x14ac:dyDescent="0.25">
      <c r="K72" t="str">
        <f t="shared" ca="1" si="3"/>
        <v/>
      </c>
      <c r="O72" s="13" t="str">
        <f t="shared" si="4"/>
        <v/>
      </c>
      <c r="P72" t="str">
        <f t="shared" ca="1" si="5"/>
        <v/>
      </c>
    </row>
    <row r="73" spans="11:16" x14ac:dyDescent="0.25">
      <c r="K73" t="str">
        <f t="shared" ca="1" si="3"/>
        <v/>
      </c>
      <c r="O73" s="13" t="str">
        <f t="shared" si="4"/>
        <v/>
      </c>
      <c r="P73" t="str">
        <f t="shared" ca="1" si="5"/>
        <v/>
      </c>
    </row>
    <row r="74" spans="11:16" x14ac:dyDescent="0.25">
      <c r="K74" t="str">
        <f t="shared" ca="1" si="3"/>
        <v/>
      </c>
      <c r="O74" s="13" t="str">
        <f t="shared" si="4"/>
        <v/>
      </c>
      <c r="P74" t="str">
        <f t="shared" ca="1" si="5"/>
        <v/>
      </c>
    </row>
    <row r="75" spans="11:16" x14ac:dyDescent="0.25">
      <c r="K75" t="str">
        <f t="shared" ca="1" si="3"/>
        <v/>
      </c>
      <c r="O75" s="13" t="str">
        <f t="shared" si="4"/>
        <v/>
      </c>
      <c r="P75" t="str">
        <f t="shared" ca="1" si="5"/>
        <v/>
      </c>
    </row>
    <row r="76" spans="11:16" x14ac:dyDescent="0.25">
      <c r="K76" t="str">
        <f t="shared" ca="1" si="3"/>
        <v/>
      </c>
      <c r="O76" s="13" t="str">
        <f t="shared" si="4"/>
        <v/>
      </c>
      <c r="P76" t="str">
        <f t="shared" ca="1" si="5"/>
        <v/>
      </c>
    </row>
    <row r="77" spans="11:16" x14ac:dyDescent="0.25">
      <c r="K77" t="str">
        <f t="shared" ca="1" si="3"/>
        <v/>
      </c>
      <c r="O77" s="13" t="str">
        <f t="shared" si="4"/>
        <v/>
      </c>
      <c r="P77" t="str">
        <f t="shared" ca="1" si="5"/>
        <v/>
      </c>
    </row>
    <row r="78" spans="11:16" x14ac:dyDescent="0.25">
      <c r="K78" t="str">
        <f t="shared" ca="1" si="3"/>
        <v/>
      </c>
      <c r="O78" s="13" t="str">
        <f t="shared" si="4"/>
        <v/>
      </c>
      <c r="P78" t="str">
        <f t="shared" ca="1" si="5"/>
        <v/>
      </c>
    </row>
    <row r="79" spans="11:16" x14ac:dyDescent="0.25">
      <c r="K79" t="str">
        <f t="shared" ca="1" si="3"/>
        <v/>
      </c>
      <c r="O79" s="13" t="str">
        <f t="shared" si="4"/>
        <v/>
      </c>
      <c r="P79" t="str">
        <f t="shared" ca="1" si="5"/>
        <v/>
      </c>
    </row>
    <row r="80" spans="11:16" x14ac:dyDescent="0.25">
      <c r="K80" t="str">
        <f t="shared" ca="1" si="3"/>
        <v/>
      </c>
      <c r="O80" s="13" t="str">
        <f t="shared" si="4"/>
        <v/>
      </c>
      <c r="P80" t="str">
        <f t="shared" ca="1" si="5"/>
        <v/>
      </c>
    </row>
    <row r="81" spans="11:16" x14ac:dyDescent="0.25">
      <c r="K81" t="str">
        <f t="shared" ca="1" si="3"/>
        <v/>
      </c>
      <c r="O81" s="13" t="str">
        <f t="shared" si="4"/>
        <v/>
      </c>
      <c r="P81" t="str">
        <f t="shared" ca="1" si="5"/>
        <v/>
      </c>
    </row>
    <row r="82" spans="11:16" x14ac:dyDescent="0.25">
      <c r="K82" t="str">
        <f t="shared" ca="1" si="3"/>
        <v/>
      </c>
      <c r="O82" s="13" t="str">
        <f t="shared" si="4"/>
        <v/>
      </c>
      <c r="P82" t="str">
        <f t="shared" ca="1" si="5"/>
        <v/>
      </c>
    </row>
    <row r="83" spans="11:16" x14ac:dyDescent="0.25">
      <c r="K83" t="str">
        <f t="shared" ca="1" si="3"/>
        <v/>
      </c>
      <c r="O83" s="13" t="str">
        <f t="shared" si="4"/>
        <v/>
      </c>
      <c r="P83" t="str">
        <f t="shared" ca="1" si="5"/>
        <v/>
      </c>
    </row>
    <row r="84" spans="11:16" x14ac:dyDescent="0.25">
      <c r="K84" t="str">
        <f t="shared" ca="1" si="3"/>
        <v/>
      </c>
      <c r="O84" s="13" t="str">
        <f t="shared" si="4"/>
        <v/>
      </c>
      <c r="P84" t="str">
        <f t="shared" ca="1" si="5"/>
        <v/>
      </c>
    </row>
    <row r="85" spans="11:16" x14ac:dyDescent="0.25">
      <c r="K85" t="str">
        <f t="shared" ca="1" si="3"/>
        <v/>
      </c>
      <c r="O85" s="13" t="str">
        <f t="shared" si="4"/>
        <v/>
      </c>
      <c r="P85" t="str">
        <f t="shared" ca="1" si="5"/>
        <v/>
      </c>
    </row>
    <row r="86" spans="11:16" x14ac:dyDescent="0.25">
      <c r="K86" t="str">
        <f t="shared" ca="1" si="3"/>
        <v/>
      </c>
      <c r="O86" s="13" t="str">
        <f t="shared" si="4"/>
        <v/>
      </c>
      <c r="P86" t="str">
        <f t="shared" ca="1" si="5"/>
        <v/>
      </c>
    </row>
    <row r="87" spans="11:16" x14ac:dyDescent="0.25">
      <c r="K87" t="str">
        <f t="shared" ca="1" si="3"/>
        <v/>
      </c>
      <c r="O87" s="13" t="str">
        <f t="shared" si="4"/>
        <v/>
      </c>
      <c r="P87" t="str">
        <f t="shared" ca="1" si="5"/>
        <v/>
      </c>
    </row>
    <row r="88" spans="11:16" x14ac:dyDescent="0.25">
      <c r="K88" t="str">
        <f t="shared" ca="1" si="3"/>
        <v/>
      </c>
      <c r="O88" s="13" t="str">
        <f t="shared" si="4"/>
        <v/>
      </c>
      <c r="P88" t="str">
        <f t="shared" ca="1" si="5"/>
        <v/>
      </c>
    </row>
    <row r="89" spans="11:16" x14ac:dyDescent="0.25">
      <c r="K89" t="str">
        <f t="shared" ca="1" si="3"/>
        <v/>
      </c>
      <c r="O89" s="13" t="str">
        <f t="shared" si="4"/>
        <v/>
      </c>
      <c r="P89" t="str">
        <f t="shared" ca="1" si="5"/>
        <v/>
      </c>
    </row>
    <row r="90" spans="11:16" x14ac:dyDescent="0.25">
      <c r="K90" t="str">
        <f t="shared" ca="1" si="3"/>
        <v/>
      </c>
      <c r="O90" s="13" t="str">
        <f t="shared" si="4"/>
        <v/>
      </c>
      <c r="P90" t="str">
        <f t="shared" ca="1" si="5"/>
        <v/>
      </c>
    </row>
    <row r="91" spans="11:16" x14ac:dyDescent="0.25">
      <c r="K91" t="str">
        <f t="shared" ca="1" si="3"/>
        <v/>
      </c>
      <c r="O91" s="13" t="str">
        <f t="shared" si="4"/>
        <v/>
      </c>
      <c r="P91" t="str">
        <f t="shared" ca="1" si="5"/>
        <v/>
      </c>
    </row>
    <row r="92" spans="11:16" x14ac:dyDescent="0.25">
      <c r="K92" t="str">
        <f t="shared" ca="1" si="3"/>
        <v/>
      </c>
      <c r="O92" s="13" t="str">
        <f t="shared" si="4"/>
        <v/>
      </c>
      <c r="P92" t="str">
        <f t="shared" ca="1" si="5"/>
        <v/>
      </c>
    </row>
    <row r="93" spans="11:16" x14ac:dyDescent="0.25">
      <c r="K93" t="str">
        <f t="shared" ca="1" si="3"/>
        <v/>
      </c>
      <c r="O93" s="13" t="str">
        <f t="shared" si="4"/>
        <v/>
      </c>
      <c r="P93" t="str">
        <f t="shared" ca="1" si="5"/>
        <v/>
      </c>
    </row>
    <row r="94" spans="11:16" x14ac:dyDescent="0.25">
      <c r="K94" t="str">
        <f t="shared" ca="1" si="3"/>
        <v/>
      </c>
      <c r="O94" s="13" t="str">
        <f t="shared" si="4"/>
        <v/>
      </c>
      <c r="P94" t="str">
        <f t="shared" ca="1" si="5"/>
        <v/>
      </c>
    </row>
    <row r="95" spans="11:16" x14ac:dyDescent="0.25">
      <c r="K95" t="str">
        <f t="shared" ca="1" si="3"/>
        <v/>
      </c>
      <c r="O95" s="13" t="str">
        <f t="shared" si="4"/>
        <v/>
      </c>
      <c r="P95" t="str">
        <f t="shared" ca="1" si="5"/>
        <v/>
      </c>
    </row>
    <row r="96" spans="11:16" x14ac:dyDescent="0.25">
      <c r="K96" t="str">
        <f t="shared" ca="1" si="3"/>
        <v/>
      </c>
      <c r="O96" s="13" t="str">
        <f t="shared" si="4"/>
        <v/>
      </c>
      <c r="P96" t="str">
        <f t="shared" ca="1" si="5"/>
        <v/>
      </c>
    </row>
    <row r="97" spans="11:16" x14ac:dyDescent="0.25">
      <c r="K97" t="str">
        <f t="shared" ca="1" si="3"/>
        <v/>
      </c>
      <c r="O97" s="13" t="str">
        <f t="shared" si="4"/>
        <v/>
      </c>
      <c r="P97" t="str">
        <f t="shared" ca="1" si="5"/>
        <v/>
      </c>
    </row>
    <row r="98" spans="11:16" x14ac:dyDescent="0.25">
      <c r="K98" t="str">
        <f t="shared" ca="1" si="3"/>
        <v/>
      </c>
      <c r="O98" s="13" t="str">
        <f t="shared" si="4"/>
        <v/>
      </c>
      <c r="P98" t="str">
        <f t="shared" ca="1" si="5"/>
        <v/>
      </c>
    </row>
    <row r="99" spans="11:16" x14ac:dyDescent="0.25">
      <c r="K99" t="str">
        <f t="shared" ca="1" si="3"/>
        <v/>
      </c>
      <c r="O99" s="13" t="str">
        <f t="shared" si="4"/>
        <v/>
      </c>
      <c r="P99" t="str">
        <f t="shared" ca="1" si="5"/>
        <v/>
      </c>
    </row>
    <row r="100" spans="11:16" x14ac:dyDescent="0.25">
      <c r="K100" t="str">
        <f t="shared" ca="1" si="3"/>
        <v/>
      </c>
      <c r="O100" s="13" t="str">
        <f t="shared" si="4"/>
        <v/>
      </c>
      <c r="P100" t="str">
        <f t="shared" ca="1" si="5"/>
        <v/>
      </c>
    </row>
    <row r="101" spans="11:16" x14ac:dyDescent="0.25">
      <c r="K101" t="str">
        <f t="shared" ca="1" si="3"/>
        <v/>
      </c>
      <c r="O101" s="13" t="str">
        <f t="shared" si="4"/>
        <v/>
      </c>
      <c r="P101" t="str">
        <f t="shared" ca="1" si="5"/>
        <v/>
      </c>
    </row>
    <row r="102" spans="11:16" x14ac:dyDescent="0.25">
      <c r="K102" t="str">
        <f t="shared" ca="1" si="3"/>
        <v/>
      </c>
      <c r="O102" s="13" t="str">
        <f t="shared" si="4"/>
        <v/>
      </c>
      <c r="P102" t="str">
        <f t="shared" ca="1" si="5"/>
        <v/>
      </c>
    </row>
    <row r="103" spans="11:16" x14ac:dyDescent="0.25">
      <c r="K103" t="str">
        <f t="shared" ca="1" si="3"/>
        <v/>
      </c>
      <c r="O103" s="13" t="str">
        <f t="shared" si="4"/>
        <v/>
      </c>
      <c r="P103" t="str">
        <f t="shared" ca="1" si="5"/>
        <v/>
      </c>
    </row>
    <row r="104" spans="11:16" x14ac:dyDescent="0.25">
      <c r="K104" t="str">
        <f t="shared" ca="1" si="3"/>
        <v/>
      </c>
      <c r="O104" s="13" t="str">
        <f t="shared" si="4"/>
        <v/>
      </c>
      <c r="P104" t="str">
        <f t="shared" ca="1" si="5"/>
        <v/>
      </c>
    </row>
    <row r="105" spans="11:16" x14ac:dyDescent="0.25">
      <c r="K105" t="str">
        <f t="shared" ca="1" si="3"/>
        <v/>
      </c>
      <c r="O105" s="13" t="str">
        <f t="shared" si="4"/>
        <v/>
      </c>
      <c r="P105" t="str">
        <f t="shared" ca="1" si="5"/>
        <v/>
      </c>
    </row>
    <row r="106" spans="11:16" x14ac:dyDescent="0.25">
      <c r="K106" t="str">
        <f t="shared" ca="1" si="3"/>
        <v/>
      </c>
      <c r="O106" s="13" t="str">
        <f t="shared" si="4"/>
        <v/>
      </c>
      <c r="P106" t="str">
        <f t="shared" ca="1" si="5"/>
        <v/>
      </c>
    </row>
    <row r="107" spans="11:16" x14ac:dyDescent="0.25">
      <c r="K107" t="str">
        <f t="shared" ca="1" si="3"/>
        <v/>
      </c>
      <c r="O107" s="13" t="str">
        <f t="shared" si="4"/>
        <v/>
      </c>
      <c r="P107" t="str">
        <f t="shared" ca="1" si="5"/>
        <v/>
      </c>
    </row>
    <row r="108" spans="11:16" x14ac:dyDescent="0.25">
      <c r="K108" t="str">
        <f t="shared" ca="1" si="3"/>
        <v/>
      </c>
      <c r="O108" s="13" t="str">
        <f t="shared" si="4"/>
        <v/>
      </c>
      <c r="P108" t="str">
        <f t="shared" ca="1" si="5"/>
        <v/>
      </c>
    </row>
    <row r="109" spans="11:16" x14ac:dyDescent="0.25">
      <c r="K109" t="str">
        <f t="shared" ca="1" si="3"/>
        <v/>
      </c>
      <c r="O109" s="13" t="str">
        <f t="shared" si="4"/>
        <v/>
      </c>
      <c r="P109" t="str">
        <f t="shared" ca="1" si="5"/>
        <v/>
      </c>
    </row>
    <row r="110" spans="11:16" x14ac:dyDescent="0.25">
      <c r="K110" t="str">
        <f t="shared" ca="1" si="3"/>
        <v/>
      </c>
      <c r="O110" s="13" t="str">
        <f t="shared" si="4"/>
        <v/>
      </c>
      <c r="P110" t="str">
        <f t="shared" ca="1" si="5"/>
        <v/>
      </c>
    </row>
    <row r="111" spans="11:16" x14ac:dyDescent="0.25">
      <c r="K111" t="str">
        <f t="shared" ca="1" si="3"/>
        <v/>
      </c>
      <c r="O111" s="13" t="str">
        <f t="shared" si="4"/>
        <v/>
      </c>
      <c r="P111" t="str">
        <f t="shared" ca="1" si="5"/>
        <v/>
      </c>
    </row>
    <row r="112" spans="11:16" x14ac:dyDescent="0.25">
      <c r="K112" t="str">
        <f t="shared" ca="1" si="3"/>
        <v/>
      </c>
      <c r="O112" s="13" t="str">
        <f t="shared" si="4"/>
        <v/>
      </c>
      <c r="P112" t="str">
        <f t="shared" ca="1" si="5"/>
        <v/>
      </c>
    </row>
    <row r="113" spans="11:16" x14ac:dyDescent="0.25">
      <c r="K113" t="str">
        <f t="shared" ca="1" si="3"/>
        <v/>
      </c>
      <c r="O113" s="13" t="str">
        <f t="shared" si="4"/>
        <v/>
      </c>
      <c r="P113" t="str">
        <f t="shared" ca="1" si="5"/>
        <v/>
      </c>
    </row>
    <row r="114" spans="11:16" x14ac:dyDescent="0.25">
      <c r="K114" t="str">
        <f t="shared" ca="1" si="3"/>
        <v/>
      </c>
      <c r="O114" s="13" t="str">
        <f t="shared" si="4"/>
        <v/>
      </c>
      <c r="P114" t="str">
        <f t="shared" ca="1" si="5"/>
        <v/>
      </c>
    </row>
    <row r="115" spans="11:16" x14ac:dyDescent="0.25">
      <c r="K115" t="str">
        <f t="shared" ca="1" si="3"/>
        <v/>
      </c>
      <c r="O115" s="13" t="str">
        <f t="shared" si="4"/>
        <v/>
      </c>
      <c r="P115" t="str">
        <f t="shared" ca="1" si="5"/>
        <v/>
      </c>
    </row>
    <row r="116" spans="11:16" x14ac:dyDescent="0.25">
      <c r="K116" t="str">
        <f t="shared" ca="1" si="3"/>
        <v/>
      </c>
      <c r="O116" s="13" t="str">
        <f t="shared" si="4"/>
        <v/>
      </c>
      <c r="P116" t="str">
        <f t="shared" ca="1" si="5"/>
        <v/>
      </c>
    </row>
    <row r="117" spans="11:16" x14ac:dyDescent="0.25">
      <c r="K117" t="str">
        <f t="shared" ca="1" si="3"/>
        <v/>
      </c>
      <c r="O117" s="13" t="str">
        <f t="shared" si="4"/>
        <v/>
      </c>
      <c r="P117" t="str">
        <f t="shared" ca="1" si="5"/>
        <v/>
      </c>
    </row>
    <row r="118" spans="11:16" x14ac:dyDescent="0.25">
      <c r="K118" t="str">
        <f t="shared" ca="1" si="3"/>
        <v/>
      </c>
      <c r="O118" s="13" t="str">
        <f t="shared" si="4"/>
        <v/>
      </c>
      <c r="P118" t="str">
        <f t="shared" ca="1" si="5"/>
        <v/>
      </c>
    </row>
    <row r="119" spans="11:16" x14ac:dyDescent="0.25">
      <c r="K119" t="str">
        <f t="shared" ca="1" si="3"/>
        <v/>
      </c>
      <c r="O119" s="13" t="str">
        <f t="shared" si="4"/>
        <v/>
      </c>
      <c r="P119" t="str">
        <f t="shared" ca="1" si="5"/>
        <v/>
      </c>
    </row>
    <row r="120" spans="11:16" x14ac:dyDescent="0.25">
      <c r="K120" t="str">
        <f t="shared" ca="1" si="3"/>
        <v/>
      </c>
      <c r="O120" s="13" t="str">
        <f t="shared" si="4"/>
        <v/>
      </c>
      <c r="P120" t="str">
        <f t="shared" ca="1" si="5"/>
        <v/>
      </c>
    </row>
    <row r="121" spans="11:16" x14ac:dyDescent="0.25">
      <c r="K121" t="str">
        <f t="shared" ca="1" si="3"/>
        <v/>
      </c>
      <c r="O121" s="13" t="str">
        <f t="shared" si="4"/>
        <v/>
      </c>
      <c r="P121" t="str">
        <f t="shared" ca="1" si="5"/>
        <v/>
      </c>
    </row>
    <row r="122" spans="11:16" x14ac:dyDescent="0.25">
      <c r="K122" t="str">
        <f t="shared" ca="1" si="3"/>
        <v/>
      </c>
      <c r="O122" s="13" t="str">
        <f t="shared" si="4"/>
        <v/>
      </c>
      <c r="P122" t="str">
        <f t="shared" ca="1" si="5"/>
        <v/>
      </c>
    </row>
    <row r="123" spans="11:16" x14ac:dyDescent="0.25">
      <c r="K123" t="str">
        <f t="shared" ca="1" si="3"/>
        <v/>
      </c>
      <c r="O123" s="13" t="str">
        <f t="shared" si="4"/>
        <v/>
      </c>
      <c r="P123" t="str">
        <f t="shared" ca="1" si="5"/>
        <v/>
      </c>
    </row>
    <row r="124" spans="11:16" x14ac:dyDescent="0.25">
      <c r="K124" t="str">
        <f t="shared" ca="1" si="3"/>
        <v/>
      </c>
      <c r="O124" s="13" t="str">
        <f t="shared" si="4"/>
        <v/>
      </c>
      <c r="P124" t="str">
        <f t="shared" ca="1" si="5"/>
        <v/>
      </c>
    </row>
    <row r="125" spans="11:16" x14ac:dyDescent="0.25">
      <c r="K125" t="str">
        <f t="shared" ca="1" si="3"/>
        <v/>
      </c>
      <c r="O125" s="13" t="str">
        <f t="shared" si="4"/>
        <v/>
      </c>
      <c r="P125" t="str">
        <f t="shared" ca="1" si="5"/>
        <v/>
      </c>
    </row>
    <row r="126" spans="11:16" x14ac:dyDescent="0.25">
      <c r="K126" t="str">
        <f t="shared" ca="1" si="3"/>
        <v/>
      </c>
      <c r="O126" s="13" t="str">
        <f t="shared" si="4"/>
        <v/>
      </c>
      <c r="P126" t="str">
        <f t="shared" ca="1" si="5"/>
        <v/>
      </c>
    </row>
    <row r="127" spans="11:16" x14ac:dyDescent="0.25">
      <c r="K127" t="str">
        <f t="shared" ca="1" si="3"/>
        <v/>
      </c>
      <c r="O127" s="13" t="str">
        <f t="shared" si="4"/>
        <v/>
      </c>
      <c r="P127" t="str">
        <f t="shared" ca="1" si="5"/>
        <v/>
      </c>
    </row>
    <row r="128" spans="11:16" x14ac:dyDescent="0.25">
      <c r="K128" t="str">
        <f t="shared" ca="1" si="3"/>
        <v/>
      </c>
      <c r="O128" s="13" t="str">
        <f t="shared" si="4"/>
        <v/>
      </c>
      <c r="P128" t="str">
        <f t="shared" ca="1" si="5"/>
        <v/>
      </c>
    </row>
    <row r="129" spans="11:16" x14ac:dyDescent="0.25">
      <c r="K129" t="str">
        <f t="shared" ca="1" si="3"/>
        <v/>
      </c>
      <c r="O129" s="13" t="str">
        <f t="shared" si="4"/>
        <v/>
      </c>
      <c r="P129" t="str">
        <f t="shared" ca="1" si="5"/>
        <v/>
      </c>
    </row>
    <row r="130" spans="11:16" x14ac:dyDescent="0.25">
      <c r="K130" t="str">
        <f t="shared" ref="K130:K193" ca="1" si="6">IF(A130="","",IF(I130&lt;&gt;"",I130-G130,IF(G130&lt;&gt;"",TODAY()-G130,"")))</f>
        <v/>
      </c>
      <c r="O130" s="13" t="str">
        <f t="shared" ref="O130:O193" si="7">IF(A130="","",MAX(F130+0,G130+0,H130+0,I130+0))</f>
        <v/>
      </c>
      <c r="P130" t="str">
        <f t="shared" ref="P130:P193" ca="1" si="8">IF(A130="","",IF(OR(J130="Approved",J130="Approved as Noted"),"",TODAY()-O130))</f>
        <v/>
      </c>
    </row>
    <row r="131" spans="11:16" x14ac:dyDescent="0.25">
      <c r="K131" t="str">
        <f t="shared" ca="1" si="6"/>
        <v/>
      </c>
      <c r="O131" s="13" t="str">
        <f t="shared" si="7"/>
        <v/>
      </c>
      <c r="P131" t="str">
        <f t="shared" ca="1" si="8"/>
        <v/>
      </c>
    </row>
    <row r="132" spans="11:16" x14ac:dyDescent="0.25">
      <c r="K132" t="str">
        <f t="shared" ca="1" si="6"/>
        <v/>
      </c>
      <c r="O132" s="13" t="str">
        <f t="shared" si="7"/>
        <v/>
      </c>
      <c r="P132" t="str">
        <f t="shared" ca="1" si="8"/>
        <v/>
      </c>
    </row>
    <row r="133" spans="11:16" x14ac:dyDescent="0.25">
      <c r="K133" t="str">
        <f t="shared" ca="1" si="6"/>
        <v/>
      </c>
      <c r="O133" s="13" t="str">
        <f t="shared" si="7"/>
        <v/>
      </c>
      <c r="P133" t="str">
        <f t="shared" ca="1" si="8"/>
        <v/>
      </c>
    </row>
    <row r="134" spans="11:16" x14ac:dyDescent="0.25">
      <c r="K134" t="str">
        <f t="shared" ca="1" si="6"/>
        <v/>
      </c>
      <c r="O134" s="13" t="str">
        <f t="shared" si="7"/>
        <v/>
      </c>
      <c r="P134" t="str">
        <f t="shared" ca="1" si="8"/>
        <v/>
      </c>
    </row>
    <row r="135" spans="11:16" x14ac:dyDescent="0.25">
      <c r="K135" t="str">
        <f t="shared" ca="1" si="6"/>
        <v/>
      </c>
      <c r="O135" s="13" t="str">
        <f t="shared" si="7"/>
        <v/>
      </c>
      <c r="P135" t="str">
        <f t="shared" ca="1" si="8"/>
        <v/>
      </c>
    </row>
    <row r="136" spans="11:16" x14ac:dyDescent="0.25">
      <c r="K136" t="str">
        <f t="shared" ca="1" si="6"/>
        <v/>
      </c>
      <c r="O136" s="13" t="str">
        <f t="shared" si="7"/>
        <v/>
      </c>
      <c r="P136" t="str">
        <f t="shared" ca="1" si="8"/>
        <v/>
      </c>
    </row>
    <row r="137" spans="11:16" x14ac:dyDescent="0.25">
      <c r="K137" t="str">
        <f t="shared" ca="1" si="6"/>
        <v/>
      </c>
      <c r="O137" s="13" t="str">
        <f t="shared" si="7"/>
        <v/>
      </c>
      <c r="P137" t="str">
        <f t="shared" ca="1" si="8"/>
        <v/>
      </c>
    </row>
    <row r="138" spans="11:16" x14ac:dyDescent="0.25">
      <c r="K138" t="str">
        <f t="shared" ca="1" si="6"/>
        <v/>
      </c>
      <c r="O138" s="13" t="str">
        <f t="shared" si="7"/>
        <v/>
      </c>
      <c r="P138" t="str">
        <f t="shared" ca="1" si="8"/>
        <v/>
      </c>
    </row>
    <row r="139" spans="11:16" x14ac:dyDescent="0.25">
      <c r="K139" t="str">
        <f t="shared" ca="1" si="6"/>
        <v/>
      </c>
      <c r="O139" s="13" t="str">
        <f t="shared" si="7"/>
        <v/>
      </c>
      <c r="P139" t="str">
        <f t="shared" ca="1" si="8"/>
        <v/>
      </c>
    </row>
    <row r="140" spans="11:16" x14ac:dyDescent="0.25">
      <c r="K140" t="str">
        <f t="shared" ca="1" si="6"/>
        <v/>
      </c>
      <c r="O140" s="13" t="str">
        <f t="shared" si="7"/>
        <v/>
      </c>
      <c r="P140" t="str">
        <f t="shared" ca="1" si="8"/>
        <v/>
      </c>
    </row>
    <row r="141" spans="11:16" x14ac:dyDescent="0.25">
      <c r="K141" t="str">
        <f t="shared" ca="1" si="6"/>
        <v/>
      </c>
      <c r="O141" s="13" t="str">
        <f t="shared" si="7"/>
        <v/>
      </c>
      <c r="P141" t="str">
        <f t="shared" ca="1" si="8"/>
        <v/>
      </c>
    </row>
    <row r="142" spans="11:16" x14ac:dyDescent="0.25">
      <c r="K142" t="str">
        <f t="shared" ca="1" si="6"/>
        <v/>
      </c>
      <c r="O142" s="13" t="str">
        <f t="shared" si="7"/>
        <v/>
      </c>
      <c r="P142" t="str">
        <f t="shared" ca="1" si="8"/>
        <v/>
      </c>
    </row>
    <row r="143" spans="11:16" x14ac:dyDescent="0.25">
      <c r="K143" t="str">
        <f t="shared" ca="1" si="6"/>
        <v/>
      </c>
      <c r="O143" s="13" t="str">
        <f t="shared" si="7"/>
        <v/>
      </c>
      <c r="P143" t="str">
        <f t="shared" ca="1" si="8"/>
        <v/>
      </c>
    </row>
    <row r="144" spans="11:16" x14ac:dyDescent="0.25">
      <c r="K144" t="str">
        <f t="shared" ca="1" si="6"/>
        <v/>
      </c>
      <c r="O144" s="13" t="str">
        <f t="shared" si="7"/>
        <v/>
      </c>
      <c r="P144" t="str">
        <f t="shared" ca="1" si="8"/>
        <v/>
      </c>
    </row>
    <row r="145" spans="11:16" x14ac:dyDescent="0.25">
      <c r="K145" t="str">
        <f t="shared" ca="1" si="6"/>
        <v/>
      </c>
      <c r="O145" s="13" t="str">
        <f t="shared" si="7"/>
        <v/>
      </c>
      <c r="P145" t="str">
        <f t="shared" ca="1" si="8"/>
        <v/>
      </c>
    </row>
    <row r="146" spans="11:16" x14ac:dyDescent="0.25">
      <c r="K146" t="str">
        <f t="shared" ca="1" si="6"/>
        <v/>
      </c>
      <c r="O146" s="13" t="str">
        <f t="shared" si="7"/>
        <v/>
      </c>
      <c r="P146" t="str">
        <f t="shared" ca="1" si="8"/>
        <v/>
      </c>
    </row>
    <row r="147" spans="11:16" x14ac:dyDescent="0.25">
      <c r="K147" t="str">
        <f t="shared" ca="1" si="6"/>
        <v/>
      </c>
      <c r="O147" s="13" t="str">
        <f t="shared" si="7"/>
        <v/>
      </c>
      <c r="P147" t="str">
        <f t="shared" ca="1" si="8"/>
        <v/>
      </c>
    </row>
    <row r="148" spans="11:16" x14ac:dyDescent="0.25">
      <c r="K148" t="str">
        <f t="shared" ca="1" si="6"/>
        <v/>
      </c>
      <c r="O148" s="13" t="str">
        <f t="shared" si="7"/>
        <v/>
      </c>
      <c r="P148" t="str">
        <f t="shared" ca="1" si="8"/>
        <v/>
      </c>
    </row>
    <row r="149" spans="11:16" x14ac:dyDescent="0.25">
      <c r="K149" t="str">
        <f t="shared" ca="1" si="6"/>
        <v/>
      </c>
      <c r="O149" s="13" t="str">
        <f t="shared" si="7"/>
        <v/>
      </c>
      <c r="P149" t="str">
        <f t="shared" ca="1" si="8"/>
        <v/>
      </c>
    </row>
    <row r="150" spans="11:16" x14ac:dyDescent="0.25">
      <c r="K150" t="str">
        <f t="shared" ca="1" si="6"/>
        <v/>
      </c>
      <c r="O150" s="13" t="str">
        <f t="shared" si="7"/>
        <v/>
      </c>
      <c r="P150" t="str">
        <f t="shared" ca="1" si="8"/>
        <v/>
      </c>
    </row>
    <row r="151" spans="11:16" x14ac:dyDescent="0.25">
      <c r="K151" t="str">
        <f t="shared" ca="1" si="6"/>
        <v/>
      </c>
      <c r="O151" s="13" t="str">
        <f t="shared" si="7"/>
        <v/>
      </c>
      <c r="P151" t="str">
        <f t="shared" ca="1" si="8"/>
        <v/>
      </c>
    </row>
    <row r="152" spans="11:16" x14ac:dyDescent="0.25">
      <c r="K152" t="str">
        <f t="shared" ca="1" si="6"/>
        <v/>
      </c>
      <c r="O152" s="13" t="str">
        <f t="shared" si="7"/>
        <v/>
      </c>
      <c r="P152" t="str">
        <f t="shared" ca="1" si="8"/>
        <v/>
      </c>
    </row>
    <row r="153" spans="11:16" x14ac:dyDescent="0.25">
      <c r="K153" t="str">
        <f t="shared" ca="1" si="6"/>
        <v/>
      </c>
      <c r="O153" s="13" t="str">
        <f t="shared" si="7"/>
        <v/>
      </c>
      <c r="P153" t="str">
        <f t="shared" ca="1" si="8"/>
        <v/>
      </c>
    </row>
    <row r="154" spans="11:16" x14ac:dyDescent="0.25">
      <c r="K154" t="str">
        <f t="shared" ca="1" si="6"/>
        <v/>
      </c>
      <c r="O154" s="13" t="str">
        <f t="shared" si="7"/>
        <v/>
      </c>
      <c r="P154" t="str">
        <f t="shared" ca="1" si="8"/>
        <v/>
      </c>
    </row>
    <row r="155" spans="11:16" x14ac:dyDescent="0.25">
      <c r="K155" t="str">
        <f t="shared" ca="1" si="6"/>
        <v/>
      </c>
      <c r="O155" s="13" t="str">
        <f t="shared" si="7"/>
        <v/>
      </c>
      <c r="P155" t="str">
        <f t="shared" ca="1" si="8"/>
        <v/>
      </c>
    </row>
    <row r="156" spans="11:16" x14ac:dyDescent="0.25">
      <c r="K156" t="str">
        <f t="shared" ca="1" si="6"/>
        <v/>
      </c>
      <c r="O156" s="13" t="str">
        <f t="shared" si="7"/>
        <v/>
      </c>
      <c r="P156" t="str">
        <f t="shared" ca="1" si="8"/>
        <v/>
      </c>
    </row>
    <row r="157" spans="11:16" x14ac:dyDescent="0.25">
      <c r="K157" t="str">
        <f t="shared" ca="1" si="6"/>
        <v/>
      </c>
      <c r="O157" s="13" t="str">
        <f t="shared" si="7"/>
        <v/>
      </c>
      <c r="P157" t="str">
        <f t="shared" ca="1" si="8"/>
        <v/>
      </c>
    </row>
    <row r="158" spans="11:16" x14ac:dyDescent="0.25">
      <c r="K158" t="str">
        <f t="shared" ca="1" si="6"/>
        <v/>
      </c>
      <c r="O158" s="13" t="str">
        <f t="shared" si="7"/>
        <v/>
      </c>
      <c r="P158" t="str">
        <f t="shared" ca="1" si="8"/>
        <v/>
      </c>
    </row>
    <row r="159" spans="11:16" x14ac:dyDescent="0.25">
      <c r="K159" t="str">
        <f t="shared" ca="1" si="6"/>
        <v/>
      </c>
      <c r="O159" s="13" t="str">
        <f t="shared" si="7"/>
        <v/>
      </c>
      <c r="P159" t="str">
        <f t="shared" ca="1" si="8"/>
        <v/>
      </c>
    </row>
    <row r="160" spans="11:16" x14ac:dyDescent="0.25">
      <c r="K160" t="str">
        <f t="shared" ca="1" si="6"/>
        <v/>
      </c>
      <c r="O160" s="13" t="str">
        <f t="shared" si="7"/>
        <v/>
      </c>
      <c r="P160" t="str">
        <f t="shared" ca="1" si="8"/>
        <v/>
      </c>
    </row>
    <row r="161" spans="11:16" x14ac:dyDescent="0.25">
      <c r="K161" t="str">
        <f t="shared" ca="1" si="6"/>
        <v/>
      </c>
      <c r="O161" s="13" t="str">
        <f t="shared" si="7"/>
        <v/>
      </c>
      <c r="P161" t="str">
        <f t="shared" ca="1" si="8"/>
        <v/>
      </c>
    </row>
    <row r="162" spans="11:16" x14ac:dyDescent="0.25">
      <c r="K162" t="str">
        <f t="shared" ca="1" si="6"/>
        <v/>
      </c>
      <c r="O162" s="13" t="str">
        <f t="shared" si="7"/>
        <v/>
      </c>
      <c r="P162" t="str">
        <f t="shared" ca="1" si="8"/>
        <v/>
      </c>
    </row>
    <row r="163" spans="11:16" x14ac:dyDescent="0.25">
      <c r="K163" t="str">
        <f t="shared" ca="1" si="6"/>
        <v/>
      </c>
      <c r="O163" s="13" t="str">
        <f t="shared" si="7"/>
        <v/>
      </c>
      <c r="P163" t="str">
        <f t="shared" ca="1" si="8"/>
        <v/>
      </c>
    </row>
    <row r="164" spans="11:16" x14ac:dyDescent="0.25">
      <c r="K164" t="str">
        <f t="shared" ca="1" si="6"/>
        <v/>
      </c>
      <c r="O164" s="13" t="str">
        <f t="shared" si="7"/>
        <v/>
      </c>
      <c r="P164" t="str">
        <f t="shared" ca="1" si="8"/>
        <v/>
      </c>
    </row>
    <row r="165" spans="11:16" x14ac:dyDescent="0.25">
      <c r="K165" t="str">
        <f t="shared" ca="1" si="6"/>
        <v/>
      </c>
      <c r="O165" s="13" t="str">
        <f t="shared" si="7"/>
        <v/>
      </c>
      <c r="P165" t="str">
        <f t="shared" ca="1" si="8"/>
        <v/>
      </c>
    </row>
    <row r="166" spans="11:16" x14ac:dyDescent="0.25">
      <c r="K166" t="str">
        <f t="shared" ca="1" si="6"/>
        <v/>
      </c>
      <c r="O166" s="13" t="str">
        <f t="shared" si="7"/>
        <v/>
      </c>
      <c r="P166" t="str">
        <f t="shared" ca="1" si="8"/>
        <v/>
      </c>
    </row>
    <row r="167" spans="11:16" x14ac:dyDescent="0.25">
      <c r="K167" t="str">
        <f t="shared" ca="1" si="6"/>
        <v/>
      </c>
      <c r="O167" s="13" t="str">
        <f t="shared" si="7"/>
        <v/>
      </c>
      <c r="P167" t="str">
        <f t="shared" ca="1" si="8"/>
        <v/>
      </c>
    </row>
    <row r="168" spans="11:16" x14ac:dyDescent="0.25">
      <c r="K168" t="str">
        <f t="shared" ca="1" si="6"/>
        <v/>
      </c>
      <c r="O168" s="13" t="str">
        <f t="shared" si="7"/>
        <v/>
      </c>
      <c r="P168" t="str">
        <f t="shared" ca="1" si="8"/>
        <v/>
      </c>
    </row>
    <row r="169" spans="11:16" x14ac:dyDescent="0.25">
      <c r="K169" t="str">
        <f t="shared" ca="1" si="6"/>
        <v/>
      </c>
      <c r="O169" s="13" t="str">
        <f t="shared" si="7"/>
        <v/>
      </c>
      <c r="P169" t="str">
        <f t="shared" ca="1" si="8"/>
        <v/>
      </c>
    </row>
    <row r="170" spans="11:16" x14ac:dyDescent="0.25">
      <c r="K170" t="str">
        <f t="shared" ca="1" si="6"/>
        <v/>
      </c>
      <c r="O170" s="13" t="str">
        <f t="shared" si="7"/>
        <v/>
      </c>
      <c r="P170" t="str">
        <f t="shared" ca="1" si="8"/>
        <v/>
      </c>
    </row>
    <row r="171" spans="11:16" x14ac:dyDescent="0.25">
      <c r="K171" t="str">
        <f t="shared" ca="1" si="6"/>
        <v/>
      </c>
      <c r="O171" s="13" t="str">
        <f t="shared" si="7"/>
        <v/>
      </c>
      <c r="P171" t="str">
        <f t="shared" ca="1" si="8"/>
        <v/>
      </c>
    </row>
    <row r="172" spans="11:16" x14ac:dyDescent="0.25">
      <c r="K172" t="str">
        <f t="shared" ca="1" si="6"/>
        <v/>
      </c>
      <c r="O172" s="13" t="str">
        <f t="shared" si="7"/>
        <v/>
      </c>
      <c r="P172" t="str">
        <f t="shared" ca="1" si="8"/>
        <v/>
      </c>
    </row>
    <row r="173" spans="11:16" x14ac:dyDescent="0.25">
      <c r="K173" t="str">
        <f t="shared" ca="1" si="6"/>
        <v/>
      </c>
      <c r="O173" s="13" t="str">
        <f t="shared" si="7"/>
        <v/>
      </c>
      <c r="P173" t="str">
        <f t="shared" ca="1" si="8"/>
        <v/>
      </c>
    </row>
    <row r="174" spans="11:16" x14ac:dyDescent="0.25">
      <c r="K174" t="str">
        <f t="shared" ca="1" si="6"/>
        <v/>
      </c>
      <c r="O174" s="13" t="str">
        <f t="shared" si="7"/>
        <v/>
      </c>
      <c r="P174" t="str">
        <f t="shared" ca="1" si="8"/>
        <v/>
      </c>
    </row>
    <row r="175" spans="11:16" x14ac:dyDescent="0.25">
      <c r="K175" t="str">
        <f t="shared" ca="1" si="6"/>
        <v/>
      </c>
      <c r="O175" s="13" t="str">
        <f t="shared" si="7"/>
        <v/>
      </c>
      <c r="P175" t="str">
        <f t="shared" ca="1" si="8"/>
        <v/>
      </c>
    </row>
    <row r="176" spans="11:16" x14ac:dyDescent="0.25">
      <c r="K176" t="str">
        <f t="shared" ca="1" si="6"/>
        <v/>
      </c>
      <c r="O176" s="13" t="str">
        <f t="shared" si="7"/>
        <v/>
      </c>
      <c r="P176" t="str">
        <f t="shared" ca="1" si="8"/>
        <v/>
      </c>
    </row>
    <row r="177" spans="11:16" x14ac:dyDescent="0.25">
      <c r="K177" t="str">
        <f t="shared" ca="1" si="6"/>
        <v/>
      </c>
      <c r="O177" s="13" t="str">
        <f t="shared" si="7"/>
        <v/>
      </c>
      <c r="P177" t="str">
        <f t="shared" ca="1" si="8"/>
        <v/>
      </c>
    </row>
    <row r="178" spans="11:16" x14ac:dyDescent="0.25">
      <c r="K178" t="str">
        <f t="shared" ca="1" si="6"/>
        <v/>
      </c>
      <c r="O178" s="13" t="str">
        <f t="shared" si="7"/>
        <v/>
      </c>
      <c r="P178" t="str">
        <f t="shared" ca="1" si="8"/>
        <v/>
      </c>
    </row>
    <row r="179" spans="11:16" x14ac:dyDescent="0.25">
      <c r="K179" t="str">
        <f t="shared" ca="1" si="6"/>
        <v/>
      </c>
      <c r="O179" s="13" t="str">
        <f t="shared" si="7"/>
        <v/>
      </c>
      <c r="P179" t="str">
        <f t="shared" ca="1" si="8"/>
        <v/>
      </c>
    </row>
    <row r="180" spans="11:16" x14ac:dyDescent="0.25">
      <c r="K180" t="str">
        <f t="shared" ca="1" si="6"/>
        <v/>
      </c>
      <c r="O180" s="13" t="str">
        <f t="shared" si="7"/>
        <v/>
      </c>
      <c r="P180" t="str">
        <f t="shared" ca="1" si="8"/>
        <v/>
      </c>
    </row>
    <row r="181" spans="11:16" x14ac:dyDescent="0.25">
      <c r="K181" t="str">
        <f t="shared" ca="1" si="6"/>
        <v/>
      </c>
      <c r="O181" s="13" t="str">
        <f t="shared" si="7"/>
        <v/>
      </c>
      <c r="P181" t="str">
        <f t="shared" ca="1" si="8"/>
        <v/>
      </c>
    </row>
    <row r="182" spans="11:16" x14ac:dyDescent="0.25">
      <c r="K182" t="str">
        <f t="shared" ca="1" si="6"/>
        <v/>
      </c>
      <c r="O182" s="13" t="str">
        <f t="shared" si="7"/>
        <v/>
      </c>
      <c r="P182" t="str">
        <f t="shared" ca="1" si="8"/>
        <v/>
      </c>
    </row>
    <row r="183" spans="11:16" x14ac:dyDescent="0.25">
      <c r="K183" t="str">
        <f t="shared" ca="1" si="6"/>
        <v/>
      </c>
      <c r="O183" s="13" t="str">
        <f t="shared" si="7"/>
        <v/>
      </c>
      <c r="P183" t="str">
        <f t="shared" ca="1" si="8"/>
        <v/>
      </c>
    </row>
    <row r="184" spans="11:16" x14ac:dyDescent="0.25">
      <c r="K184" t="str">
        <f t="shared" ca="1" si="6"/>
        <v/>
      </c>
      <c r="O184" s="13" t="str">
        <f t="shared" si="7"/>
        <v/>
      </c>
      <c r="P184" t="str">
        <f t="shared" ca="1" si="8"/>
        <v/>
      </c>
    </row>
    <row r="185" spans="11:16" x14ac:dyDescent="0.25">
      <c r="K185" t="str">
        <f t="shared" ca="1" si="6"/>
        <v/>
      </c>
      <c r="O185" s="13" t="str">
        <f t="shared" si="7"/>
        <v/>
      </c>
      <c r="P185" t="str">
        <f t="shared" ca="1" si="8"/>
        <v/>
      </c>
    </row>
    <row r="186" spans="11:16" x14ac:dyDescent="0.25">
      <c r="K186" t="str">
        <f t="shared" ca="1" si="6"/>
        <v/>
      </c>
      <c r="O186" s="13" t="str">
        <f t="shared" si="7"/>
        <v/>
      </c>
      <c r="P186" t="str">
        <f t="shared" ca="1" si="8"/>
        <v/>
      </c>
    </row>
    <row r="187" spans="11:16" x14ac:dyDescent="0.25">
      <c r="K187" t="str">
        <f t="shared" ca="1" si="6"/>
        <v/>
      </c>
      <c r="O187" s="13" t="str">
        <f t="shared" si="7"/>
        <v/>
      </c>
      <c r="P187" t="str">
        <f t="shared" ca="1" si="8"/>
        <v/>
      </c>
    </row>
    <row r="188" spans="11:16" x14ac:dyDescent="0.25">
      <c r="K188" t="str">
        <f t="shared" ca="1" si="6"/>
        <v/>
      </c>
      <c r="O188" s="13" t="str">
        <f t="shared" si="7"/>
        <v/>
      </c>
      <c r="P188" t="str">
        <f t="shared" ca="1" si="8"/>
        <v/>
      </c>
    </row>
    <row r="189" spans="11:16" x14ac:dyDescent="0.25">
      <c r="K189" t="str">
        <f t="shared" ca="1" si="6"/>
        <v/>
      </c>
      <c r="O189" s="13" t="str">
        <f t="shared" si="7"/>
        <v/>
      </c>
      <c r="P189" t="str">
        <f t="shared" ca="1" si="8"/>
        <v/>
      </c>
    </row>
    <row r="190" spans="11:16" x14ac:dyDescent="0.25">
      <c r="K190" t="str">
        <f t="shared" ca="1" si="6"/>
        <v/>
      </c>
      <c r="O190" s="13" t="str">
        <f t="shared" si="7"/>
        <v/>
      </c>
      <c r="P190" t="str">
        <f t="shared" ca="1" si="8"/>
        <v/>
      </c>
    </row>
    <row r="191" spans="11:16" x14ac:dyDescent="0.25">
      <c r="K191" t="str">
        <f t="shared" ca="1" si="6"/>
        <v/>
      </c>
      <c r="O191" s="13" t="str">
        <f t="shared" si="7"/>
        <v/>
      </c>
      <c r="P191" t="str">
        <f t="shared" ca="1" si="8"/>
        <v/>
      </c>
    </row>
    <row r="192" spans="11:16" x14ac:dyDescent="0.25">
      <c r="K192" t="str">
        <f t="shared" ca="1" si="6"/>
        <v/>
      </c>
      <c r="O192" s="13" t="str">
        <f t="shared" si="7"/>
        <v/>
      </c>
      <c r="P192" t="str">
        <f t="shared" ca="1" si="8"/>
        <v/>
      </c>
    </row>
    <row r="193" spans="11:16" x14ac:dyDescent="0.25">
      <c r="K193" t="str">
        <f t="shared" ca="1" si="6"/>
        <v/>
      </c>
      <c r="O193" s="13" t="str">
        <f t="shared" si="7"/>
        <v/>
      </c>
      <c r="P193" t="str">
        <f t="shared" ca="1" si="8"/>
        <v/>
      </c>
    </row>
    <row r="194" spans="11:16" x14ac:dyDescent="0.25">
      <c r="K194" t="str">
        <f t="shared" ref="K194:K257" ca="1" si="9">IF(A194="","",IF(I194&lt;&gt;"",I194-G194,IF(G194&lt;&gt;"",TODAY()-G194,"")))</f>
        <v/>
      </c>
      <c r="O194" s="13" t="str">
        <f t="shared" ref="O194:O257" si="10">IF(A194="","",MAX(F194+0,G194+0,H194+0,I194+0))</f>
        <v/>
      </c>
      <c r="P194" t="str">
        <f t="shared" ref="P194:P257" ca="1" si="11">IF(A194="","",IF(OR(J194="Approved",J194="Approved as Noted"),"",TODAY()-O194))</f>
        <v/>
      </c>
    </row>
    <row r="195" spans="11:16" x14ac:dyDescent="0.25">
      <c r="K195" t="str">
        <f t="shared" ca="1" si="9"/>
        <v/>
      </c>
      <c r="O195" s="13" t="str">
        <f t="shared" si="10"/>
        <v/>
      </c>
      <c r="P195" t="str">
        <f t="shared" ca="1" si="11"/>
        <v/>
      </c>
    </row>
    <row r="196" spans="11:16" x14ac:dyDescent="0.25">
      <c r="K196" t="str">
        <f t="shared" ca="1" si="9"/>
        <v/>
      </c>
      <c r="O196" s="13" t="str">
        <f t="shared" si="10"/>
        <v/>
      </c>
      <c r="P196" t="str">
        <f t="shared" ca="1" si="11"/>
        <v/>
      </c>
    </row>
    <row r="197" spans="11:16" x14ac:dyDescent="0.25">
      <c r="K197" t="str">
        <f t="shared" ca="1" si="9"/>
        <v/>
      </c>
      <c r="O197" s="13" t="str">
        <f t="shared" si="10"/>
        <v/>
      </c>
      <c r="P197" t="str">
        <f t="shared" ca="1" si="11"/>
        <v/>
      </c>
    </row>
    <row r="198" spans="11:16" x14ac:dyDescent="0.25">
      <c r="K198" t="str">
        <f t="shared" ca="1" si="9"/>
        <v/>
      </c>
      <c r="O198" s="13" t="str">
        <f t="shared" si="10"/>
        <v/>
      </c>
      <c r="P198" t="str">
        <f t="shared" ca="1" si="11"/>
        <v/>
      </c>
    </row>
    <row r="199" spans="11:16" x14ac:dyDescent="0.25">
      <c r="K199" t="str">
        <f t="shared" ca="1" si="9"/>
        <v/>
      </c>
      <c r="O199" s="13" t="str">
        <f t="shared" si="10"/>
        <v/>
      </c>
      <c r="P199" t="str">
        <f t="shared" ca="1" si="11"/>
        <v/>
      </c>
    </row>
    <row r="200" spans="11:16" x14ac:dyDescent="0.25">
      <c r="K200" t="str">
        <f t="shared" ca="1" si="9"/>
        <v/>
      </c>
      <c r="O200" s="13" t="str">
        <f t="shared" si="10"/>
        <v/>
      </c>
      <c r="P200" t="str">
        <f t="shared" ca="1" si="11"/>
        <v/>
      </c>
    </row>
    <row r="201" spans="11:16" x14ac:dyDescent="0.25">
      <c r="K201" t="str">
        <f t="shared" ca="1" si="9"/>
        <v/>
      </c>
      <c r="O201" s="13" t="str">
        <f t="shared" si="10"/>
        <v/>
      </c>
      <c r="P201" t="str">
        <f t="shared" ca="1" si="11"/>
        <v/>
      </c>
    </row>
    <row r="202" spans="11:16" x14ac:dyDescent="0.25">
      <c r="K202" t="str">
        <f t="shared" ca="1" si="9"/>
        <v/>
      </c>
      <c r="O202" s="13" t="str">
        <f t="shared" si="10"/>
        <v/>
      </c>
      <c r="P202" t="str">
        <f t="shared" ca="1" si="11"/>
        <v/>
      </c>
    </row>
    <row r="203" spans="11:16" x14ac:dyDescent="0.25">
      <c r="K203" t="str">
        <f t="shared" ca="1" si="9"/>
        <v/>
      </c>
      <c r="O203" s="13" t="str">
        <f t="shared" si="10"/>
        <v/>
      </c>
      <c r="P203" t="str">
        <f t="shared" ca="1" si="11"/>
        <v/>
      </c>
    </row>
    <row r="204" spans="11:16" x14ac:dyDescent="0.25">
      <c r="K204" t="str">
        <f t="shared" ca="1" si="9"/>
        <v/>
      </c>
      <c r="O204" s="13" t="str">
        <f t="shared" si="10"/>
        <v/>
      </c>
      <c r="P204" t="str">
        <f t="shared" ca="1" si="11"/>
        <v/>
      </c>
    </row>
    <row r="205" spans="11:16" x14ac:dyDescent="0.25">
      <c r="K205" t="str">
        <f t="shared" ca="1" si="9"/>
        <v/>
      </c>
      <c r="O205" s="13" t="str">
        <f t="shared" si="10"/>
        <v/>
      </c>
      <c r="P205" t="str">
        <f t="shared" ca="1" si="11"/>
        <v/>
      </c>
    </row>
    <row r="206" spans="11:16" x14ac:dyDescent="0.25">
      <c r="K206" t="str">
        <f t="shared" ca="1" si="9"/>
        <v/>
      </c>
      <c r="O206" s="13" t="str">
        <f t="shared" si="10"/>
        <v/>
      </c>
      <c r="P206" t="str">
        <f t="shared" ca="1" si="11"/>
        <v/>
      </c>
    </row>
    <row r="207" spans="11:16" x14ac:dyDescent="0.25">
      <c r="K207" t="str">
        <f t="shared" ca="1" si="9"/>
        <v/>
      </c>
      <c r="O207" s="13" t="str">
        <f t="shared" si="10"/>
        <v/>
      </c>
      <c r="P207" t="str">
        <f t="shared" ca="1" si="11"/>
        <v/>
      </c>
    </row>
    <row r="208" spans="11:16" x14ac:dyDescent="0.25">
      <c r="K208" t="str">
        <f t="shared" ca="1" si="9"/>
        <v/>
      </c>
      <c r="O208" s="13" t="str">
        <f t="shared" si="10"/>
        <v/>
      </c>
      <c r="P208" t="str">
        <f t="shared" ca="1" si="11"/>
        <v/>
      </c>
    </row>
    <row r="209" spans="11:16" x14ac:dyDescent="0.25">
      <c r="K209" t="str">
        <f t="shared" ca="1" si="9"/>
        <v/>
      </c>
      <c r="O209" s="13" t="str">
        <f t="shared" si="10"/>
        <v/>
      </c>
      <c r="P209" t="str">
        <f t="shared" ca="1" si="11"/>
        <v/>
      </c>
    </row>
    <row r="210" spans="11:16" x14ac:dyDescent="0.25">
      <c r="K210" t="str">
        <f t="shared" ca="1" si="9"/>
        <v/>
      </c>
      <c r="O210" s="13" t="str">
        <f t="shared" si="10"/>
        <v/>
      </c>
      <c r="P210" t="str">
        <f t="shared" ca="1" si="11"/>
        <v/>
      </c>
    </row>
    <row r="211" spans="11:16" x14ac:dyDescent="0.25">
      <c r="K211" t="str">
        <f t="shared" ca="1" si="9"/>
        <v/>
      </c>
      <c r="O211" s="13" t="str">
        <f t="shared" si="10"/>
        <v/>
      </c>
      <c r="P211" t="str">
        <f t="shared" ca="1" si="11"/>
        <v/>
      </c>
    </row>
    <row r="212" spans="11:16" x14ac:dyDescent="0.25">
      <c r="K212" t="str">
        <f t="shared" ca="1" si="9"/>
        <v/>
      </c>
      <c r="O212" s="13" t="str">
        <f t="shared" si="10"/>
        <v/>
      </c>
      <c r="P212" t="str">
        <f t="shared" ca="1" si="11"/>
        <v/>
      </c>
    </row>
    <row r="213" spans="11:16" x14ac:dyDescent="0.25">
      <c r="K213" t="str">
        <f t="shared" ca="1" si="9"/>
        <v/>
      </c>
      <c r="O213" s="13" t="str">
        <f t="shared" si="10"/>
        <v/>
      </c>
      <c r="P213" t="str">
        <f t="shared" ca="1" si="11"/>
        <v/>
      </c>
    </row>
    <row r="214" spans="11:16" x14ac:dyDescent="0.25">
      <c r="K214" t="str">
        <f t="shared" ca="1" si="9"/>
        <v/>
      </c>
      <c r="O214" s="13" t="str">
        <f t="shared" si="10"/>
        <v/>
      </c>
      <c r="P214" t="str">
        <f t="shared" ca="1" si="11"/>
        <v/>
      </c>
    </row>
    <row r="215" spans="11:16" x14ac:dyDescent="0.25">
      <c r="K215" t="str">
        <f t="shared" ca="1" si="9"/>
        <v/>
      </c>
      <c r="O215" s="13" t="str">
        <f t="shared" si="10"/>
        <v/>
      </c>
      <c r="P215" t="str">
        <f t="shared" ca="1" si="11"/>
        <v/>
      </c>
    </row>
    <row r="216" spans="11:16" x14ac:dyDescent="0.25">
      <c r="K216" t="str">
        <f t="shared" ca="1" si="9"/>
        <v/>
      </c>
      <c r="O216" s="13" t="str">
        <f t="shared" si="10"/>
        <v/>
      </c>
      <c r="P216" t="str">
        <f t="shared" ca="1" si="11"/>
        <v/>
      </c>
    </row>
    <row r="217" spans="11:16" x14ac:dyDescent="0.25">
      <c r="K217" t="str">
        <f t="shared" ca="1" si="9"/>
        <v/>
      </c>
      <c r="O217" s="13" t="str">
        <f t="shared" si="10"/>
        <v/>
      </c>
      <c r="P217" t="str">
        <f t="shared" ca="1" si="11"/>
        <v/>
      </c>
    </row>
    <row r="218" spans="11:16" x14ac:dyDescent="0.25">
      <c r="K218" t="str">
        <f t="shared" ca="1" si="9"/>
        <v/>
      </c>
      <c r="O218" s="13" t="str">
        <f t="shared" si="10"/>
        <v/>
      </c>
      <c r="P218" t="str">
        <f t="shared" ca="1" si="11"/>
        <v/>
      </c>
    </row>
    <row r="219" spans="11:16" x14ac:dyDescent="0.25">
      <c r="K219" t="str">
        <f t="shared" ca="1" si="9"/>
        <v/>
      </c>
      <c r="O219" s="13" t="str">
        <f t="shared" si="10"/>
        <v/>
      </c>
      <c r="P219" t="str">
        <f t="shared" ca="1" si="11"/>
        <v/>
      </c>
    </row>
    <row r="220" spans="11:16" x14ac:dyDescent="0.25">
      <c r="K220" t="str">
        <f t="shared" ca="1" si="9"/>
        <v/>
      </c>
      <c r="O220" s="13" t="str">
        <f t="shared" si="10"/>
        <v/>
      </c>
      <c r="P220" t="str">
        <f t="shared" ca="1" si="11"/>
        <v/>
      </c>
    </row>
    <row r="221" spans="11:16" x14ac:dyDescent="0.25">
      <c r="K221" t="str">
        <f t="shared" ca="1" si="9"/>
        <v/>
      </c>
      <c r="O221" s="13" t="str">
        <f t="shared" si="10"/>
        <v/>
      </c>
      <c r="P221" t="str">
        <f t="shared" ca="1" si="11"/>
        <v/>
      </c>
    </row>
    <row r="222" spans="11:16" x14ac:dyDescent="0.25">
      <c r="K222" t="str">
        <f t="shared" ca="1" si="9"/>
        <v/>
      </c>
      <c r="O222" s="13" t="str">
        <f t="shared" si="10"/>
        <v/>
      </c>
      <c r="P222" t="str">
        <f t="shared" ca="1" si="11"/>
        <v/>
      </c>
    </row>
    <row r="223" spans="11:16" x14ac:dyDescent="0.25">
      <c r="K223" t="str">
        <f t="shared" ca="1" si="9"/>
        <v/>
      </c>
      <c r="O223" s="13" t="str">
        <f t="shared" si="10"/>
        <v/>
      </c>
      <c r="P223" t="str">
        <f t="shared" ca="1" si="11"/>
        <v/>
      </c>
    </row>
    <row r="224" spans="11:16" x14ac:dyDescent="0.25">
      <c r="K224" t="str">
        <f t="shared" ca="1" si="9"/>
        <v/>
      </c>
      <c r="O224" s="13" t="str">
        <f t="shared" si="10"/>
        <v/>
      </c>
      <c r="P224" t="str">
        <f t="shared" ca="1" si="11"/>
        <v/>
      </c>
    </row>
    <row r="225" spans="11:16" x14ac:dyDescent="0.25">
      <c r="K225" t="str">
        <f t="shared" ca="1" si="9"/>
        <v/>
      </c>
      <c r="O225" s="13" t="str">
        <f t="shared" si="10"/>
        <v/>
      </c>
      <c r="P225" t="str">
        <f t="shared" ca="1" si="11"/>
        <v/>
      </c>
    </row>
    <row r="226" spans="11:16" x14ac:dyDescent="0.25">
      <c r="K226" t="str">
        <f t="shared" ca="1" si="9"/>
        <v/>
      </c>
      <c r="O226" s="13" t="str">
        <f t="shared" si="10"/>
        <v/>
      </c>
      <c r="P226" t="str">
        <f t="shared" ca="1" si="11"/>
        <v/>
      </c>
    </row>
    <row r="227" spans="11:16" x14ac:dyDescent="0.25">
      <c r="K227" t="str">
        <f t="shared" ca="1" si="9"/>
        <v/>
      </c>
      <c r="O227" s="13" t="str">
        <f t="shared" si="10"/>
        <v/>
      </c>
      <c r="P227" t="str">
        <f t="shared" ca="1" si="11"/>
        <v/>
      </c>
    </row>
    <row r="228" spans="11:16" x14ac:dyDescent="0.25">
      <c r="K228" t="str">
        <f t="shared" ca="1" si="9"/>
        <v/>
      </c>
      <c r="O228" s="13" t="str">
        <f t="shared" si="10"/>
        <v/>
      </c>
      <c r="P228" t="str">
        <f t="shared" ca="1" si="11"/>
        <v/>
      </c>
    </row>
    <row r="229" spans="11:16" x14ac:dyDescent="0.25">
      <c r="K229" t="str">
        <f t="shared" ca="1" si="9"/>
        <v/>
      </c>
      <c r="O229" s="13" t="str">
        <f t="shared" si="10"/>
        <v/>
      </c>
      <c r="P229" t="str">
        <f t="shared" ca="1" si="11"/>
        <v/>
      </c>
    </row>
    <row r="230" spans="11:16" x14ac:dyDescent="0.25">
      <c r="K230" t="str">
        <f t="shared" ca="1" si="9"/>
        <v/>
      </c>
      <c r="O230" s="13" t="str">
        <f t="shared" si="10"/>
        <v/>
      </c>
      <c r="P230" t="str">
        <f t="shared" ca="1" si="11"/>
        <v/>
      </c>
    </row>
    <row r="231" spans="11:16" x14ac:dyDescent="0.25">
      <c r="K231" t="str">
        <f t="shared" ca="1" si="9"/>
        <v/>
      </c>
      <c r="O231" s="13" t="str">
        <f t="shared" si="10"/>
        <v/>
      </c>
      <c r="P231" t="str">
        <f t="shared" ca="1" si="11"/>
        <v/>
      </c>
    </row>
    <row r="232" spans="11:16" x14ac:dyDescent="0.25">
      <c r="K232" t="str">
        <f t="shared" ca="1" si="9"/>
        <v/>
      </c>
      <c r="O232" s="13" t="str">
        <f t="shared" si="10"/>
        <v/>
      </c>
      <c r="P232" t="str">
        <f t="shared" ca="1" si="11"/>
        <v/>
      </c>
    </row>
    <row r="233" spans="11:16" x14ac:dyDescent="0.25">
      <c r="K233" t="str">
        <f t="shared" ca="1" si="9"/>
        <v/>
      </c>
      <c r="O233" s="13" t="str">
        <f t="shared" si="10"/>
        <v/>
      </c>
      <c r="P233" t="str">
        <f t="shared" ca="1" si="11"/>
        <v/>
      </c>
    </row>
    <row r="234" spans="11:16" x14ac:dyDescent="0.25">
      <c r="K234" t="str">
        <f t="shared" ca="1" si="9"/>
        <v/>
      </c>
      <c r="O234" s="13" t="str">
        <f t="shared" si="10"/>
        <v/>
      </c>
      <c r="P234" t="str">
        <f t="shared" ca="1" si="11"/>
        <v/>
      </c>
    </row>
    <row r="235" spans="11:16" x14ac:dyDescent="0.25">
      <c r="K235" t="str">
        <f t="shared" ca="1" si="9"/>
        <v/>
      </c>
      <c r="O235" s="13" t="str">
        <f t="shared" si="10"/>
        <v/>
      </c>
      <c r="P235" t="str">
        <f t="shared" ca="1" si="11"/>
        <v/>
      </c>
    </row>
    <row r="236" spans="11:16" x14ac:dyDescent="0.25">
      <c r="K236" t="str">
        <f t="shared" ca="1" si="9"/>
        <v/>
      </c>
      <c r="O236" s="13" t="str">
        <f t="shared" si="10"/>
        <v/>
      </c>
      <c r="P236" t="str">
        <f t="shared" ca="1" si="11"/>
        <v/>
      </c>
    </row>
    <row r="237" spans="11:16" x14ac:dyDescent="0.25">
      <c r="K237" t="str">
        <f t="shared" ca="1" si="9"/>
        <v/>
      </c>
      <c r="O237" s="13" t="str">
        <f t="shared" si="10"/>
        <v/>
      </c>
      <c r="P237" t="str">
        <f t="shared" ca="1" si="11"/>
        <v/>
      </c>
    </row>
    <row r="238" spans="11:16" x14ac:dyDescent="0.25">
      <c r="K238" t="str">
        <f t="shared" ca="1" si="9"/>
        <v/>
      </c>
      <c r="O238" s="13" t="str">
        <f t="shared" si="10"/>
        <v/>
      </c>
      <c r="P238" t="str">
        <f t="shared" ca="1" si="11"/>
        <v/>
      </c>
    </row>
    <row r="239" spans="11:16" x14ac:dyDescent="0.25">
      <c r="K239" t="str">
        <f t="shared" ca="1" si="9"/>
        <v/>
      </c>
      <c r="O239" s="13" t="str">
        <f t="shared" si="10"/>
        <v/>
      </c>
      <c r="P239" t="str">
        <f t="shared" ca="1" si="11"/>
        <v/>
      </c>
    </row>
    <row r="240" spans="11:16" x14ac:dyDescent="0.25">
      <c r="K240" t="str">
        <f t="shared" ca="1" si="9"/>
        <v/>
      </c>
      <c r="O240" s="13" t="str">
        <f t="shared" si="10"/>
        <v/>
      </c>
      <c r="P240" t="str">
        <f t="shared" ca="1" si="11"/>
        <v/>
      </c>
    </row>
    <row r="241" spans="11:16" x14ac:dyDescent="0.25">
      <c r="K241" t="str">
        <f t="shared" ca="1" si="9"/>
        <v/>
      </c>
      <c r="O241" s="13" t="str">
        <f t="shared" si="10"/>
        <v/>
      </c>
      <c r="P241" t="str">
        <f t="shared" ca="1" si="11"/>
        <v/>
      </c>
    </row>
    <row r="242" spans="11:16" x14ac:dyDescent="0.25">
      <c r="K242" t="str">
        <f t="shared" ca="1" si="9"/>
        <v/>
      </c>
      <c r="O242" s="13" t="str">
        <f t="shared" si="10"/>
        <v/>
      </c>
      <c r="P242" t="str">
        <f t="shared" ca="1" si="11"/>
        <v/>
      </c>
    </row>
    <row r="243" spans="11:16" x14ac:dyDescent="0.25">
      <c r="K243" t="str">
        <f t="shared" ca="1" si="9"/>
        <v/>
      </c>
      <c r="O243" s="13" t="str">
        <f t="shared" si="10"/>
        <v/>
      </c>
      <c r="P243" t="str">
        <f t="shared" ca="1" si="11"/>
        <v/>
      </c>
    </row>
    <row r="244" spans="11:16" x14ac:dyDescent="0.25">
      <c r="K244" t="str">
        <f t="shared" ca="1" si="9"/>
        <v/>
      </c>
      <c r="O244" s="13" t="str">
        <f t="shared" si="10"/>
        <v/>
      </c>
      <c r="P244" t="str">
        <f t="shared" ca="1" si="11"/>
        <v/>
      </c>
    </row>
    <row r="245" spans="11:16" x14ac:dyDescent="0.25">
      <c r="K245" t="str">
        <f t="shared" ca="1" si="9"/>
        <v/>
      </c>
      <c r="O245" s="13" t="str">
        <f t="shared" si="10"/>
        <v/>
      </c>
      <c r="P245" t="str">
        <f t="shared" ca="1" si="11"/>
        <v/>
      </c>
    </row>
    <row r="246" spans="11:16" x14ac:dyDescent="0.25">
      <c r="K246" t="str">
        <f t="shared" ca="1" si="9"/>
        <v/>
      </c>
      <c r="O246" s="13" t="str">
        <f t="shared" si="10"/>
        <v/>
      </c>
      <c r="P246" t="str">
        <f t="shared" ca="1" si="11"/>
        <v/>
      </c>
    </row>
    <row r="247" spans="11:16" x14ac:dyDescent="0.25">
      <c r="K247" t="str">
        <f t="shared" ca="1" si="9"/>
        <v/>
      </c>
      <c r="O247" s="13" t="str">
        <f t="shared" si="10"/>
        <v/>
      </c>
      <c r="P247" t="str">
        <f t="shared" ca="1" si="11"/>
        <v/>
      </c>
    </row>
    <row r="248" spans="11:16" x14ac:dyDescent="0.25">
      <c r="K248" t="str">
        <f t="shared" ca="1" si="9"/>
        <v/>
      </c>
      <c r="O248" s="13" t="str">
        <f t="shared" si="10"/>
        <v/>
      </c>
      <c r="P248" t="str">
        <f t="shared" ca="1" si="11"/>
        <v/>
      </c>
    </row>
    <row r="249" spans="11:16" x14ac:dyDescent="0.25">
      <c r="K249" t="str">
        <f t="shared" ca="1" si="9"/>
        <v/>
      </c>
      <c r="O249" s="13" t="str">
        <f t="shared" si="10"/>
        <v/>
      </c>
      <c r="P249" t="str">
        <f t="shared" ca="1" si="11"/>
        <v/>
      </c>
    </row>
    <row r="250" spans="11:16" x14ac:dyDescent="0.25">
      <c r="K250" t="str">
        <f t="shared" ca="1" si="9"/>
        <v/>
      </c>
      <c r="O250" s="13" t="str">
        <f t="shared" si="10"/>
        <v/>
      </c>
      <c r="P250" t="str">
        <f t="shared" ca="1" si="11"/>
        <v/>
      </c>
    </row>
    <row r="251" spans="11:16" x14ac:dyDescent="0.25">
      <c r="K251" t="str">
        <f t="shared" ca="1" si="9"/>
        <v/>
      </c>
      <c r="O251" s="13" t="str">
        <f t="shared" si="10"/>
        <v/>
      </c>
      <c r="P251" t="str">
        <f t="shared" ca="1" si="11"/>
        <v/>
      </c>
    </row>
    <row r="252" spans="11:16" x14ac:dyDescent="0.25">
      <c r="K252" t="str">
        <f t="shared" ca="1" si="9"/>
        <v/>
      </c>
      <c r="O252" s="13" t="str">
        <f t="shared" si="10"/>
        <v/>
      </c>
      <c r="P252" t="str">
        <f t="shared" ca="1" si="11"/>
        <v/>
      </c>
    </row>
    <row r="253" spans="11:16" x14ac:dyDescent="0.25">
      <c r="K253" t="str">
        <f t="shared" ca="1" si="9"/>
        <v/>
      </c>
      <c r="O253" s="13" t="str">
        <f t="shared" si="10"/>
        <v/>
      </c>
      <c r="P253" t="str">
        <f t="shared" ca="1" si="11"/>
        <v/>
      </c>
    </row>
    <row r="254" spans="11:16" x14ac:dyDescent="0.25">
      <c r="K254" t="str">
        <f t="shared" ca="1" si="9"/>
        <v/>
      </c>
      <c r="O254" s="13" t="str">
        <f t="shared" si="10"/>
        <v/>
      </c>
      <c r="P254" t="str">
        <f t="shared" ca="1" si="11"/>
        <v/>
      </c>
    </row>
    <row r="255" spans="11:16" x14ac:dyDescent="0.25">
      <c r="K255" t="str">
        <f t="shared" ca="1" si="9"/>
        <v/>
      </c>
      <c r="O255" s="13" t="str">
        <f t="shared" si="10"/>
        <v/>
      </c>
      <c r="P255" t="str">
        <f t="shared" ca="1" si="11"/>
        <v/>
      </c>
    </row>
    <row r="256" spans="11:16" x14ac:dyDescent="0.25">
      <c r="K256" t="str">
        <f t="shared" ca="1" si="9"/>
        <v/>
      </c>
      <c r="O256" s="13" t="str">
        <f t="shared" si="10"/>
        <v/>
      </c>
      <c r="P256" t="str">
        <f t="shared" ca="1" si="11"/>
        <v/>
      </c>
    </row>
    <row r="257" spans="11:16" x14ac:dyDescent="0.25">
      <c r="K257" t="str">
        <f t="shared" ca="1" si="9"/>
        <v/>
      </c>
      <c r="O257" s="13" t="str">
        <f t="shared" si="10"/>
        <v/>
      </c>
      <c r="P257" t="str">
        <f t="shared" ca="1" si="11"/>
        <v/>
      </c>
    </row>
    <row r="258" spans="11:16" x14ac:dyDescent="0.25">
      <c r="K258" t="str">
        <f t="shared" ref="K258:K298" ca="1" si="12">IF(A258="","",IF(I258&lt;&gt;"",I258-G258,IF(G258&lt;&gt;"",TODAY()-G258,"")))</f>
        <v/>
      </c>
      <c r="O258" s="13" t="str">
        <f t="shared" ref="O258:O298" si="13">IF(A258="","",MAX(F258+0,G258+0,H258+0,I258+0))</f>
        <v/>
      </c>
      <c r="P258" t="str">
        <f t="shared" ref="P258:P298" ca="1" si="14">IF(A258="","",IF(OR(J258="Approved",J258="Approved as Noted"),"",TODAY()-O258))</f>
        <v/>
      </c>
    </row>
    <row r="259" spans="11:16" x14ac:dyDescent="0.25">
      <c r="K259" t="str">
        <f t="shared" ca="1" si="12"/>
        <v/>
      </c>
      <c r="O259" s="13" t="str">
        <f t="shared" si="13"/>
        <v/>
      </c>
      <c r="P259" t="str">
        <f t="shared" ca="1" si="14"/>
        <v/>
      </c>
    </row>
    <row r="260" spans="11:16" x14ac:dyDescent="0.25">
      <c r="K260" t="str">
        <f t="shared" ca="1" si="12"/>
        <v/>
      </c>
      <c r="O260" s="13" t="str">
        <f t="shared" si="13"/>
        <v/>
      </c>
      <c r="P260" t="str">
        <f t="shared" ca="1" si="14"/>
        <v/>
      </c>
    </row>
    <row r="261" spans="11:16" x14ac:dyDescent="0.25">
      <c r="K261" t="str">
        <f t="shared" ca="1" si="12"/>
        <v/>
      </c>
      <c r="O261" s="13" t="str">
        <f t="shared" si="13"/>
        <v/>
      </c>
      <c r="P261" t="str">
        <f t="shared" ca="1" si="14"/>
        <v/>
      </c>
    </row>
    <row r="262" spans="11:16" x14ac:dyDescent="0.25">
      <c r="K262" t="str">
        <f t="shared" ca="1" si="12"/>
        <v/>
      </c>
      <c r="O262" s="13" t="str">
        <f t="shared" si="13"/>
        <v/>
      </c>
      <c r="P262" t="str">
        <f t="shared" ca="1" si="14"/>
        <v/>
      </c>
    </row>
    <row r="263" spans="11:16" x14ac:dyDescent="0.25">
      <c r="K263" t="str">
        <f t="shared" ca="1" si="12"/>
        <v/>
      </c>
      <c r="O263" s="13" t="str">
        <f t="shared" si="13"/>
        <v/>
      </c>
      <c r="P263" t="str">
        <f t="shared" ca="1" si="14"/>
        <v/>
      </c>
    </row>
    <row r="264" spans="11:16" x14ac:dyDescent="0.25">
      <c r="K264" t="str">
        <f t="shared" ca="1" si="12"/>
        <v/>
      </c>
      <c r="O264" s="13" t="str">
        <f t="shared" si="13"/>
        <v/>
      </c>
      <c r="P264" t="str">
        <f t="shared" ca="1" si="14"/>
        <v/>
      </c>
    </row>
    <row r="265" spans="11:16" x14ac:dyDescent="0.25">
      <c r="K265" t="str">
        <f t="shared" ca="1" si="12"/>
        <v/>
      </c>
      <c r="O265" s="13" t="str">
        <f t="shared" si="13"/>
        <v/>
      </c>
      <c r="P265" t="str">
        <f t="shared" ca="1" si="14"/>
        <v/>
      </c>
    </row>
    <row r="266" spans="11:16" x14ac:dyDescent="0.25">
      <c r="K266" t="str">
        <f t="shared" ca="1" si="12"/>
        <v/>
      </c>
      <c r="O266" s="13" t="str">
        <f t="shared" si="13"/>
        <v/>
      </c>
      <c r="P266" t="str">
        <f t="shared" ca="1" si="14"/>
        <v/>
      </c>
    </row>
    <row r="267" spans="11:16" x14ac:dyDescent="0.25">
      <c r="K267" t="str">
        <f t="shared" ca="1" si="12"/>
        <v/>
      </c>
      <c r="O267" s="13" t="str">
        <f t="shared" si="13"/>
        <v/>
      </c>
      <c r="P267" t="str">
        <f t="shared" ca="1" si="14"/>
        <v/>
      </c>
    </row>
    <row r="268" spans="11:16" x14ac:dyDescent="0.25">
      <c r="K268" t="str">
        <f t="shared" ca="1" si="12"/>
        <v/>
      </c>
      <c r="O268" s="13" t="str">
        <f t="shared" si="13"/>
        <v/>
      </c>
      <c r="P268" t="str">
        <f t="shared" ca="1" si="14"/>
        <v/>
      </c>
    </row>
    <row r="269" spans="11:16" x14ac:dyDescent="0.25">
      <c r="K269" t="str">
        <f t="shared" ca="1" si="12"/>
        <v/>
      </c>
      <c r="O269" s="13" t="str">
        <f t="shared" si="13"/>
        <v/>
      </c>
      <c r="P269" t="str">
        <f t="shared" ca="1" si="14"/>
        <v/>
      </c>
    </row>
    <row r="270" spans="11:16" x14ac:dyDescent="0.25">
      <c r="K270" t="str">
        <f t="shared" ca="1" si="12"/>
        <v/>
      </c>
      <c r="O270" s="13" t="str">
        <f t="shared" si="13"/>
        <v/>
      </c>
      <c r="P270" t="str">
        <f t="shared" ca="1" si="14"/>
        <v/>
      </c>
    </row>
    <row r="271" spans="11:16" x14ac:dyDescent="0.25">
      <c r="K271" t="str">
        <f t="shared" ca="1" si="12"/>
        <v/>
      </c>
      <c r="O271" s="13" t="str">
        <f t="shared" si="13"/>
        <v/>
      </c>
      <c r="P271" t="str">
        <f t="shared" ca="1" si="14"/>
        <v/>
      </c>
    </row>
    <row r="272" spans="11:16" x14ac:dyDescent="0.25">
      <c r="K272" t="str">
        <f t="shared" ca="1" si="12"/>
        <v/>
      </c>
      <c r="O272" s="13" t="str">
        <f t="shared" si="13"/>
        <v/>
      </c>
      <c r="P272" t="str">
        <f t="shared" ca="1" si="14"/>
        <v/>
      </c>
    </row>
    <row r="273" spans="11:16" x14ac:dyDescent="0.25">
      <c r="K273" t="str">
        <f t="shared" ca="1" si="12"/>
        <v/>
      </c>
      <c r="O273" s="13" t="str">
        <f t="shared" si="13"/>
        <v/>
      </c>
      <c r="P273" t="str">
        <f t="shared" ca="1" si="14"/>
        <v/>
      </c>
    </row>
    <row r="274" spans="11:16" x14ac:dyDescent="0.25">
      <c r="K274" t="str">
        <f t="shared" ca="1" si="12"/>
        <v/>
      </c>
      <c r="O274" s="13" t="str">
        <f t="shared" si="13"/>
        <v/>
      </c>
      <c r="P274" t="str">
        <f t="shared" ca="1" si="14"/>
        <v/>
      </c>
    </row>
    <row r="275" spans="11:16" x14ac:dyDescent="0.25">
      <c r="K275" t="str">
        <f t="shared" ca="1" si="12"/>
        <v/>
      </c>
      <c r="O275" s="13" t="str">
        <f t="shared" si="13"/>
        <v/>
      </c>
      <c r="P275" t="str">
        <f t="shared" ca="1" si="14"/>
        <v/>
      </c>
    </row>
    <row r="276" spans="11:16" x14ac:dyDescent="0.25">
      <c r="K276" t="str">
        <f t="shared" ca="1" si="12"/>
        <v/>
      </c>
      <c r="O276" s="13" t="str">
        <f t="shared" si="13"/>
        <v/>
      </c>
      <c r="P276" t="str">
        <f t="shared" ca="1" si="14"/>
        <v/>
      </c>
    </row>
    <row r="277" spans="11:16" x14ac:dyDescent="0.25">
      <c r="K277" t="str">
        <f t="shared" ca="1" si="12"/>
        <v/>
      </c>
      <c r="O277" s="13" t="str">
        <f t="shared" si="13"/>
        <v/>
      </c>
      <c r="P277" t="str">
        <f t="shared" ca="1" si="14"/>
        <v/>
      </c>
    </row>
    <row r="278" spans="11:16" x14ac:dyDescent="0.25">
      <c r="K278" t="str">
        <f t="shared" ca="1" si="12"/>
        <v/>
      </c>
      <c r="O278" s="13" t="str">
        <f t="shared" si="13"/>
        <v/>
      </c>
      <c r="P278" t="str">
        <f t="shared" ca="1" si="14"/>
        <v/>
      </c>
    </row>
    <row r="279" spans="11:16" x14ac:dyDescent="0.25">
      <c r="K279" t="str">
        <f t="shared" ca="1" si="12"/>
        <v/>
      </c>
      <c r="O279" s="13" t="str">
        <f t="shared" si="13"/>
        <v/>
      </c>
      <c r="P279" t="str">
        <f t="shared" ca="1" si="14"/>
        <v/>
      </c>
    </row>
    <row r="280" spans="11:16" x14ac:dyDescent="0.25">
      <c r="K280" t="str">
        <f t="shared" ca="1" si="12"/>
        <v/>
      </c>
      <c r="O280" s="13" t="str">
        <f t="shared" si="13"/>
        <v/>
      </c>
      <c r="P280" t="str">
        <f t="shared" ca="1" si="14"/>
        <v/>
      </c>
    </row>
    <row r="281" spans="11:16" x14ac:dyDescent="0.25">
      <c r="K281" t="str">
        <f t="shared" ca="1" si="12"/>
        <v/>
      </c>
      <c r="O281" s="13" t="str">
        <f t="shared" si="13"/>
        <v/>
      </c>
      <c r="P281" t="str">
        <f t="shared" ca="1" si="14"/>
        <v/>
      </c>
    </row>
    <row r="282" spans="11:16" x14ac:dyDescent="0.25">
      <c r="K282" t="str">
        <f t="shared" ca="1" si="12"/>
        <v/>
      </c>
      <c r="O282" s="13" t="str">
        <f t="shared" si="13"/>
        <v/>
      </c>
      <c r="P282" t="str">
        <f t="shared" ca="1" si="14"/>
        <v/>
      </c>
    </row>
    <row r="283" spans="11:16" x14ac:dyDescent="0.25">
      <c r="K283" t="str">
        <f t="shared" ca="1" si="12"/>
        <v/>
      </c>
      <c r="O283" s="13" t="str">
        <f t="shared" si="13"/>
        <v/>
      </c>
      <c r="P283" t="str">
        <f t="shared" ca="1" si="14"/>
        <v/>
      </c>
    </row>
    <row r="284" spans="11:16" x14ac:dyDescent="0.25">
      <c r="K284" t="str">
        <f t="shared" ca="1" si="12"/>
        <v/>
      </c>
      <c r="O284" s="13" t="str">
        <f t="shared" si="13"/>
        <v/>
      </c>
      <c r="P284" t="str">
        <f t="shared" ca="1" si="14"/>
        <v/>
      </c>
    </row>
    <row r="285" spans="11:16" x14ac:dyDescent="0.25">
      <c r="K285" t="str">
        <f t="shared" ca="1" si="12"/>
        <v/>
      </c>
      <c r="O285" s="13" t="str">
        <f t="shared" si="13"/>
        <v/>
      </c>
      <c r="P285" t="str">
        <f t="shared" ca="1" si="14"/>
        <v/>
      </c>
    </row>
    <row r="286" spans="11:16" x14ac:dyDescent="0.25">
      <c r="K286" t="str">
        <f t="shared" ca="1" si="12"/>
        <v/>
      </c>
      <c r="O286" s="13" t="str">
        <f t="shared" si="13"/>
        <v/>
      </c>
      <c r="P286" t="str">
        <f t="shared" ca="1" si="14"/>
        <v/>
      </c>
    </row>
    <row r="287" spans="11:16" x14ac:dyDescent="0.25">
      <c r="K287" t="str">
        <f t="shared" ca="1" si="12"/>
        <v/>
      </c>
      <c r="O287" s="13" t="str">
        <f t="shared" si="13"/>
        <v/>
      </c>
      <c r="P287" t="str">
        <f t="shared" ca="1" si="14"/>
        <v/>
      </c>
    </row>
    <row r="288" spans="11:16" x14ac:dyDescent="0.25">
      <c r="K288" t="str">
        <f t="shared" ca="1" si="12"/>
        <v/>
      </c>
      <c r="O288" s="13" t="str">
        <f t="shared" si="13"/>
        <v/>
      </c>
      <c r="P288" t="str">
        <f t="shared" ca="1" si="14"/>
        <v/>
      </c>
    </row>
    <row r="289" spans="1:16" x14ac:dyDescent="0.25">
      <c r="K289" t="str">
        <f t="shared" ca="1" si="12"/>
        <v/>
      </c>
      <c r="O289" s="13" t="str">
        <f t="shared" si="13"/>
        <v/>
      </c>
      <c r="P289" t="str">
        <f t="shared" ca="1" si="14"/>
        <v/>
      </c>
    </row>
    <row r="290" spans="1:16" x14ac:dyDescent="0.25">
      <c r="K290" t="str">
        <f t="shared" ca="1" si="12"/>
        <v/>
      </c>
      <c r="O290" s="13" t="str">
        <f t="shared" si="13"/>
        <v/>
      </c>
      <c r="P290" t="str">
        <f t="shared" ca="1" si="14"/>
        <v/>
      </c>
    </row>
    <row r="291" spans="1:16" x14ac:dyDescent="0.25">
      <c r="K291" t="str">
        <f t="shared" ca="1" si="12"/>
        <v/>
      </c>
      <c r="O291" s="13" t="str">
        <f t="shared" si="13"/>
        <v/>
      </c>
      <c r="P291" t="str">
        <f t="shared" ca="1" si="14"/>
        <v/>
      </c>
    </row>
    <row r="292" spans="1:16" x14ac:dyDescent="0.25">
      <c r="K292" t="str">
        <f t="shared" ca="1" si="12"/>
        <v/>
      </c>
      <c r="O292" s="13" t="str">
        <f t="shared" si="13"/>
        <v/>
      </c>
      <c r="P292" t="str">
        <f t="shared" ca="1" si="14"/>
        <v/>
      </c>
    </row>
    <row r="293" spans="1:16" x14ac:dyDescent="0.25">
      <c r="K293" t="str">
        <f t="shared" ca="1" si="12"/>
        <v/>
      </c>
      <c r="O293" s="13" t="str">
        <f t="shared" si="13"/>
        <v/>
      </c>
      <c r="P293" t="str">
        <f t="shared" ca="1" si="14"/>
        <v/>
      </c>
    </row>
    <row r="294" spans="1:16" x14ac:dyDescent="0.25">
      <c r="K294" t="str">
        <f t="shared" ca="1" si="12"/>
        <v/>
      </c>
      <c r="O294" s="13" t="str">
        <f t="shared" si="13"/>
        <v/>
      </c>
      <c r="P294" t="str">
        <f t="shared" ca="1" si="14"/>
        <v/>
      </c>
    </row>
    <row r="295" spans="1:16" x14ac:dyDescent="0.25">
      <c r="K295" t="str">
        <f t="shared" ca="1" si="12"/>
        <v/>
      </c>
      <c r="O295" s="13" t="str">
        <f t="shared" si="13"/>
        <v/>
      </c>
      <c r="P295" t="str">
        <f t="shared" ca="1" si="14"/>
        <v/>
      </c>
    </row>
    <row r="296" spans="1:16" x14ac:dyDescent="0.25">
      <c r="K296" t="str">
        <f t="shared" ca="1" si="12"/>
        <v/>
      </c>
      <c r="O296" s="13" t="str">
        <f t="shared" si="13"/>
        <v/>
      </c>
      <c r="P296" t="str">
        <f t="shared" ca="1" si="14"/>
        <v/>
      </c>
    </row>
    <row r="297" spans="1:16" x14ac:dyDescent="0.25">
      <c r="K297" t="str">
        <f t="shared" ca="1" si="12"/>
        <v/>
      </c>
      <c r="O297" s="13" t="str">
        <f t="shared" si="13"/>
        <v/>
      </c>
      <c r="P297" t="str">
        <f t="shared" ca="1" si="14"/>
        <v/>
      </c>
    </row>
    <row r="298" spans="1:16" x14ac:dyDescent="0.25">
      <c r="K298" t="str">
        <f t="shared" ca="1" si="12"/>
        <v/>
      </c>
      <c r="O298" s="13" t="str">
        <f t="shared" si="13"/>
        <v/>
      </c>
      <c r="P298" t="str">
        <f t="shared" ca="1" si="14"/>
        <v/>
      </c>
    </row>
    <row r="301" spans="1:16" x14ac:dyDescent="0.25">
      <c r="A301" s="3" t="s">
        <v>287</v>
      </c>
    </row>
  </sheetData>
  <conditionalFormatting sqref="H2:H299">
    <cfRule type="expression" dxfId="26" priority="2">
      <formula>AND(H2&lt;&gt;"",I2="",TODAY()&gt;H2)</formula>
    </cfRule>
  </conditionalFormatting>
  <conditionalFormatting sqref="P2:P299">
    <cfRule type="cellIs" dxfId="25" priority="3" operator="greaterThanOrEqual">
      <formula>14</formula>
    </cfRule>
  </conditionalFormatting>
  <dataValidations count="2">
    <dataValidation type="list" allowBlank="1" sqref="N2:N499" xr:uid="{00000000-0002-0000-0400-000000000000}">
      <formula1>"Yes,No"</formula1>
      <formula2>0</formula2>
    </dataValidation>
    <dataValidation type="list" allowBlank="1" sqref="J2:J499" xr:uid="{00000000-0002-0000-0400-000001000000}">
      <formula1>"Pending,Approved,Approved as Noted,Revise &amp; Resubmit,Rejected"</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A1A1A"/>
    <pageSetUpPr fitToPage="1"/>
  </sheetPr>
  <dimension ref="A1:R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10" customWidth="1"/>
    <col min="2" max="2" width="14" customWidth="1"/>
    <col min="3" max="3" width="28" customWidth="1"/>
    <col min="4" max="5" width="16" customWidth="1"/>
    <col min="6" max="7" width="12" customWidth="1"/>
    <col min="8" max="9" width="14" customWidth="1"/>
    <col min="10" max="12" width="16" customWidth="1"/>
    <col min="13" max="13" width="18" customWidth="1"/>
    <col min="14" max="14" width="26" customWidth="1"/>
    <col min="15" max="17" width="14" customWidth="1"/>
    <col min="18" max="18" width="16" customWidth="1"/>
  </cols>
  <sheetData>
    <row r="1" spans="1:18" ht="31.5" customHeight="1" x14ac:dyDescent="0.25">
      <c r="A1" s="18" t="s">
        <v>288</v>
      </c>
      <c r="B1" s="18" t="s">
        <v>289</v>
      </c>
      <c r="C1" s="18" t="s">
        <v>278</v>
      </c>
      <c r="D1" s="18" t="s">
        <v>290</v>
      </c>
      <c r="E1" s="18" t="s">
        <v>291</v>
      </c>
      <c r="F1" s="18" t="s">
        <v>286</v>
      </c>
      <c r="G1" s="18" t="s">
        <v>292</v>
      </c>
      <c r="H1" s="18" t="s">
        <v>293</v>
      </c>
      <c r="I1" s="18" t="s">
        <v>223</v>
      </c>
      <c r="J1" s="18" t="s">
        <v>220</v>
      </c>
      <c r="K1" s="18" t="s">
        <v>294</v>
      </c>
      <c r="L1" s="18" t="s">
        <v>295</v>
      </c>
      <c r="M1" s="18" t="s">
        <v>296</v>
      </c>
      <c r="N1" s="18" t="s">
        <v>226</v>
      </c>
      <c r="O1" s="18" t="s">
        <v>227</v>
      </c>
      <c r="P1" s="18" t="s">
        <v>230</v>
      </c>
      <c r="Q1" s="18" t="s">
        <v>231</v>
      </c>
      <c r="R1" s="18" t="s">
        <v>297</v>
      </c>
    </row>
    <row r="2" spans="1:18" x14ac:dyDescent="0.25">
      <c r="A2" t="s">
        <v>562</v>
      </c>
      <c r="B2" s="25">
        <v>46254</v>
      </c>
      <c r="C2" t="s">
        <v>566</v>
      </c>
      <c r="D2" t="s">
        <v>563</v>
      </c>
      <c r="E2" t="s">
        <v>564</v>
      </c>
      <c r="H2">
        <v>99986.52</v>
      </c>
      <c r="I2">
        <v>0</v>
      </c>
      <c r="J2" t="s">
        <v>525</v>
      </c>
      <c r="M2">
        <f>IF(A2="","",SUMIFS(H$2:H2,J$2:J2,"Approved"))</f>
        <v>0</v>
      </c>
      <c r="N2" t="s">
        <v>567</v>
      </c>
      <c r="O2" t="s">
        <v>274</v>
      </c>
      <c r="P2" s="13">
        <f t="shared" ref="P2:P65" si="0">IF(A2="","",MAX(B2+0,K2+0,L2+0))</f>
        <v>46254</v>
      </c>
      <c r="Q2">
        <f t="shared" ref="Q2:Q65" ca="1" si="1">IF(A2="","",IF(OR(J2="Approved",J2="Rejected",J2="Void"),"",TODAY()-P2))</f>
        <v>42</v>
      </c>
      <c r="R2" t="s">
        <v>565</v>
      </c>
    </row>
    <row r="3" spans="1:18" x14ac:dyDescent="0.25">
      <c r="A3" t="s">
        <v>571</v>
      </c>
      <c r="B3" s="25">
        <v>46259</v>
      </c>
      <c r="C3" t="s">
        <v>572</v>
      </c>
      <c r="D3" t="s">
        <v>563</v>
      </c>
      <c r="E3" t="s">
        <v>579</v>
      </c>
      <c r="H3">
        <v>0</v>
      </c>
      <c r="I3">
        <v>0</v>
      </c>
      <c r="J3" t="s">
        <v>525</v>
      </c>
      <c r="M3">
        <f>IF(A3="","",SUMIFS(H$2:H3,J$2:J3,"Approved"))</f>
        <v>0</v>
      </c>
      <c r="N3" t="s">
        <v>578</v>
      </c>
      <c r="O3" t="s">
        <v>274</v>
      </c>
      <c r="P3" s="13">
        <f t="shared" si="0"/>
        <v>46259</v>
      </c>
      <c r="Q3">
        <f t="shared" ca="1" si="1"/>
        <v>37</v>
      </c>
      <c r="R3" t="s">
        <v>573</v>
      </c>
    </row>
    <row r="4" spans="1:18" x14ac:dyDescent="0.25">
      <c r="M4" t="str">
        <f>IF(A4="","",SUMIFS(H$2:H4,J$2:J4,"Approved"))</f>
        <v/>
      </c>
      <c r="P4" s="13" t="str">
        <f t="shared" si="0"/>
        <v/>
      </c>
      <c r="Q4" t="str">
        <f t="shared" ca="1" si="1"/>
        <v/>
      </c>
    </row>
    <row r="5" spans="1:18" x14ac:dyDescent="0.25">
      <c r="M5" t="str">
        <f>IF(A5="","",SUMIFS(H$2:H5,J$2:J5,"Approved"))</f>
        <v/>
      </c>
      <c r="P5" s="13" t="str">
        <f t="shared" si="0"/>
        <v/>
      </c>
      <c r="Q5" t="str">
        <f t="shared" ca="1" si="1"/>
        <v/>
      </c>
    </row>
    <row r="6" spans="1:18" x14ac:dyDescent="0.25">
      <c r="M6" t="str">
        <f>IF(A6="","",SUMIFS(H$2:H6,J$2:J6,"Approved"))</f>
        <v/>
      </c>
      <c r="P6" s="13" t="str">
        <f t="shared" si="0"/>
        <v/>
      </c>
      <c r="Q6" t="str">
        <f t="shared" ca="1" si="1"/>
        <v/>
      </c>
    </row>
    <row r="7" spans="1:18" x14ac:dyDescent="0.25">
      <c r="M7" t="str">
        <f>IF(A7="","",SUMIFS(H$2:H7,J$2:J7,"Approved"))</f>
        <v/>
      </c>
      <c r="P7" s="13" t="str">
        <f t="shared" si="0"/>
        <v/>
      </c>
      <c r="Q7" t="str">
        <f t="shared" ca="1" si="1"/>
        <v/>
      </c>
    </row>
    <row r="8" spans="1:18" x14ac:dyDescent="0.25">
      <c r="M8" t="str">
        <f>IF(A8="","",SUMIFS(H$2:H8,J$2:J8,"Approved"))</f>
        <v/>
      </c>
      <c r="P8" s="13" t="str">
        <f t="shared" si="0"/>
        <v/>
      </c>
      <c r="Q8" t="str">
        <f t="shared" ca="1" si="1"/>
        <v/>
      </c>
    </row>
    <row r="9" spans="1:18" x14ac:dyDescent="0.25">
      <c r="M9" t="str">
        <f>IF(A9="","",SUMIFS(H$2:H9,J$2:J9,"Approved"))</f>
        <v/>
      </c>
      <c r="P9" s="13" t="str">
        <f t="shared" si="0"/>
        <v/>
      </c>
      <c r="Q9" t="str">
        <f t="shared" ca="1" si="1"/>
        <v/>
      </c>
    </row>
    <row r="10" spans="1:18" x14ac:dyDescent="0.25">
      <c r="M10" t="str">
        <f>IF(A10="","",SUMIFS(H$2:H10,J$2:J10,"Approved"))</f>
        <v/>
      </c>
      <c r="P10" s="13" t="str">
        <f t="shared" si="0"/>
        <v/>
      </c>
      <c r="Q10" t="str">
        <f t="shared" ca="1" si="1"/>
        <v/>
      </c>
    </row>
    <row r="11" spans="1:18" x14ac:dyDescent="0.25">
      <c r="M11" t="str">
        <f>IF(A11="","",SUMIFS(H$2:H11,J$2:J11,"Approved"))</f>
        <v/>
      </c>
      <c r="P11" s="13" t="str">
        <f t="shared" si="0"/>
        <v/>
      </c>
      <c r="Q11" t="str">
        <f t="shared" ca="1" si="1"/>
        <v/>
      </c>
    </row>
    <row r="12" spans="1:18" x14ac:dyDescent="0.25">
      <c r="M12" t="str">
        <f>IF(A12="","",SUMIFS(H$2:H12,J$2:J12,"Approved"))</f>
        <v/>
      </c>
      <c r="P12" s="13" t="str">
        <f t="shared" si="0"/>
        <v/>
      </c>
      <c r="Q12" t="str">
        <f t="shared" ca="1" si="1"/>
        <v/>
      </c>
    </row>
    <row r="13" spans="1:18" x14ac:dyDescent="0.25">
      <c r="M13" t="str">
        <f>IF(A13="","",SUMIFS(H$2:H13,J$2:J13,"Approved"))</f>
        <v/>
      </c>
      <c r="P13" s="13" t="str">
        <f t="shared" si="0"/>
        <v/>
      </c>
      <c r="Q13" t="str">
        <f t="shared" ca="1" si="1"/>
        <v/>
      </c>
    </row>
    <row r="14" spans="1:18" x14ac:dyDescent="0.25">
      <c r="M14" t="str">
        <f>IF(A14="","",SUMIFS(H$2:H14,J$2:J14,"Approved"))</f>
        <v/>
      </c>
      <c r="P14" s="13" t="str">
        <f t="shared" si="0"/>
        <v/>
      </c>
      <c r="Q14" t="str">
        <f t="shared" ca="1" si="1"/>
        <v/>
      </c>
    </row>
    <row r="15" spans="1:18" x14ac:dyDescent="0.25">
      <c r="M15" t="str">
        <f>IF(A15="","",SUMIFS(H$2:H15,J$2:J15,"Approved"))</f>
        <v/>
      </c>
      <c r="P15" s="13" t="str">
        <f t="shared" si="0"/>
        <v/>
      </c>
      <c r="Q15" t="str">
        <f t="shared" ca="1" si="1"/>
        <v/>
      </c>
    </row>
    <row r="16" spans="1:18" x14ac:dyDescent="0.25">
      <c r="M16" t="str">
        <f>IF(A16="","",SUMIFS(H$2:H16,J$2:J16,"Approved"))</f>
        <v/>
      </c>
      <c r="P16" s="13" t="str">
        <f t="shared" si="0"/>
        <v/>
      </c>
      <c r="Q16" t="str">
        <f t="shared" ca="1" si="1"/>
        <v/>
      </c>
    </row>
    <row r="17" spans="13:17" x14ac:dyDescent="0.25">
      <c r="M17" t="str">
        <f>IF(A17="","",SUMIFS(H$2:H17,J$2:J17,"Approved"))</f>
        <v/>
      </c>
      <c r="P17" s="13" t="str">
        <f t="shared" si="0"/>
        <v/>
      </c>
      <c r="Q17" t="str">
        <f t="shared" ca="1" si="1"/>
        <v/>
      </c>
    </row>
    <row r="18" spans="13:17" x14ac:dyDescent="0.25">
      <c r="M18" t="str">
        <f>IF(A18="","",SUMIFS(H$2:H18,J$2:J18,"Approved"))</f>
        <v/>
      </c>
      <c r="P18" s="13" t="str">
        <f t="shared" si="0"/>
        <v/>
      </c>
      <c r="Q18" t="str">
        <f t="shared" ca="1" si="1"/>
        <v/>
      </c>
    </row>
    <row r="19" spans="13:17" x14ac:dyDescent="0.25">
      <c r="M19" t="str">
        <f>IF(A19="","",SUMIFS(H$2:H19,J$2:J19,"Approved"))</f>
        <v/>
      </c>
      <c r="P19" s="13" t="str">
        <f t="shared" si="0"/>
        <v/>
      </c>
      <c r="Q19" t="str">
        <f t="shared" ca="1" si="1"/>
        <v/>
      </c>
    </row>
    <row r="20" spans="13:17" x14ac:dyDescent="0.25">
      <c r="M20" t="str">
        <f>IF(A20="","",SUMIFS(H$2:H20,J$2:J20,"Approved"))</f>
        <v/>
      </c>
      <c r="P20" s="13" t="str">
        <f t="shared" si="0"/>
        <v/>
      </c>
      <c r="Q20" t="str">
        <f t="shared" ca="1" si="1"/>
        <v/>
      </c>
    </row>
    <row r="21" spans="13:17" x14ac:dyDescent="0.25">
      <c r="M21" t="str">
        <f>IF(A21="","",SUMIFS(H$2:H21,J$2:J21,"Approved"))</f>
        <v/>
      </c>
      <c r="P21" s="13" t="str">
        <f t="shared" si="0"/>
        <v/>
      </c>
      <c r="Q21" t="str">
        <f t="shared" ca="1" si="1"/>
        <v/>
      </c>
    </row>
    <row r="22" spans="13:17" x14ac:dyDescent="0.25">
      <c r="M22" t="str">
        <f>IF(A22="","",SUMIFS(H$2:H22,J$2:J22,"Approved"))</f>
        <v/>
      </c>
      <c r="P22" s="13" t="str">
        <f t="shared" si="0"/>
        <v/>
      </c>
      <c r="Q22" t="str">
        <f t="shared" ca="1" si="1"/>
        <v/>
      </c>
    </row>
    <row r="23" spans="13:17" x14ac:dyDescent="0.25">
      <c r="M23" t="str">
        <f>IF(A23="","",SUMIFS(H$2:H23,J$2:J23,"Approved"))</f>
        <v/>
      </c>
      <c r="P23" s="13" t="str">
        <f t="shared" si="0"/>
        <v/>
      </c>
      <c r="Q23" t="str">
        <f t="shared" ca="1" si="1"/>
        <v/>
      </c>
    </row>
    <row r="24" spans="13:17" x14ac:dyDescent="0.25">
      <c r="M24" t="str">
        <f>IF(A24="","",SUMIFS(H$2:H24,J$2:J24,"Approved"))</f>
        <v/>
      </c>
      <c r="P24" s="13" t="str">
        <f t="shared" si="0"/>
        <v/>
      </c>
      <c r="Q24" t="str">
        <f t="shared" ca="1" si="1"/>
        <v/>
      </c>
    </row>
    <row r="25" spans="13:17" x14ac:dyDescent="0.25">
      <c r="M25" t="str">
        <f>IF(A25="","",SUMIFS(H$2:H25,J$2:J25,"Approved"))</f>
        <v/>
      </c>
      <c r="P25" s="13" t="str">
        <f t="shared" si="0"/>
        <v/>
      </c>
      <c r="Q25" t="str">
        <f t="shared" ca="1" si="1"/>
        <v/>
      </c>
    </row>
    <row r="26" spans="13:17" x14ac:dyDescent="0.25">
      <c r="M26" t="str">
        <f>IF(A26="","",SUMIFS(H$2:H26,J$2:J26,"Approved"))</f>
        <v/>
      </c>
      <c r="P26" s="13" t="str">
        <f t="shared" si="0"/>
        <v/>
      </c>
      <c r="Q26" t="str">
        <f t="shared" ca="1" si="1"/>
        <v/>
      </c>
    </row>
    <row r="27" spans="13:17" x14ac:dyDescent="0.25">
      <c r="M27" t="str">
        <f>IF(A27="","",SUMIFS(H$2:H27,J$2:J27,"Approved"))</f>
        <v/>
      </c>
      <c r="P27" s="13" t="str">
        <f t="shared" si="0"/>
        <v/>
      </c>
      <c r="Q27" t="str">
        <f t="shared" ca="1" si="1"/>
        <v/>
      </c>
    </row>
    <row r="28" spans="13:17" x14ac:dyDescent="0.25">
      <c r="M28" t="str">
        <f>IF(A28="","",SUMIFS(H$2:H28,J$2:J28,"Approved"))</f>
        <v/>
      </c>
      <c r="P28" s="13" t="str">
        <f t="shared" si="0"/>
        <v/>
      </c>
      <c r="Q28" t="str">
        <f t="shared" ca="1" si="1"/>
        <v/>
      </c>
    </row>
    <row r="29" spans="13:17" x14ac:dyDescent="0.25">
      <c r="M29" t="str">
        <f>IF(A29="","",SUMIFS(H$2:H29,J$2:J29,"Approved"))</f>
        <v/>
      </c>
      <c r="P29" s="13" t="str">
        <f t="shared" si="0"/>
        <v/>
      </c>
      <c r="Q29" t="str">
        <f t="shared" ca="1" si="1"/>
        <v/>
      </c>
    </row>
    <row r="30" spans="13:17" x14ac:dyDescent="0.25">
      <c r="M30" t="str">
        <f>IF(A30="","",SUMIFS(H$2:H30,J$2:J30,"Approved"))</f>
        <v/>
      </c>
      <c r="P30" s="13" t="str">
        <f t="shared" si="0"/>
        <v/>
      </c>
      <c r="Q30" t="str">
        <f t="shared" ca="1" si="1"/>
        <v/>
      </c>
    </row>
    <row r="31" spans="13:17" x14ac:dyDescent="0.25">
      <c r="M31" t="str">
        <f>IF(A31="","",SUMIFS(H$2:H31,J$2:J31,"Approved"))</f>
        <v/>
      </c>
      <c r="P31" s="13" t="str">
        <f t="shared" si="0"/>
        <v/>
      </c>
      <c r="Q31" t="str">
        <f t="shared" ca="1" si="1"/>
        <v/>
      </c>
    </row>
    <row r="32" spans="13:17" x14ac:dyDescent="0.25">
      <c r="M32" t="str">
        <f>IF(A32="","",SUMIFS(H$2:H32,J$2:J32,"Approved"))</f>
        <v/>
      </c>
      <c r="P32" s="13" t="str">
        <f t="shared" si="0"/>
        <v/>
      </c>
      <c r="Q32" t="str">
        <f t="shared" ca="1" si="1"/>
        <v/>
      </c>
    </row>
    <row r="33" spans="13:17" x14ac:dyDescent="0.25">
      <c r="M33" t="str">
        <f>IF(A33="","",SUMIFS(H$2:H33,J$2:J33,"Approved"))</f>
        <v/>
      </c>
      <c r="P33" s="13" t="str">
        <f t="shared" si="0"/>
        <v/>
      </c>
      <c r="Q33" t="str">
        <f t="shared" ca="1" si="1"/>
        <v/>
      </c>
    </row>
    <row r="34" spans="13:17" x14ac:dyDescent="0.25">
      <c r="M34" t="str">
        <f>IF(A34="","",SUMIFS(H$2:H34,J$2:J34,"Approved"))</f>
        <v/>
      </c>
      <c r="P34" s="13" t="str">
        <f t="shared" si="0"/>
        <v/>
      </c>
      <c r="Q34" t="str">
        <f t="shared" ca="1" si="1"/>
        <v/>
      </c>
    </row>
    <row r="35" spans="13:17" x14ac:dyDescent="0.25">
      <c r="M35" t="str">
        <f>IF(A35="","",SUMIFS(H$2:H35,J$2:J35,"Approved"))</f>
        <v/>
      </c>
      <c r="P35" s="13" t="str">
        <f t="shared" si="0"/>
        <v/>
      </c>
      <c r="Q35" t="str">
        <f t="shared" ca="1" si="1"/>
        <v/>
      </c>
    </row>
    <row r="36" spans="13:17" x14ac:dyDescent="0.25">
      <c r="M36" t="str">
        <f>IF(A36="","",SUMIFS(H$2:H36,J$2:J36,"Approved"))</f>
        <v/>
      </c>
      <c r="P36" s="13" t="str">
        <f t="shared" si="0"/>
        <v/>
      </c>
      <c r="Q36" t="str">
        <f t="shared" ca="1" si="1"/>
        <v/>
      </c>
    </row>
    <row r="37" spans="13:17" x14ac:dyDescent="0.25">
      <c r="M37" t="str">
        <f>IF(A37="","",SUMIFS(H$2:H37,J$2:J37,"Approved"))</f>
        <v/>
      </c>
      <c r="P37" s="13" t="str">
        <f t="shared" si="0"/>
        <v/>
      </c>
      <c r="Q37" t="str">
        <f t="shared" ca="1" si="1"/>
        <v/>
      </c>
    </row>
    <row r="38" spans="13:17" x14ac:dyDescent="0.25">
      <c r="M38" t="str">
        <f>IF(A38="","",SUMIFS(H$2:H38,J$2:J38,"Approved"))</f>
        <v/>
      </c>
      <c r="P38" s="13" t="str">
        <f t="shared" si="0"/>
        <v/>
      </c>
      <c r="Q38" t="str">
        <f t="shared" ca="1" si="1"/>
        <v/>
      </c>
    </row>
    <row r="39" spans="13:17" x14ac:dyDescent="0.25">
      <c r="M39" t="str">
        <f>IF(A39="","",SUMIFS(H$2:H39,J$2:J39,"Approved"))</f>
        <v/>
      </c>
      <c r="P39" s="13" t="str">
        <f t="shared" si="0"/>
        <v/>
      </c>
      <c r="Q39" t="str">
        <f t="shared" ca="1" si="1"/>
        <v/>
      </c>
    </row>
    <row r="40" spans="13:17" x14ac:dyDescent="0.25">
      <c r="M40" t="str">
        <f>IF(A40="","",SUMIFS(H$2:H40,J$2:J40,"Approved"))</f>
        <v/>
      </c>
      <c r="P40" s="13" t="str">
        <f t="shared" si="0"/>
        <v/>
      </c>
      <c r="Q40" t="str">
        <f t="shared" ca="1" si="1"/>
        <v/>
      </c>
    </row>
    <row r="41" spans="13:17" x14ac:dyDescent="0.25">
      <c r="M41" t="str">
        <f>IF(A41="","",SUMIFS(H$2:H41,J$2:J41,"Approved"))</f>
        <v/>
      </c>
      <c r="P41" s="13" t="str">
        <f t="shared" si="0"/>
        <v/>
      </c>
      <c r="Q41" t="str">
        <f t="shared" ca="1" si="1"/>
        <v/>
      </c>
    </row>
    <row r="42" spans="13:17" x14ac:dyDescent="0.25">
      <c r="M42" t="str">
        <f>IF(A42="","",SUMIFS(H$2:H42,J$2:J42,"Approved"))</f>
        <v/>
      </c>
      <c r="P42" s="13" t="str">
        <f t="shared" si="0"/>
        <v/>
      </c>
      <c r="Q42" t="str">
        <f t="shared" ca="1" si="1"/>
        <v/>
      </c>
    </row>
    <row r="43" spans="13:17" x14ac:dyDescent="0.25">
      <c r="M43" t="str">
        <f>IF(A43="","",SUMIFS(H$2:H43,J$2:J43,"Approved"))</f>
        <v/>
      </c>
      <c r="P43" s="13" t="str">
        <f t="shared" si="0"/>
        <v/>
      </c>
      <c r="Q43" t="str">
        <f t="shared" ca="1" si="1"/>
        <v/>
      </c>
    </row>
    <row r="44" spans="13:17" x14ac:dyDescent="0.25">
      <c r="M44" t="str">
        <f>IF(A44="","",SUMIFS(H$2:H44,J$2:J44,"Approved"))</f>
        <v/>
      </c>
      <c r="P44" s="13" t="str">
        <f t="shared" si="0"/>
        <v/>
      </c>
      <c r="Q44" t="str">
        <f t="shared" ca="1" si="1"/>
        <v/>
      </c>
    </row>
    <row r="45" spans="13:17" x14ac:dyDescent="0.25">
      <c r="M45" t="str">
        <f>IF(A45="","",SUMIFS(H$2:H45,J$2:J45,"Approved"))</f>
        <v/>
      </c>
      <c r="P45" s="13" t="str">
        <f t="shared" si="0"/>
        <v/>
      </c>
      <c r="Q45" t="str">
        <f t="shared" ca="1" si="1"/>
        <v/>
      </c>
    </row>
    <row r="46" spans="13:17" x14ac:dyDescent="0.25">
      <c r="M46" t="str">
        <f>IF(A46="","",SUMIFS(H$2:H46,J$2:J46,"Approved"))</f>
        <v/>
      </c>
      <c r="P46" s="13" t="str">
        <f t="shared" si="0"/>
        <v/>
      </c>
      <c r="Q46" t="str">
        <f t="shared" ca="1" si="1"/>
        <v/>
      </c>
    </row>
    <row r="47" spans="13:17" x14ac:dyDescent="0.25">
      <c r="M47" t="str">
        <f>IF(A47="","",SUMIFS(H$2:H47,J$2:J47,"Approved"))</f>
        <v/>
      </c>
      <c r="P47" s="13" t="str">
        <f t="shared" si="0"/>
        <v/>
      </c>
      <c r="Q47" t="str">
        <f t="shared" ca="1" si="1"/>
        <v/>
      </c>
    </row>
    <row r="48" spans="13:17" x14ac:dyDescent="0.25">
      <c r="M48" t="str">
        <f>IF(A48="","",SUMIFS(H$2:H48,J$2:J48,"Approved"))</f>
        <v/>
      </c>
      <c r="P48" s="13" t="str">
        <f t="shared" si="0"/>
        <v/>
      </c>
      <c r="Q48" t="str">
        <f t="shared" ca="1" si="1"/>
        <v/>
      </c>
    </row>
    <row r="49" spans="13:17" x14ac:dyDescent="0.25">
      <c r="M49" t="str">
        <f>IF(A49="","",SUMIFS(H$2:H49,J$2:J49,"Approved"))</f>
        <v/>
      </c>
      <c r="P49" s="13" t="str">
        <f t="shared" si="0"/>
        <v/>
      </c>
      <c r="Q49" t="str">
        <f t="shared" ca="1" si="1"/>
        <v/>
      </c>
    </row>
    <row r="50" spans="13:17" x14ac:dyDescent="0.25">
      <c r="M50" t="str">
        <f>IF(A50="","",SUMIFS(H$2:H50,J$2:J50,"Approved"))</f>
        <v/>
      </c>
      <c r="P50" s="13" t="str">
        <f t="shared" si="0"/>
        <v/>
      </c>
      <c r="Q50" t="str">
        <f t="shared" ca="1" si="1"/>
        <v/>
      </c>
    </row>
    <row r="51" spans="13:17" x14ac:dyDescent="0.25">
      <c r="M51" t="str">
        <f>IF(A51="","",SUMIFS(H$2:H51,J$2:J51,"Approved"))</f>
        <v/>
      </c>
      <c r="P51" s="13" t="str">
        <f t="shared" si="0"/>
        <v/>
      </c>
      <c r="Q51" t="str">
        <f t="shared" ca="1" si="1"/>
        <v/>
      </c>
    </row>
    <row r="52" spans="13:17" x14ac:dyDescent="0.25">
      <c r="M52" t="str">
        <f>IF(A52="","",SUMIFS(H$2:H52,J$2:J52,"Approved"))</f>
        <v/>
      </c>
      <c r="P52" s="13" t="str">
        <f t="shared" si="0"/>
        <v/>
      </c>
      <c r="Q52" t="str">
        <f t="shared" ca="1" si="1"/>
        <v/>
      </c>
    </row>
    <row r="53" spans="13:17" x14ac:dyDescent="0.25">
      <c r="M53" t="str">
        <f>IF(A53="","",SUMIFS(H$2:H53,J$2:J53,"Approved"))</f>
        <v/>
      </c>
      <c r="P53" s="13" t="str">
        <f t="shared" si="0"/>
        <v/>
      </c>
      <c r="Q53" t="str">
        <f t="shared" ca="1" si="1"/>
        <v/>
      </c>
    </row>
    <row r="54" spans="13:17" x14ac:dyDescent="0.25">
      <c r="M54" t="str">
        <f>IF(A54="","",SUMIFS(H$2:H54,J$2:J54,"Approved"))</f>
        <v/>
      </c>
      <c r="P54" s="13" t="str">
        <f t="shared" si="0"/>
        <v/>
      </c>
      <c r="Q54" t="str">
        <f t="shared" ca="1" si="1"/>
        <v/>
      </c>
    </row>
    <row r="55" spans="13:17" x14ac:dyDescent="0.25">
      <c r="M55" t="str">
        <f>IF(A55="","",SUMIFS(H$2:H55,J$2:J55,"Approved"))</f>
        <v/>
      </c>
      <c r="P55" s="13" t="str">
        <f t="shared" si="0"/>
        <v/>
      </c>
      <c r="Q55" t="str">
        <f t="shared" ca="1" si="1"/>
        <v/>
      </c>
    </row>
    <row r="56" spans="13:17" x14ac:dyDescent="0.25">
      <c r="M56" t="str">
        <f>IF(A56="","",SUMIFS(H$2:H56,J$2:J56,"Approved"))</f>
        <v/>
      </c>
      <c r="P56" s="13" t="str">
        <f t="shared" si="0"/>
        <v/>
      </c>
      <c r="Q56" t="str">
        <f t="shared" ca="1" si="1"/>
        <v/>
      </c>
    </row>
    <row r="57" spans="13:17" x14ac:dyDescent="0.25">
      <c r="M57" t="str">
        <f>IF(A57="","",SUMIFS(H$2:H57,J$2:J57,"Approved"))</f>
        <v/>
      </c>
      <c r="P57" s="13" t="str">
        <f t="shared" si="0"/>
        <v/>
      </c>
      <c r="Q57" t="str">
        <f t="shared" ca="1" si="1"/>
        <v/>
      </c>
    </row>
    <row r="58" spans="13:17" x14ac:dyDescent="0.25">
      <c r="M58" t="str">
        <f>IF(A58="","",SUMIFS(H$2:H58,J$2:J58,"Approved"))</f>
        <v/>
      </c>
      <c r="P58" s="13" t="str">
        <f t="shared" si="0"/>
        <v/>
      </c>
      <c r="Q58" t="str">
        <f t="shared" ca="1" si="1"/>
        <v/>
      </c>
    </row>
    <row r="59" spans="13:17" x14ac:dyDescent="0.25">
      <c r="M59" t="str">
        <f>IF(A59="","",SUMIFS(H$2:H59,J$2:J59,"Approved"))</f>
        <v/>
      </c>
      <c r="P59" s="13" t="str">
        <f t="shared" si="0"/>
        <v/>
      </c>
      <c r="Q59" t="str">
        <f t="shared" ca="1" si="1"/>
        <v/>
      </c>
    </row>
    <row r="60" spans="13:17" x14ac:dyDescent="0.25">
      <c r="M60" t="str">
        <f>IF(A60="","",SUMIFS(H$2:H60,J$2:J60,"Approved"))</f>
        <v/>
      </c>
      <c r="P60" s="13" t="str">
        <f t="shared" si="0"/>
        <v/>
      </c>
      <c r="Q60" t="str">
        <f t="shared" ca="1" si="1"/>
        <v/>
      </c>
    </row>
    <row r="61" spans="13:17" x14ac:dyDescent="0.25">
      <c r="M61" t="str">
        <f>IF(A61="","",SUMIFS(H$2:H61,J$2:J61,"Approved"))</f>
        <v/>
      </c>
      <c r="P61" s="13" t="str">
        <f t="shared" si="0"/>
        <v/>
      </c>
      <c r="Q61" t="str">
        <f t="shared" ca="1" si="1"/>
        <v/>
      </c>
    </row>
    <row r="62" spans="13:17" x14ac:dyDescent="0.25">
      <c r="M62" t="str">
        <f>IF(A62="","",SUMIFS(H$2:H62,J$2:J62,"Approved"))</f>
        <v/>
      </c>
      <c r="P62" s="13" t="str">
        <f t="shared" si="0"/>
        <v/>
      </c>
      <c r="Q62" t="str">
        <f t="shared" ca="1" si="1"/>
        <v/>
      </c>
    </row>
    <row r="63" spans="13:17" x14ac:dyDescent="0.25">
      <c r="M63" t="str">
        <f>IF(A63="","",SUMIFS(H$2:H63,J$2:J63,"Approved"))</f>
        <v/>
      </c>
      <c r="P63" s="13" t="str">
        <f t="shared" si="0"/>
        <v/>
      </c>
      <c r="Q63" t="str">
        <f t="shared" ca="1" si="1"/>
        <v/>
      </c>
    </row>
    <row r="64" spans="13:17" x14ac:dyDescent="0.25">
      <c r="M64" t="str">
        <f>IF(A64="","",SUMIFS(H$2:H64,J$2:J64,"Approved"))</f>
        <v/>
      </c>
      <c r="P64" s="13" t="str">
        <f t="shared" si="0"/>
        <v/>
      </c>
      <c r="Q64" t="str">
        <f t="shared" ca="1" si="1"/>
        <v/>
      </c>
    </row>
    <row r="65" spans="13:17" x14ac:dyDescent="0.25">
      <c r="M65" t="str">
        <f>IF(A65="","",SUMIFS(H$2:H65,J$2:J65,"Approved"))</f>
        <v/>
      </c>
      <c r="P65" s="13" t="str">
        <f t="shared" si="0"/>
        <v/>
      </c>
      <c r="Q65" t="str">
        <f t="shared" ca="1" si="1"/>
        <v/>
      </c>
    </row>
    <row r="66" spans="13:17" x14ac:dyDescent="0.25">
      <c r="M66" t="str">
        <f>IF(A66="","",SUMIFS(H$2:H66,J$2:J66,"Approved"))</f>
        <v/>
      </c>
      <c r="P66" s="13" t="str">
        <f t="shared" ref="P66:P129" si="2">IF(A66="","",MAX(B66+0,K66+0,L66+0))</f>
        <v/>
      </c>
      <c r="Q66" t="str">
        <f t="shared" ref="Q66:Q129" ca="1" si="3">IF(A66="","",IF(OR(J66="Approved",J66="Rejected",J66="Void"),"",TODAY()-P66))</f>
        <v/>
      </c>
    </row>
    <row r="67" spans="13:17" x14ac:dyDescent="0.25">
      <c r="M67" t="str">
        <f>IF(A67="","",SUMIFS(H$2:H67,J$2:J67,"Approved"))</f>
        <v/>
      </c>
      <c r="P67" s="13" t="str">
        <f t="shared" si="2"/>
        <v/>
      </c>
      <c r="Q67" t="str">
        <f t="shared" ca="1" si="3"/>
        <v/>
      </c>
    </row>
    <row r="68" spans="13:17" x14ac:dyDescent="0.25">
      <c r="M68" t="str">
        <f>IF(A68="","",SUMIFS(H$2:H68,J$2:J68,"Approved"))</f>
        <v/>
      </c>
      <c r="P68" s="13" t="str">
        <f t="shared" si="2"/>
        <v/>
      </c>
      <c r="Q68" t="str">
        <f t="shared" ca="1" si="3"/>
        <v/>
      </c>
    </row>
    <row r="69" spans="13:17" x14ac:dyDescent="0.25">
      <c r="M69" t="str">
        <f>IF(A69="","",SUMIFS(H$2:H69,J$2:J69,"Approved"))</f>
        <v/>
      </c>
      <c r="P69" s="13" t="str">
        <f t="shared" si="2"/>
        <v/>
      </c>
      <c r="Q69" t="str">
        <f t="shared" ca="1" si="3"/>
        <v/>
      </c>
    </row>
    <row r="70" spans="13:17" x14ac:dyDescent="0.25">
      <c r="M70" t="str">
        <f>IF(A70="","",SUMIFS(H$2:H70,J$2:J70,"Approved"))</f>
        <v/>
      </c>
      <c r="P70" s="13" t="str">
        <f t="shared" si="2"/>
        <v/>
      </c>
      <c r="Q70" t="str">
        <f t="shared" ca="1" si="3"/>
        <v/>
      </c>
    </row>
    <row r="71" spans="13:17" x14ac:dyDescent="0.25">
      <c r="M71" t="str">
        <f>IF(A71="","",SUMIFS(H$2:H71,J$2:J71,"Approved"))</f>
        <v/>
      </c>
      <c r="P71" s="13" t="str">
        <f t="shared" si="2"/>
        <v/>
      </c>
      <c r="Q71" t="str">
        <f t="shared" ca="1" si="3"/>
        <v/>
      </c>
    </row>
    <row r="72" spans="13:17" x14ac:dyDescent="0.25">
      <c r="M72" t="str">
        <f>IF(A72="","",SUMIFS(H$2:H72,J$2:J72,"Approved"))</f>
        <v/>
      </c>
      <c r="P72" s="13" t="str">
        <f t="shared" si="2"/>
        <v/>
      </c>
      <c r="Q72" t="str">
        <f t="shared" ca="1" si="3"/>
        <v/>
      </c>
    </row>
    <row r="73" spans="13:17" x14ac:dyDescent="0.25">
      <c r="M73" t="str">
        <f>IF(A73="","",SUMIFS(H$2:H73,J$2:J73,"Approved"))</f>
        <v/>
      </c>
      <c r="P73" s="13" t="str">
        <f t="shared" si="2"/>
        <v/>
      </c>
      <c r="Q73" t="str">
        <f t="shared" ca="1" si="3"/>
        <v/>
      </c>
    </row>
    <row r="74" spans="13:17" x14ac:dyDescent="0.25">
      <c r="M74" t="str">
        <f>IF(A74="","",SUMIFS(H$2:H74,J$2:J74,"Approved"))</f>
        <v/>
      </c>
      <c r="P74" s="13" t="str">
        <f t="shared" si="2"/>
        <v/>
      </c>
      <c r="Q74" t="str">
        <f t="shared" ca="1" si="3"/>
        <v/>
      </c>
    </row>
    <row r="75" spans="13:17" x14ac:dyDescent="0.25">
      <c r="M75" t="str">
        <f>IF(A75="","",SUMIFS(H$2:H75,J$2:J75,"Approved"))</f>
        <v/>
      </c>
      <c r="P75" s="13" t="str">
        <f t="shared" si="2"/>
        <v/>
      </c>
      <c r="Q75" t="str">
        <f t="shared" ca="1" si="3"/>
        <v/>
      </c>
    </row>
    <row r="76" spans="13:17" x14ac:dyDescent="0.25">
      <c r="M76" t="str">
        <f>IF(A76="","",SUMIFS(H$2:H76,J$2:J76,"Approved"))</f>
        <v/>
      </c>
      <c r="P76" s="13" t="str">
        <f t="shared" si="2"/>
        <v/>
      </c>
      <c r="Q76" t="str">
        <f t="shared" ca="1" si="3"/>
        <v/>
      </c>
    </row>
    <row r="77" spans="13:17" x14ac:dyDescent="0.25">
      <c r="M77" t="str">
        <f>IF(A77="","",SUMIFS(H$2:H77,J$2:J77,"Approved"))</f>
        <v/>
      </c>
      <c r="P77" s="13" t="str">
        <f t="shared" si="2"/>
        <v/>
      </c>
      <c r="Q77" t="str">
        <f t="shared" ca="1" si="3"/>
        <v/>
      </c>
    </row>
    <row r="78" spans="13:17" x14ac:dyDescent="0.25">
      <c r="M78" t="str">
        <f>IF(A78="","",SUMIFS(H$2:H78,J$2:J78,"Approved"))</f>
        <v/>
      </c>
      <c r="P78" s="13" t="str">
        <f t="shared" si="2"/>
        <v/>
      </c>
      <c r="Q78" t="str">
        <f t="shared" ca="1" si="3"/>
        <v/>
      </c>
    </row>
    <row r="79" spans="13:17" x14ac:dyDescent="0.25">
      <c r="M79" t="str">
        <f>IF(A79="","",SUMIFS(H$2:H79,J$2:J79,"Approved"))</f>
        <v/>
      </c>
      <c r="P79" s="13" t="str">
        <f t="shared" si="2"/>
        <v/>
      </c>
      <c r="Q79" t="str">
        <f t="shared" ca="1" si="3"/>
        <v/>
      </c>
    </row>
    <row r="80" spans="13:17" x14ac:dyDescent="0.25">
      <c r="M80" t="str">
        <f>IF(A80="","",SUMIFS(H$2:H80,J$2:J80,"Approved"))</f>
        <v/>
      </c>
      <c r="P80" s="13" t="str">
        <f t="shared" si="2"/>
        <v/>
      </c>
      <c r="Q80" t="str">
        <f t="shared" ca="1" si="3"/>
        <v/>
      </c>
    </row>
    <row r="81" spans="13:17" x14ac:dyDescent="0.25">
      <c r="M81" t="str">
        <f>IF(A81="","",SUMIFS(H$2:H81,J$2:J81,"Approved"))</f>
        <v/>
      </c>
      <c r="P81" s="13" t="str">
        <f t="shared" si="2"/>
        <v/>
      </c>
      <c r="Q81" t="str">
        <f t="shared" ca="1" si="3"/>
        <v/>
      </c>
    </row>
    <row r="82" spans="13:17" x14ac:dyDescent="0.25">
      <c r="M82" t="str">
        <f>IF(A82="","",SUMIFS(H$2:H82,J$2:J82,"Approved"))</f>
        <v/>
      </c>
      <c r="P82" s="13" t="str">
        <f t="shared" si="2"/>
        <v/>
      </c>
      <c r="Q82" t="str">
        <f t="shared" ca="1" si="3"/>
        <v/>
      </c>
    </row>
    <row r="83" spans="13:17" x14ac:dyDescent="0.25">
      <c r="M83" t="str">
        <f>IF(A83="","",SUMIFS(H$2:H83,J$2:J83,"Approved"))</f>
        <v/>
      </c>
      <c r="P83" s="13" t="str">
        <f t="shared" si="2"/>
        <v/>
      </c>
      <c r="Q83" t="str">
        <f t="shared" ca="1" si="3"/>
        <v/>
      </c>
    </row>
    <row r="84" spans="13:17" x14ac:dyDescent="0.25">
      <c r="M84" t="str">
        <f>IF(A84="","",SUMIFS(H$2:H84,J$2:J84,"Approved"))</f>
        <v/>
      </c>
      <c r="P84" s="13" t="str">
        <f t="shared" si="2"/>
        <v/>
      </c>
      <c r="Q84" t="str">
        <f t="shared" ca="1" si="3"/>
        <v/>
      </c>
    </row>
    <row r="85" spans="13:17" x14ac:dyDescent="0.25">
      <c r="M85" t="str">
        <f>IF(A85="","",SUMIFS(H$2:H85,J$2:J85,"Approved"))</f>
        <v/>
      </c>
      <c r="P85" s="13" t="str">
        <f t="shared" si="2"/>
        <v/>
      </c>
      <c r="Q85" t="str">
        <f t="shared" ca="1" si="3"/>
        <v/>
      </c>
    </row>
    <row r="86" spans="13:17" x14ac:dyDescent="0.25">
      <c r="M86" t="str">
        <f>IF(A86="","",SUMIFS(H$2:H86,J$2:J86,"Approved"))</f>
        <v/>
      </c>
      <c r="P86" s="13" t="str">
        <f t="shared" si="2"/>
        <v/>
      </c>
      <c r="Q86" t="str">
        <f t="shared" ca="1" si="3"/>
        <v/>
      </c>
    </row>
    <row r="87" spans="13:17" x14ac:dyDescent="0.25">
      <c r="M87" t="str">
        <f>IF(A87="","",SUMIFS(H$2:H87,J$2:J87,"Approved"))</f>
        <v/>
      </c>
      <c r="P87" s="13" t="str">
        <f t="shared" si="2"/>
        <v/>
      </c>
      <c r="Q87" t="str">
        <f t="shared" ca="1" si="3"/>
        <v/>
      </c>
    </row>
    <row r="88" spans="13:17" x14ac:dyDescent="0.25">
      <c r="M88" t="str">
        <f>IF(A88="","",SUMIFS(H$2:H88,J$2:J88,"Approved"))</f>
        <v/>
      </c>
      <c r="P88" s="13" t="str">
        <f t="shared" si="2"/>
        <v/>
      </c>
      <c r="Q88" t="str">
        <f t="shared" ca="1" si="3"/>
        <v/>
      </c>
    </row>
    <row r="89" spans="13:17" x14ac:dyDescent="0.25">
      <c r="M89" t="str">
        <f>IF(A89="","",SUMIFS(H$2:H89,J$2:J89,"Approved"))</f>
        <v/>
      </c>
      <c r="P89" s="13" t="str">
        <f t="shared" si="2"/>
        <v/>
      </c>
      <c r="Q89" t="str">
        <f t="shared" ca="1" si="3"/>
        <v/>
      </c>
    </row>
    <row r="90" spans="13:17" x14ac:dyDescent="0.25">
      <c r="M90" t="str">
        <f>IF(A90="","",SUMIFS(H$2:H90,J$2:J90,"Approved"))</f>
        <v/>
      </c>
      <c r="P90" s="13" t="str">
        <f t="shared" si="2"/>
        <v/>
      </c>
      <c r="Q90" t="str">
        <f t="shared" ca="1" si="3"/>
        <v/>
      </c>
    </row>
    <row r="91" spans="13:17" x14ac:dyDescent="0.25">
      <c r="M91" t="str">
        <f>IF(A91="","",SUMIFS(H$2:H91,J$2:J91,"Approved"))</f>
        <v/>
      </c>
      <c r="P91" s="13" t="str">
        <f t="shared" si="2"/>
        <v/>
      </c>
      <c r="Q91" t="str">
        <f t="shared" ca="1" si="3"/>
        <v/>
      </c>
    </row>
    <row r="92" spans="13:17" x14ac:dyDescent="0.25">
      <c r="M92" t="str">
        <f>IF(A92="","",SUMIFS(H$2:H92,J$2:J92,"Approved"))</f>
        <v/>
      </c>
      <c r="P92" s="13" t="str">
        <f t="shared" si="2"/>
        <v/>
      </c>
      <c r="Q92" t="str">
        <f t="shared" ca="1" si="3"/>
        <v/>
      </c>
    </row>
    <row r="93" spans="13:17" x14ac:dyDescent="0.25">
      <c r="M93" t="str">
        <f>IF(A93="","",SUMIFS(H$2:H93,J$2:J93,"Approved"))</f>
        <v/>
      </c>
      <c r="P93" s="13" t="str">
        <f t="shared" si="2"/>
        <v/>
      </c>
      <c r="Q93" t="str">
        <f t="shared" ca="1" si="3"/>
        <v/>
      </c>
    </row>
    <row r="94" spans="13:17" x14ac:dyDescent="0.25">
      <c r="M94" t="str">
        <f>IF(A94="","",SUMIFS(H$2:H94,J$2:J94,"Approved"))</f>
        <v/>
      </c>
      <c r="P94" s="13" t="str">
        <f t="shared" si="2"/>
        <v/>
      </c>
      <c r="Q94" t="str">
        <f t="shared" ca="1" si="3"/>
        <v/>
      </c>
    </row>
    <row r="95" spans="13:17" x14ac:dyDescent="0.25">
      <c r="M95" t="str">
        <f>IF(A95="","",SUMIFS(H$2:H95,J$2:J95,"Approved"))</f>
        <v/>
      </c>
      <c r="P95" s="13" t="str">
        <f t="shared" si="2"/>
        <v/>
      </c>
      <c r="Q95" t="str">
        <f t="shared" ca="1" si="3"/>
        <v/>
      </c>
    </row>
    <row r="96" spans="13:17" x14ac:dyDescent="0.25">
      <c r="M96" t="str">
        <f>IF(A96="","",SUMIFS(H$2:H96,J$2:J96,"Approved"))</f>
        <v/>
      </c>
      <c r="P96" s="13" t="str">
        <f t="shared" si="2"/>
        <v/>
      </c>
      <c r="Q96" t="str">
        <f t="shared" ca="1" si="3"/>
        <v/>
      </c>
    </row>
    <row r="97" spans="13:17" x14ac:dyDescent="0.25">
      <c r="M97" t="str">
        <f>IF(A97="","",SUMIFS(H$2:H97,J$2:J97,"Approved"))</f>
        <v/>
      </c>
      <c r="P97" s="13" t="str">
        <f t="shared" si="2"/>
        <v/>
      </c>
      <c r="Q97" t="str">
        <f t="shared" ca="1" si="3"/>
        <v/>
      </c>
    </row>
    <row r="98" spans="13:17" x14ac:dyDescent="0.25">
      <c r="M98" t="str">
        <f>IF(A98="","",SUMIFS(H$2:H98,J$2:J98,"Approved"))</f>
        <v/>
      </c>
      <c r="P98" s="13" t="str">
        <f t="shared" si="2"/>
        <v/>
      </c>
      <c r="Q98" t="str">
        <f t="shared" ca="1" si="3"/>
        <v/>
      </c>
    </row>
    <row r="99" spans="13:17" x14ac:dyDescent="0.25">
      <c r="M99" t="str">
        <f>IF(A99="","",SUMIFS(H$2:H99,J$2:J99,"Approved"))</f>
        <v/>
      </c>
      <c r="P99" s="13" t="str">
        <f t="shared" si="2"/>
        <v/>
      </c>
      <c r="Q99" t="str">
        <f t="shared" ca="1" si="3"/>
        <v/>
      </c>
    </row>
    <row r="100" spans="13:17" x14ac:dyDescent="0.25">
      <c r="M100" t="str">
        <f>IF(A100="","",SUMIFS(H$2:H100,J$2:J100,"Approved"))</f>
        <v/>
      </c>
      <c r="P100" s="13" t="str">
        <f t="shared" si="2"/>
        <v/>
      </c>
      <c r="Q100" t="str">
        <f t="shared" ca="1" si="3"/>
        <v/>
      </c>
    </row>
    <row r="101" spans="13:17" x14ac:dyDescent="0.25">
      <c r="M101" t="str">
        <f>IF(A101="","",SUMIFS(H$2:H101,J$2:J101,"Approved"))</f>
        <v/>
      </c>
      <c r="P101" s="13" t="str">
        <f t="shared" si="2"/>
        <v/>
      </c>
      <c r="Q101" t="str">
        <f t="shared" ca="1" si="3"/>
        <v/>
      </c>
    </row>
    <row r="102" spans="13:17" x14ac:dyDescent="0.25">
      <c r="M102" t="str">
        <f>IF(A102="","",SUMIFS(H$2:H102,J$2:J102,"Approved"))</f>
        <v/>
      </c>
      <c r="P102" s="13" t="str">
        <f t="shared" si="2"/>
        <v/>
      </c>
      <c r="Q102" t="str">
        <f t="shared" ca="1" si="3"/>
        <v/>
      </c>
    </row>
    <row r="103" spans="13:17" x14ac:dyDescent="0.25">
      <c r="M103" t="str">
        <f>IF(A103="","",SUMIFS(H$2:H103,J$2:J103,"Approved"))</f>
        <v/>
      </c>
      <c r="P103" s="13" t="str">
        <f t="shared" si="2"/>
        <v/>
      </c>
      <c r="Q103" t="str">
        <f t="shared" ca="1" si="3"/>
        <v/>
      </c>
    </row>
    <row r="104" spans="13:17" x14ac:dyDescent="0.25">
      <c r="M104" t="str">
        <f>IF(A104="","",SUMIFS(H$2:H104,J$2:J104,"Approved"))</f>
        <v/>
      </c>
      <c r="P104" s="13" t="str">
        <f t="shared" si="2"/>
        <v/>
      </c>
      <c r="Q104" t="str">
        <f t="shared" ca="1" si="3"/>
        <v/>
      </c>
    </row>
    <row r="105" spans="13:17" x14ac:dyDescent="0.25">
      <c r="M105" t="str">
        <f>IF(A105="","",SUMIFS(H$2:H105,J$2:J105,"Approved"))</f>
        <v/>
      </c>
      <c r="P105" s="13" t="str">
        <f t="shared" si="2"/>
        <v/>
      </c>
      <c r="Q105" t="str">
        <f t="shared" ca="1" si="3"/>
        <v/>
      </c>
    </row>
    <row r="106" spans="13:17" x14ac:dyDescent="0.25">
      <c r="M106" t="str">
        <f>IF(A106="","",SUMIFS(H$2:H106,J$2:J106,"Approved"))</f>
        <v/>
      </c>
      <c r="P106" s="13" t="str">
        <f t="shared" si="2"/>
        <v/>
      </c>
      <c r="Q106" t="str">
        <f t="shared" ca="1" si="3"/>
        <v/>
      </c>
    </row>
    <row r="107" spans="13:17" x14ac:dyDescent="0.25">
      <c r="M107" t="str">
        <f>IF(A107="","",SUMIFS(H$2:H107,J$2:J107,"Approved"))</f>
        <v/>
      </c>
      <c r="P107" s="13" t="str">
        <f t="shared" si="2"/>
        <v/>
      </c>
      <c r="Q107" t="str">
        <f t="shared" ca="1" si="3"/>
        <v/>
      </c>
    </row>
    <row r="108" spans="13:17" x14ac:dyDescent="0.25">
      <c r="M108" t="str">
        <f>IF(A108="","",SUMIFS(H$2:H108,J$2:J108,"Approved"))</f>
        <v/>
      </c>
      <c r="P108" s="13" t="str">
        <f t="shared" si="2"/>
        <v/>
      </c>
      <c r="Q108" t="str">
        <f t="shared" ca="1" si="3"/>
        <v/>
      </c>
    </row>
    <row r="109" spans="13:17" x14ac:dyDescent="0.25">
      <c r="M109" t="str">
        <f>IF(A109="","",SUMIFS(H$2:H109,J$2:J109,"Approved"))</f>
        <v/>
      </c>
      <c r="P109" s="13" t="str">
        <f t="shared" si="2"/>
        <v/>
      </c>
      <c r="Q109" t="str">
        <f t="shared" ca="1" si="3"/>
        <v/>
      </c>
    </row>
    <row r="110" spans="13:17" x14ac:dyDescent="0.25">
      <c r="M110" t="str">
        <f>IF(A110="","",SUMIFS(H$2:H110,J$2:J110,"Approved"))</f>
        <v/>
      </c>
      <c r="P110" s="13" t="str">
        <f t="shared" si="2"/>
        <v/>
      </c>
      <c r="Q110" t="str">
        <f t="shared" ca="1" si="3"/>
        <v/>
      </c>
    </row>
    <row r="111" spans="13:17" x14ac:dyDescent="0.25">
      <c r="M111" t="str">
        <f>IF(A111="","",SUMIFS(H$2:H111,J$2:J111,"Approved"))</f>
        <v/>
      </c>
      <c r="P111" s="13" t="str">
        <f t="shared" si="2"/>
        <v/>
      </c>
      <c r="Q111" t="str">
        <f t="shared" ca="1" si="3"/>
        <v/>
      </c>
    </row>
    <row r="112" spans="13:17" x14ac:dyDescent="0.25">
      <c r="M112" t="str">
        <f>IF(A112="","",SUMIFS(H$2:H112,J$2:J112,"Approved"))</f>
        <v/>
      </c>
      <c r="P112" s="13" t="str">
        <f t="shared" si="2"/>
        <v/>
      </c>
      <c r="Q112" t="str">
        <f t="shared" ca="1" si="3"/>
        <v/>
      </c>
    </row>
    <row r="113" spans="13:17" x14ac:dyDescent="0.25">
      <c r="M113" t="str">
        <f>IF(A113="","",SUMIFS(H$2:H113,J$2:J113,"Approved"))</f>
        <v/>
      </c>
      <c r="P113" s="13" t="str">
        <f t="shared" si="2"/>
        <v/>
      </c>
      <c r="Q113" t="str">
        <f t="shared" ca="1" si="3"/>
        <v/>
      </c>
    </row>
    <row r="114" spans="13:17" x14ac:dyDescent="0.25">
      <c r="M114" t="str">
        <f>IF(A114="","",SUMIFS(H$2:H114,J$2:J114,"Approved"))</f>
        <v/>
      </c>
      <c r="P114" s="13" t="str">
        <f t="shared" si="2"/>
        <v/>
      </c>
      <c r="Q114" t="str">
        <f t="shared" ca="1" si="3"/>
        <v/>
      </c>
    </row>
    <row r="115" spans="13:17" x14ac:dyDescent="0.25">
      <c r="M115" t="str">
        <f>IF(A115="","",SUMIFS(H$2:H115,J$2:J115,"Approved"))</f>
        <v/>
      </c>
      <c r="P115" s="13" t="str">
        <f t="shared" si="2"/>
        <v/>
      </c>
      <c r="Q115" t="str">
        <f t="shared" ca="1" si="3"/>
        <v/>
      </c>
    </row>
    <row r="116" spans="13:17" x14ac:dyDescent="0.25">
      <c r="M116" t="str">
        <f>IF(A116="","",SUMIFS(H$2:H116,J$2:J116,"Approved"))</f>
        <v/>
      </c>
      <c r="P116" s="13" t="str">
        <f t="shared" si="2"/>
        <v/>
      </c>
      <c r="Q116" t="str">
        <f t="shared" ca="1" si="3"/>
        <v/>
      </c>
    </row>
    <row r="117" spans="13:17" x14ac:dyDescent="0.25">
      <c r="M117" t="str">
        <f>IF(A117="","",SUMIFS(H$2:H117,J$2:J117,"Approved"))</f>
        <v/>
      </c>
      <c r="P117" s="13" t="str">
        <f t="shared" si="2"/>
        <v/>
      </c>
      <c r="Q117" t="str">
        <f t="shared" ca="1" si="3"/>
        <v/>
      </c>
    </row>
    <row r="118" spans="13:17" x14ac:dyDescent="0.25">
      <c r="M118" t="str">
        <f>IF(A118="","",SUMIFS(H$2:H118,J$2:J118,"Approved"))</f>
        <v/>
      </c>
      <c r="P118" s="13" t="str">
        <f t="shared" si="2"/>
        <v/>
      </c>
      <c r="Q118" t="str">
        <f t="shared" ca="1" si="3"/>
        <v/>
      </c>
    </row>
    <row r="119" spans="13:17" x14ac:dyDescent="0.25">
      <c r="M119" t="str">
        <f>IF(A119="","",SUMIFS(H$2:H119,J$2:J119,"Approved"))</f>
        <v/>
      </c>
      <c r="P119" s="13" t="str">
        <f t="shared" si="2"/>
        <v/>
      </c>
      <c r="Q119" t="str">
        <f t="shared" ca="1" si="3"/>
        <v/>
      </c>
    </row>
    <row r="120" spans="13:17" x14ac:dyDescent="0.25">
      <c r="M120" t="str">
        <f>IF(A120="","",SUMIFS(H$2:H120,J$2:J120,"Approved"))</f>
        <v/>
      </c>
      <c r="P120" s="13" t="str">
        <f t="shared" si="2"/>
        <v/>
      </c>
      <c r="Q120" t="str">
        <f t="shared" ca="1" si="3"/>
        <v/>
      </c>
    </row>
    <row r="121" spans="13:17" x14ac:dyDescent="0.25">
      <c r="M121" t="str">
        <f>IF(A121="","",SUMIFS(H$2:H121,J$2:J121,"Approved"))</f>
        <v/>
      </c>
      <c r="P121" s="13" t="str">
        <f t="shared" si="2"/>
        <v/>
      </c>
      <c r="Q121" t="str">
        <f t="shared" ca="1" si="3"/>
        <v/>
      </c>
    </row>
    <row r="122" spans="13:17" x14ac:dyDescent="0.25">
      <c r="M122" t="str">
        <f>IF(A122="","",SUMIFS(H$2:H122,J$2:J122,"Approved"))</f>
        <v/>
      </c>
      <c r="P122" s="13" t="str">
        <f t="shared" si="2"/>
        <v/>
      </c>
      <c r="Q122" t="str">
        <f t="shared" ca="1" si="3"/>
        <v/>
      </c>
    </row>
    <row r="123" spans="13:17" x14ac:dyDescent="0.25">
      <c r="M123" t="str">
        <f>IF(A123="","",SUMIFS(H$2:H123,J$2:J123,"Approved"))</f>
        <v/>
      </c>
      <c r="P123" s="13" t="str">
        <f t="shared" si="2"/>
        <v/>
      </c>
      <c r="Q123" t="str">
        <f t="shared" ca="1" si="3"/>
        <v/>
      </c>
    </row>
    <row r="124" spans="13:17" x14ac:dyDescent="0.25">
      <c r="M124" t="str">
        <f>IF(A124="","",SUMIFS(H$2:H124,J$2:J124,"Approved"))</f>
        <v/>
      </c>
      <c r="P124" s="13" t="str">
        <f t="shared" si="2"/>
        <v/>
      </c>
      <c r="Q124" t="str">
        <f t="shared" ca="1" si="3"/>
        <v/>
      </c>
    </row>
    <row r="125" spans="13:17" x14ac:dyDescent="0.25">
      <c r="M125" t="str">
        <f>IF(A125="","",SUMIFS(H$2:H125,J$2:J125,"Approved"))</f>
        <v/>
      </c>
      <c r="P125" s="13" t="str">
        <f t="shared" si="2"/>
        <v/>
      </c>
      <c r="Q125" t="str">
        <f t="shared" ca="1" si="3"/>
        <v/>
      </c>
    </row>
    <row r="126" spans="13:17" x14ac:dyDescent="0.25">
      <c r="M126" t="str">
        <f>IF(A126="","",SUMIFS(H$2:H126,J$2:J126,"Approved"))</f>
        <v/>
      </c>
      <c r="P126" s="13" t="str">
        <f t="shared" si="2"/>
        <v/>
      </c>
      <c r="Q126" t="str">
        <f t="shared" ca="1" si="3"/>
        <v/>
      </c>
    </row>
    <row r="127" spans="13:17" x14ac:dyDescent="0.25">
      <c r="M127" t="str">
        <f>IF(A127="","",SUMIFS(H$2:H127,J$2:J127,"Approved"))</f>
        <v/>
      </c>
      <c r="P127" s="13" t="str">
        <f t="shared" si="2"/>
        <v/>
      </c>
      <c r="Q127" t="str">
        <f t="shared" ca="1" si="3"/>
        <v/>
      </c>
    </row>
    <row r="128" spans="13:17" x14ac:dyDescent="0.25">
      <c r="M128" t="str">
        <f>IF(A128="","",SUMIFS(H$2:H128,J$2:J128,"Approved"))</f>
        <v/>
      </c>
      <c r="P128" s="13" t="str">
        <f t="shared" si="2"/>
        <v/>
      </c>
      <c r="Q128" t="str">
        <f t="shared" ca="1" si="3"/>
        <v/>
      </c>
    </row>
    <row r="129" spans="13:17" x14ac:dyDescent="0.25">
      <c r="M129" t="str">
        <f>IF(A129="","",SUMIFS(H$2:H129,J$2:J129,"Approved"))</f>
        <v/>
      </c>
      <c r="P129" s="13" t="str">
        <f t="shared" si="2"/>
        <v/>
      </c>
      <c r="Q129" t="str">
        <f t="shared" ca="1" si="3"/>
        <v/>
      </c>
    </row>
    <row r="130" spans="13:17" x14ac:dyDescent="0.25">
      <c r="M130" t="str">
        <f>IF(A130="","",SUMIFS(H$2:H130,J$2:J130,"Approved"))</f>
        <v/>
      </c>
      <c r="P130" s="13" t="str">
        <f t="shared" ref="P130:P193" si="4">IF(A130="","",MAX(B130+0,K130+0,L130+0))</f>
        <v/>
      </c>
      <c r="Q130" t="str">
        <f t="shared" ref="Q130:Q193" ca="1" si="5">IF(A130="","",IF(OR(J130="Approved",J130="Rejected",J130="Void"),"",TODAY()-P130))</f>
        <v/>
      </c>
    </row>
    <row r="131" spans="13:17" x14ac:dyDescent="0.25">
      <c r="M131" t="str">
        <f>IF(A131="","",SUMIFS(H$2:H131,J$2:J131,"Approved"))</f>
        <v/>
      </c>
      <c r="P131" s="13" t="str">
        <f t="shared" si="4"/>
        <v/>
      </c>
      <c r="Q131" t="str">
        <f t="shared" ca="1" si="5"/>
        <v/>
      </c>
    </row>
    <row r="132" spans="13:17" x14ac:dyDescent="0.25">
      <c r="M132" t="str">
        <f>IF(A132="","",SUMIFS(H$2:H132,J$2:J132,"Approved"))</f>
        <v/>
      </c>
      <c r="P132" s="13" t="str">
        <f t="shared" si="4"/>
        <v/>
      </c>
      <c r="Q132" t="str">
        <f t="shared" ca="1" si="5"/>
        <v/>
      </c>
    </row>
    <row r="133" spans="13:17" x14ac:dyDescent="0.25">
      <c r="M133" t="str">
        <f>IF(A133="","",SUMIFS(H$2:H133,J$2:J133,"Approved"))</f>
        <v/>
      </c>
      <c r="P133" s="13" t="str">
        <f t="shared" si="4"/>
        <v/>
      </c>
      <c r="Q133" t="str">
        <f t="shared" ca="1" si="5"/>
        <v/>
      </c>
    </row>
    <row r="134" spans="13:17" x14ac:dyDescent="0.25">
      <c r="M134" t="str">
        <f>IF(A134="","",SUMIFS(H$2:H134,J$2:J134,"Approved"))</f>
        <v/>
      </c>
      <c r="P134" s="13" t="str">
        <f t="shared" si="4"/>
        <v/>
      </c>
      <c r="Q134" t="str">
        <f t="shared" ca="1" si="5"/>
        <v/>
      </c>
    </row>
    <row r="135" spans="13:17" x14ac:dyDescent="0.25">
      <c r="M135" t="str">
        <f>IF(A135="","",SUMIFS(H$2:H135,J$2:J135,"Approved"))</f>
        <v/>
      </c>
      <c r="P135" s="13" t="str">
        <f t="shared" si="4"/>
        <v/>
      </c>
      <c r="Q135" t="str">
        <f t="shared" ca="1" si="5"/>
        <v/>
      </c>
    </row>
    <row r="136" spans="13:17" x14ac:dyDescent="0.25">
      <c r="M136" t="str">
        <f>IF(A136="","",SUMIFS(H$2:H136,J$2:J136,"Approved"))</f>
        <v/>
      </c>
      <c r="P136" s="13" t="str">
        <f t="shared" si="4"/>
        <v/>
      </c>
      <c r="Q136" t="str">
        <f t="shared" ca="1" si="5"/>
        <v/>
      </c>
    </row>
    <row r="137" spans="13:17" x14ac:dyDescent="0.25">
      <c r="M137" t="str">
        <f>IF(A137="","",SUMIFS(H$2:H137,J$2:J137,"Approved"))</f>
        <v/>
      </c>
      <c r="P137" s="13" t="str">
        <f t="shared" si="4"/>
        <v/>
      </c>
      <c r="Q137" t="str">
        <f t="shared" ca="1" si="5"/>
        <v/>
      </c>
    </row>
    <row r="138" spans="13:17" x14ac:dyDescent="0.25">
      <c r="M138" t="str">
        <f>IF(A138="","",SUMIFS(H$2:H138,J$2:J138,"Approved"))</f>
        <v/>
      </c>
      <c r="P138" s="13" t="str">
        <f t="shared" si="4"/>
        <v/>
      </c>
      <c r="Q138" t="str">
        <f t="shared" ca="1" si="5"/>
        <v/>
      </c>
    </row>
    <row r="139" spans="13:17" x14ac:dyDescent="0.25">
      <c r="M139" t="str">
        <f>IF(A139="","",SUMIFS(H$2:H139,J$2:J139,"Approved"))</f>
        <v/>
      </c>
      <c r="P139" s="13" t="str">
        <f t="shared" si="4"/>
        <v/>
      </c>
      <c r="Q139" t="str">
        <f t="shared" ca="1" si="5"/>
        <v/>
      </c>
    </row>
    <row r="140" spans="13:17" x14ac:dyDescent="0.25">
      <c r="M140" t="str">
        <f>IF(A140="","",SUMIFS(H$2:H140,J$2:J140,"Approved"))</f>
        <v/>
      </c>
      <c r="P140" s="13" t="str">
        <f t="shared" si="4"/>
        <v/>
      </c>
      <c r="Q140" t="str">
        <f t="shared" ca="1" si="5"/>
        <v/>
      </c>
    </row>
    <row r="141" spans="13:17" x14ac:dyDescent="0.25">
      <c r="M141" t="str">
        <f>IF(A141="","",SUMIFS(H$2:H141,J$2:J141,"Approved"))</f>
        <v/>
      </c>
      <c r="P141" s="13" t="str">
        <f t="shared" si="4"/>
        <v/>
      </c>
      <c r="Q141" t="str">
        <f t="shared" ca="1" si="5"/>
        <v/>
      </c>
    </row>
    <row r="142" spans="13:17" x14ac:dyDescent="0.25">
      <c r="M142" t="str">
        <f>IF(A142="","",SUMIFS(H$2:H142,J$2:J142,"Approved"))</f>
        <v/>
      </c>
      <c r="P142" s="13" t="str">
        <f t="shared" si="4"/>
        <v/>
      </c>
      <c r="Q142" t="str">
        <f t="shared" ca="1" si="5"/>
        <v/>
      </c>
    </row>
    <row r="143" spans="13:17" x14ac:dyDescent="0.25">
      <c r="M143" t="str">
        <f>IF(A143="","",SUMIFS(H$2:H143,J$2:J143,"Approved"))</f>
        <v/>
      </c>
      <c r="P143" s="13" t="str">
        <f t="shared" si="4"/>
        <v/>
      </c>
      <c r="Q143" t="str">
        <f t="shared" ca="1" si="5"/>
        <v/>
      </c>
    </row>
    <row r="144" spans="13:17" x14ac:dyDescent="0.25">
      <c r="M144" t="str">
        <f>IF(A144="","",SUMIFS(H$2:H144,J$2:J144,"Approved"))</f>
        <v/>
      </c>
      <c r="P144" s="13" t="str">
        <f t="shared" si="4"/>
        <v/>
      </c>
      <c r="Q144" t="str">
        <f t="shared" ca="1" si="5"/>
        <v/>
      </c>
    </row>
    <row r="145" spans="13:17" x14ac:dyDescent="0.25">
      <c r="M145" t="str">
        <f>IF(A145="","",SUMIFS(H$2:H145,J$2:J145,"Approved"))</f>
        <v/>
      </c>
      <c r="P145" s="13" t="str">
        <f t="shared" si="4"/>
        <v/>
      </c>
      <c r="Q145" t="str">
        <f t="shared" ca="1" si="5"/>
        <v/>
      </c>
    </row>
    <row r="146" spans="13:17" x14ac:dyDescent="0.25">
      <c r="M146" t="str">
        <f>IF(A146="","",SUMIFS(H$2:H146,J$2:J146,"Approved"))</f>
        <v/>
      </c>
      <c r="P146" s="13" t="str">
        <f t="shared" si="4"/>
        <v/>
      </c>
      <c r="Q146" t="str">
        <f t="shared" ca="1" si="5"/>
        <v/>
      </c>
    </row>
    <row r="147" spans="13:17" x14ac:dyDescent="0.25">
      <c r="M147" t="str">
        <f>IF(A147="","",SUMIFS(H$2:H147,J$2:J147,"Approved"))</f>
        <v/>
      </c>
      <c r="P147" s="13" t="str">
        <f t="shared" si="4"/>
        <v/>
      </c>
      <c r="Q147" t="str">
        <f t="shared" ca="1" si="5"/>
        <v/>
      </c>
    </row>
    <row r="148" spans="13:17" x14ac:dyDescent="0.25">
      <c r="M148" t="str">
        <f>IF(A148="","",SUMIFS(H$2:H148,J$2:J148,"Approved"))</f>
        <v/>
      </c>
      <c r="P148" s="13" t="str">
        <f t="shared" si="4"/>
        <v/>
      </c>
      <c r="Q148" t="str">
        <f t="shared" ca="1" si="5"/>
        <v/>
      </c>
    </row>
    <row r="149" spans="13:17" x14ac:dyDescent="0.25">
      <c r="M149" t="str">
        <f>IF(A149="","",SUMIFS(H$2:H149,J$2:J149,"Approved"))</f>
        <v/>
      </c>
      <c r="P149" s="13" t="str">
        <f t="shared" si="4"/>
        <v/>
      </c>
      <c r="Q149" t="str">
        <f t="shared" ca="1" si="5"/>
        <v/>
      </c>
    </row>
    <row r="150" spans="13:17" x14ac:dyDescent="0.25">
      <c r="M150" t="str">
        <f>IF(A150="","",SUMIFS(H$2:H150,J$2:J150,"Approved"))</f>
        <v/>
      </c>
      <c r="P150" s="13" t="str">
        <f t="shared" si="4"/>
        <v/>
      </c>
      <c r="Q150" t="str">
        <f t="shared" ca="1" si="5"/>
        <v/>
      </c>
    </row>
    <row r="151" spans="13:17" x14ac:dyDescent="0.25">
      <c r="M151" t="str">
        <f>IF(A151="","",SUMIFS(H$2:H151,J$2:J151,"Approved"))</f>
        <v/>
      </c>
      <c r="P151" s="13" t="str">
        <f t="shared" si="4"/>
        <v/>
      </c>
      <c r="Q151" t="str">
        <f t="shared" ca="1" si="5"/>
        <v/>
      </c>
    </row>
    <row r="152" spans="13:17" x14ac:dyDescent="0.25">
      <c r="M152" t="str">
        <f>IF(A152="","",SUMIFS(H$2:H152,J$2:J152,"Approved"))</f>
        <v/>
      </c>
      <c r="P152" s="13" t="str">
        <f t="shared" si="4"/>
        <v/>
      </c>
      <c r="Q152" t="str">
        <f t="shared" ca="1" si="5"/>
        <v/>
      </c>
    </row>
    <row r="153" spans="13:17" x14ac:dyDescent="0.25">
      <c r="M153" t="str">
        <f>IF(A153="","",SUMIFS(H$2:H153,J$2:J153,"Approved"))</f>
        <v/>
      </c>
      <c r="P153" s="13" t="str">
        <f t="shared" si="4"/>
        <v/>
      </c>
      <c r="Q153" t="str">
        <f t="shared" ca="1" si="5"/>
        <v/>
      </c>
    </row>
    <row r="154" spans="13:17" x14ac:dyDescent="0.25">
      <c r="M154" t="str">
        <f>IF(A154="","",SUMIFS(H$2:H154,J$2:J154,"Approved"))</f>
        <v/>
      </c>
      <c r="P154" s="13" t="str">
        <f t="shared" si="4"/>
        <v/>
      </c>
      <c r="Q154" t="str">
        <f t="shared" ca="1" si="5"/>
        <v/>
      </c>
    </row>
    <row r="155" spans="13:17" x14ac:dyDescent="0.25">
      <c r="M155" t="str">
        <f>IF(A155="","",SUMIFS(H$2:H155,J$2:J155,"Approved"))</f>
        <v/>
      </c>
      <c r="P155" s="13" t="str">
        <f t="shared" si="4"/>
        <v/>
      </c>
      <c r="Q155" t="str">
        <f t="shared" ca="1" si="5"/>
        <v/>
      </c>
    </row>
    <row r="156" spans="13:17" x14ac:dyDescent="0.25">
      <c r="M156" t="str">
        <f>IF(A156="","",SUMIFS(H$2:H156,J$2:J156,"Approved"))</f>
        <v/>
      </c>
      <c r="P156" s="13" t="str">
        <f t="shared" si="4"/>
        <v/>
      </c>
      <c r="Q156" t="str">
        <f t="shared" ca="1" si="5"/>
        <v/>
      </c>
    </row>
    <row r="157" spans="13:17" x14ac:dyDescent="0.25">
      <c r="M157" t="str">
        <f>IF(A157="","",SUMIFS(H$2:H157,J$2:J157,"Approved"))</f>
        <v/>
      </c>
      <c r="P157" s="13" t="str">
        <f t="shared" si="4"/>
        <v/>
      </c>
      <c r="Q157" t="str">
        <f t="shared" ca="1" si="5"/>
        <v/>
      </c>
    </row>
    <row r="158" spans="13:17" x14ac:dyDescent="0.25">
      <c r="M158" t="str">
        <f>IF(A158="","",SUMIFS(H$2:H158,J$2:J158,"Approved"))</f>
        <v/>
      </c>
      <c r="P158" s="13" t="str">
        <f t="shared" si="4"/>
        <v/>
      </c>
      <c r="Q158" t="str">
        <f t="shared" ca="1" si="5"/>
        <v/>
      </c>
    </row>
    <row r="159" spans="13:17" x14ac:dyDescent="0.25">
      <c r="M159" t="str">
        <f>IF(A159="","",SUMIFS(H$2:H159,J$2:J159,"Approved"))</f>
        <v/>
      </c>
      <c r="P159" s="13" t="str">
        <f t="shared" si="4"/>
        <v/>
      </c>
      <c r="Q159" t="str">
        <f t="shared" ca="1" si="5"/>
        <v/>
      </c>
    </row>
    <row r="160" spans="13:17" x14ac:dyDescent="0.25">
      <c r="M160" t="str">
        <f>IF(A160="","",SUMIFS(H$2:H160,J$2:J160,"Approved"))</f>
        <v/>
      </c>
      <c r="P160" s="13" t="str">
        <f t="shared" si="4"/>
        <v/>
      </c>
      <c r="Q160" t="str">
        <f t="shared" ca="1" si="5"/>
        <v/>
      </c>
    </row>
    <row r="161" spans="13:17" x14ac:dyDescent="0.25">
      <c r="M161" t="str">
        <f>IF(A161="","",SUMIFS(H$2:H161,J$2:J161,"Approved"))</f>
        <v/>
      </c>
      <c r="P161" s="13" t="str">
        <f t="shared" si="4"/>
        <v/>
      </c>
      <c r="Q161" t="str">
        <f t="shared" ca="1" si="5"/>
        <v/>
      </c>
    </row>
    <row r="162" spans="13:17" x14ac:dyDescent="0.25">
      <c r="M162" t="str">
        <f>IF(A162="","",SUMIFS(H$2:H162,J$2:J162,"Approved"))</f>
        <v/>
      </c>
      <c r="P162" s="13" t="str">
        <f t="shared" si="4"/>
        <v/>
      </c>
      <c r="Q162" t="str">
        <f t="shared" ca="1" si="5"/>
        <v/>
      </c>
    </row>
    <row r="163" spans="13:17" x14ac:dyDescent="0.25">
      <c r="M163" t="str">
        <f>IF(A163="","",SUMIFS(H$2:H163,J$2:J163,"Approved"))</f>
        <v/>
      </c>
      <c r="P163" s="13" t="str">
        <f t="shared" si="4"/>
        <v/>
      </c>
      <c r="Q163" t="str">
        <f t="shared" ca="1" si="5"/>
        <v/>
      </c>
    </row>
    <row r="164" spans="13:17" x14ac:dyDescent="0.25">
      <c r="M164" t="str">
        <f>IF(A164="","",SUMIFS(H$2:H164,J$2:J164,"Approved"))</f>
        <v/>
      </c>
      <c r="P164" s="13" t="str">
        <f t="shared" si="4"/>
        <v/>
      </c>
      <c r="Q164" t="str">
        <f t="shared" ca="1" si="5"/>
        <v/>
      </c>
    </row>
    <row r="165" spans="13:17" x14ac:dyDescent="0.25">
      <c r="M165" t="str">
        <f>IF(A165="","",SUMIFS(H$2:H165,J$2:J165,"Approved"))</f>
        <v/>
      </c>
      <c r="P165" s="13" t="str">
        <f t="shared" si="4"/>
        <v/>
      </c>
      <c r="Q165" t="str">
        <f t="shared" ca="1" si="5"/>
        <v/>
      </c>
    </row>
    <row r="166" spans="13:17" x14ac:dyDescent="0.25">
      <c r="M166" t="str">
        <f>IF(A166="","",SUMIFS(H$2:H166,J$2:J166,"Approved"))</f>
        <v/>
      </c>
      <c r="P166" s="13" t="str">
        <f t="shared" si="4"/>
        <v/>
      </c>
      <c r="Q166" t="str">
        <f t="shared" ca="1" si="5"/>
        <v/>
      </c>
    </row>
    <row r="167" spans="13:17" x14ac:dyDescent="0.25">
      <c r="M167" t="str">
        <f>IF(A167="","",SUMIFS(H$2:H167,J$2:J167,"Approved"))</f>
        <v/>
      </c>
      <c r="P167" s="13" t="str">
        <f t="shared" si="4"/>
        <v/>
      </c>
      <c r="Q167" t="str">
        <f t="shared" ca="1" si="5"/>
        <v/>
      </c>
    </row>
    <row r="168" spans="13:17" x14ac:dyDescent="0.25">
      <c r="M168" t="str">
        <f>IF(A168="","",SUMIFS(H$2:H168,J$2:J168,"Approved"))</f>
        <v/>
      </c>
      <c r="P168" s="13" t="str">
        <f t="shared" si="4"/>
        <v/>
      </c>
      <c r="Q168" t="str">
        <f t="shared" ca="1" si="5"/>
        <v/>
      </c>
    </row>
    <row r="169" spans="13:17" x14ac:dyDescent="0.25">
      <c r="M169" t="str">
        <f>IF(A169="","",SUMIFS(H$2:H169,J$2:J169,"Approved"))</f>
        <v/>
      </c>
      <c r="P169" s="13" t="str">
        <f t="shared" si="4"/>
        <v/>
      </c>
      <c r="Q169" t="str">
        <f t="shared" ca="1" si="5"/>
        <v/>
      </c>
    </row>
    <row r="170" spans="13:17" x14ac:dyDescent="0.25">
      <c r="M170" t="str">
        <f>IF(A170="","",SUMIFS(H$2:H170,J$2:J170,"Approved"))</f>
        <v/>
      </c>
      <c r="P170" s="13" t="str">
        <f t="shared" si="4"/>
        <v/>
      </c>
      <c r="Q170" t="str">
        <f t="shared" ca="1" si="5"/>
        <v/>
      </c>
    </row>
    <row r="171" spans="13:17" x14ac:dyDescent="0.25">
      <c r="M171" t="str">
        <f>IF(A171="","",SUMIFS(H$2:H171,J$2:J171,"Approved"))</f>
        <v/>
      </c>
      <c r="P171" s="13" t="str">
        <f t="shared" si="4"/>
        <v/>
      </c>
      <c r="Q171" t="str">
        <f t="shared" ca="1" si="5"/>
        <v/>
      </c>
    </row>
    <row r="172" spans="13:17" x14ac:dyDescent="0.25">
      <c r="M172" t="str">
        <f>IF(A172="","",SUMIFS(H$2:H172,J$2:J172,"Approved"))</f>
        <v/>
      </c>
      <c r="P172" s="13" t="str">
        <f t="shared" si="4"/>
        <v/>
      </c>
      <c r="Q172" t="str">
        <f t="shared" ca="1" si="5"/>
        <v/>
      </c>
    </row>
    <row r="173" spans="13:17" x14ac:dyDescent="0.25">
      <c r="M173" t="str">
        <f>IF(A173="","",SUMIFS(H$2:H173,J$2:J173,"Approved"))</f>
        <v/>
      </c>
      <c r="P173" s="13" t="str">
        <f t="shared" si="4"/>
        <v/>
      </c>
      <c r="Q173" t="str">
        <f t="shared" ca="1" si="5"/>
        <v/>
      </c>
    </row>
    <row r="174" spans="13:17" x14ac:dyDescent="0.25">
      <c r="M174" t="str">
        <f>IF(A174="","",SUMIFS(H$2:H174,J$2:J174,"Approved"))</f>
        <v/>
      </c>
      <c r="P174" s="13" t="str">
        <f t="shared" si="4"/>
        <v/>
      </c>
      <c r="Q174" t="str">
        <f t="shared" ca="1" si="5"/>
        <v/>
      </c>
    </row>
    <row r="175" spans="13:17" x14ac:dyDescent="0.25">
      <c r="M175" t="str">
        <f>IF(A175="","",SUMIFS(H$2:H175,J$2:J175,"Approved"))</f>
        <v/>
      </c>
      <c r="P175" s="13" t="str">
        <f t="shared" si="4"/>
        <v/>
      </c>
      <c r="Q175" t="str">
        <f t="shared" ca="1" si="5"/>
        <v/>
      </c>
    </row>
    <row r="176" spans="13:17" x14ac:dyDescent="0.25">
      <c r="M176" t="str">
        <f>IF(A176="","",SUMIFS(H$2:H176,J$2:J176,"Approved"))</f>
        <v/>
      </c>
      <c r="P176" s="13" t="str">
        <f t="shared" si="4"/>
        <v/>
      </c>
      <c r="Q176" t="str">
        <f t="shared" ca="1" si="5"/>
        <v/>
      </c>
    </row>
    <row r="177" spans="13:17" x14ac:dyDescent="0.25">
      <c r="M177" t="str">
        <f>IF(A177="","",SUMIFS(H$2:H177,J$2:J177,"Approved"))</f>
        <v/>
      </c>
      <c r="P177" s="13" t="str">
        <f t="shared" si="4"/>
        <v/>
      </c>
      <c r="Q177" t="str">
        <f t="shared" ca="1" si="5"/>
        <v/>
      </c>
    </row>
    <row r="178" spans="13:17" x14ac:dyDescent="0.25">
      <c r="M178" t="str">
        <f>IF(A178="","",SUMIFS(H$2:H178,J$2:J178,"Approved"))</f>
        <v/>
      </c>
      <c r="P178" s="13" t="str">
        <f t="shared" si="4"/>
        <v/>
      </c>
      <c r="Q178" t="str">
        <f t="shared" ca="1" si="5"/>
        <v/>
      </c>
    </row>
    <row r="179" spans="13:17" x14ac:dyDescent="0.25">
      <c r="M179" t="str">
        <f>IF(A179="","",SUMIFS(H$2:H179,J$2:J179,"Approved"))</f>
        <v/>
      </c>
      <c r="P179" s="13" t="str">
        <f t="shared" si="4"/>
        <v/>
      </c>
      <c r="Q179" t="str">
        <f t="shared" ca="1" si="5"/>
        <v/>
      </c>
    </row>
    <row r="180" spans="13:17" x14ac:dyDescent="0.25">
      <c r="M180" t="str">
        <f>IF(A180="","",SUMIFS(H$2:H180,J$2:J180,"Approved"))</f>
        <v/>
      </c>
      <c r="P180" s="13" t="str">
        <f t="shared" si="4"/>
        <v/>
      </c>
      <c r="Q180" t="str">
        <f t="shared" ca="1" si="5"/>
        <v/>
      </c>
    </row>
    <row r="181" spans="13:17" x14ac:dyDescent="0.25">
      <c r="M181" t="str">
        <f>IF(A181="","",SUMIFS(H$2:H181,J$2:J181,"Approved"))</f>
        <v/>
      </c>
      <c r="P181" s="13" t="str">
        <f t="shared" si="4"/>
        <v/>
      </c>
      <c r="Q181" t="str">
        <f t="shared" ca="1" si="5"/>
        <v/>
      </c>
    </row>
    <row r="182" spans="13:17" x14ac:dyDescent="0.25">
      <c r="M182" t="str">
        <f>IF(A182="","",SUMIFS(H$2:H182,J$2:J182,"Approved"))</f>
        <v/>
      </c>
      <c r="P182" s="13" t="str">
        <f t="shared" si="4"/>
        <v/>
      </c>
      <c r="Q182" t="str">
        <f t="shared" ca="1" si="5"/>
        <v/>
      </c>
    </row>
    <row r="183" spans="13:17" x14ac:dyDescent="0.25">
      <c r="M183" t="str">
        <f>IF(A183="","",SUMIFS(H$2:H183,J$2:J183,"Approved"))</f>
        <v/>
      </c>
      <c r="P183" s="13" t="str">
        <f t="shared" si="4"/>
        <v/>
      </c>
      <c r="Q183" t="str">
        <f t="shared" ca="1" si="5"/>
        <v/>
      </c>
    </row>
    <row r="184" spans="13:17" x14ac:dyDescent="0.25">
      <c r="M184" t="str">
        <f>IF(A184="","",SUMIFS(H$2:H184,J$2:J184,"Approved"))</f>
        <v/>
      </c>
      <c r="P184" s="13" t="str">
        <f t="shared" si="4"/>
        <v/>
      </c>
      <c r="Q184" t="str">
        <f t="shared" ca="1" si="5"/>
        <v/>
      </c>
    </row>
    <row r="185" spans="13:17" x14ac:dyDescent="0.25">
      <c r="M185" t="str">
        <f>IF(A185="","",SUMIFS(H$2:H185,J$2:J185,"Approved"))</f>
        <v/>
      </c>
      <c r="P185" s="13" t="str">
        <f t="shared" si="4"/>
        <v/>
      </c>
      <c r="Q185" t="str">
        <f t="shared" ca="1" si="5"/>
        <v/>
      </c>
    </row>
    <row r="186" spans="13:17" x14ac:dyDescent="0.25">
      <c r="M186" t="str">
        <f>IF(A186="","",SUMIFS(H$2:H186,J$2:J186,"Approved"))</f>
        <v/>
      </c>
      <c r="P186" s="13" t="str">
        <f t="shared" si="4"/>
        <v/>
      </c>
      <c r="Q186" t="str">
        <f t="shared" ca="1" si="5"/>
        <v/>
      </c>
    </row>
    <row r="187" spans="13:17" x14ac:dyDescent="0.25">
      <c r="M187" t="str">
        <f>IF(A187="","",SUMIFS(H$2:H187,J$2:J187,"Approved"))</f>
        <v/>
      </c>
      <c r="P187" s="13" t="str">
        <f t="shared" si="4"/>
        <v/>
      </c>
      <c r="Q187" t="str">
        <f t="shared" ca="1" si="5"/>
        <v/>
      </c>
    </row>
    <row r="188" spans="13:17" x14ac:dyDescent="0.25">
      <c r="M188" t="str">
        <f>IF(A188="","",SUMIFS(H$2:H188,J$2:J188,"Approved"))</f>
        <v/>
      </c>
      <c r="P188" s="13" t="str">
        <f t="shared" si="4"/>
        <v/>
      </c>
      <c r="Q188" t="str">
        <f t="shared" ca="1" si="5"/>
        <v/>
      </c>
    </row>
    <row r="189" spans="13:17" x14ac:dyDescent="0.25">
      <c r="M189" t="str">
        <f>IF(A189="","",SUMIFS(H$2:H189,J$2:J189,"Approved"))</f>
        <v/>
      </c>
      <c r="P189" s="13" t="str">
        <f t="shared" si="4"/>
        <v/>
      </c>
      <c r="Q189" t="str">
        <f t="shared" ca="1" si="5"/>
        <v/>
      </c>
    </row>
    <row r="190" spans="13:17" x14ac:dyDescent="0.25">
      <c r="M190" t="str">
        <f>IF(A190="","",SUMIFS(H$2:H190,J$2:J190,"Approved"))</f>
        <v/>
      </c>
      <c r="P190" s="13" t="str">
        <f t="shared" si="4"/>
        <v/>
      </c>
      <c r="Q190" t="str">
        <f t="shared" ca="1" si="5"/>
        <v/>
      </c>
    </row>
    <row r="191" spans="13:17" x14ac:dyDescent="0.25">
      <c r="M191" t="str">
        <f>IF(A191="","",SUMIFS(H$2:H191,J$2:J191,"Approved"))</f>
        <v/>
      </c>
      <c r="P191" s="13" t="str">
        <f t="shared" si="4"/>
        <v/>
      </c>
      <c r="Q191" t="str">
        <f t="shared" ca="1" si="5"/>
        <v/>
      </c>
    </row>
    <row r="192" spans="13:17" x14ac:dyDescent="0.25">
      <c r="M192" t="str">
        <f>IF(A192="","",SUMIFS(H$2:H192,J$2:J192,"Approved"))</f>
        <v/>
      </c>
      <c r="P192" s="13" t="str">
        <f t="shared" si="4"/>
        <v/>
      </c>
      <c r="Q192" t="str">
        <f t="shared" ca="1" si="5"/>
        <v/>
      </c>
    </row>
    <row r="193" spans="13:17" x14ac:dyDescent="0.25">
      <c r="M193" t="str">
        <f>IF(A193="","",SUMIFS(H$2:H193,J$2:J193,"Approved"))</f>
        <v/>
      </c>
      <c r="P193" s="13" t="str">
        <f t="shared" si="4"/>
        <v/>
      </c>
      <c r="Q193" t="str">
        <f t="shared" ca="1" si="5"/>
        <v/>
      </c>
    </row>
    <row r="194" spans="13:17" x14ac:dyDescent="0.25">
      <c r="M194" t="str">
        <f>IF(A194="","",SUMIFS(H$2:H194,J$2:J194,"Approved"))</f>
        <v/>
      </c>
      <c r="P194" s="13" t="str">
        <f t="shared" ref="P194:P257" si="6">IF(A194="","",MAX(B194+0,K194+0,L194+0))</f>
        <v/>
      </c>
      <c r="Q194" t="str">
        <f t="shared" ref="Q194:Q257" ca="1" si="7">IF(A194="","",IF(OR(J194="Approved",J194="Rejected",J194="Void"),"",TODAY()-P194))</f>
        <v/>
      </c>
    </row>
    <row r="195" spans="13:17" x14ac:dyDescent="0.25">
      <c r="M195" t="str">
        <f>IF(A195="","",SUMIFS(H$2:H195,J$2:J195,"Approved"))</f>
        <v/>
      </c>
      <c r="P195" s="13" t="str">
        <f t="shared" si="6"/>
        <v/>
      </c>
      <c r="Q195" t="str">
        <f t="shared" ca="1" si="7"/>
        <v/>
      </c>
    </row>
    <row r="196" spans="13:17" x14ac:dyDescent="0.25">
      <c r="M196" t="str">
        <f>IF(A196="","",SUMIFS(H$2:H196,J$2:J196,"Approved"))</f>
        <v/>
      </c>
      <c r="P196" s="13" t="str">
        <f t="shared" si="6"/>
        <v/>
      </c>
      <c r="Q196" t="str">
        <f t="shared" ca="1" si="7"/>
        <v/>
      </c>
    </row>
    <row r="197" spans="13:17" x14ac:dyDescent="0.25">
      <c r="M197" t="str">
        <f>IF(A197="","",SUMIFS(H$2:H197,J$2:J197,"Approved"))</f>
        <v/>
      </c>
      <c r="P197" s="13" t="str">
        <f t="shared" si="6"/>
        <v/>
      </c>
      <c r="Q197" t="str">
        <f t="shared" ca="1" si="7"/>
        <v/>
      </c>
    </row>
    <row r="198" spans="13:17" x14ac:dyDescent="0.25">
      <c r="M198" t="str">
        <f>IF(A198="","",SUMIFS(H$2:H198,J$2:J198,"Approved"))</f>
        <v/>
      </c>
      <c r="P198" s="13" t="str">
        <f t="shared" si="6"/>
        <v/>
      </c>
      <c r="Q198" t="str">
        <f t="shared" ca="1" si="7"/>
        <v/>
      </c>
    </row>
    <row r="199" spans="13:17" x14ac:dyDescent="0.25">
      <c r="M199" t="str">
        <f>IF(A199="","",SUMIFS(H$2:H199,J$2:J199,"Approved"))</f>
        <v/>
      </c>
      <c r="P199" s="13" t="str">
        <f t="shared" si="6"/>
        <v/>
      </c>
      <c r="Q199" t="str">
        <f t="shared" ca="1" si="7"/>
        <v/>
      </c>
    </row>
    <row r="200" spans="13:17" x14ac:dyDescent="0.25">
      <c r="M200" t="str">
        <f>IF(A200="","",SUMIFS(H$2:H200,J$2:J200,"Approved"))</f>
        <v/>
      </c>
      <c r="P200" s="13" t="str">
        <f t="shared" si="6"/>
        <v/>
      </c>
      <c r="Q200" t="str">
        <f t="shared" ca="1" si="7"/>
        <v/>
      </c>
    </row>
    <row r="201" spans="13:17" x14ac:dyDescent="0.25">
      <c r="M201" t="str">
        <f>IF(A201="","",SUMIFS(H$2:H201,J$2:J201,"Approved"))</f>
        <v/>
      </c>
      <c r="P201" s="13" t="str">
        <f t="shared" si="6"/>
        <v/>
      </c>
      <c r="Q201" t="str">
        <f t="shared" ca="1" si="7"/>
        <v/>
      </c>
    </row>
    <row r="202" spans="13:17" x14ac:dyDescent="0.25">
      <c r="M202" t="str">
        <f>IF(A202="","",SUMIFS(H$2:H202,J$2:J202,"Approved"))</f>
        <v/>
      </c>
      <c r="P202" s="13" t="str">
        <f t="shared" si="6"/>
        <v/>
      </c>
      <c r="Q202" t="str">
        <f t="shared" ca="1" si="7"/>
        <v/>
      </c>
    </row>
    <row r="203" spans="13:17" x14ac:dyDescent="0.25">
      <c r="M203" t="str">
        <f>IF(A203="","",SUMIFS(H$2:H203,J$2:J203,"Approved"))</f>
        <v/>
      </c>
      <c r="P203" s="13" t="str">
        <f t="shared" si="6"/>
        <v/>
      </c>
      <c r="Q203" t="str">
        <f t="shared" ca="1" si="7"/>
        <v/>
      </c>
    </row>
    <row r="204" spans="13:17" x14ac:dyDescent="0.25">
      <c r="M204" t="str">
        <f>IF(A204="","",SUMIFS(H$2:H204,J$2:J204,"Approved"))</f>
        <v/>
      </c>
      <c r="P204" s="13" t="str">
        <f t="shared" si="6"/>
        <v/>
      </c>
      <c r="Q204" t="str">
        <f t="shared" ca="1" si="7"/>
        <v/>
      </c>
    </row>
    <row r="205" spans="13:17" x14ac:dyDescent="0.25">
      <c r="M205" t="str">
        <f>IF(A205="","",SUMIFS(H$2:H205,J$2:J205,"Approved"))</f>
        <v/>
      </c>
      <c r="P205" s="13" t="str">
        <f t="shared" si="6"/>
        <v/>
      </c>
      <c r="Q205" t="str">
        <f t="shared" ca="1" si="7"/>
        <v/>
      </c>
    </row>
    <row r="206" spans="13:17" x14ac:dyDescent="0.25">
      <c r="M206" t="str">
        <f>IF(A206="","",SUMIFS(H$2:H206,J$2:J206,"Approved"))</f>
        <v/>
      </c>
      <c r="P206" s="13" t="str">
        <f t="shared" si="6"/>
        <v/>
      </c>
      <c r="Q206" t="str">
        <f t="shared" ca="1" si="7"/>
        <v/>
      </c>
    </row>
    <row r="207" spans="13:17" x14ac:dyDescent="0.25">
      <c r="M207" t="str">
        <f>IF(A207="","",SUMIFS(H$2:H207,J$2:J207,"Approved"))</f>
        <v/>
      </c>
      <c r="P207" s="13" t="str">
        <f t="shared" si="6"/>
        <v/>
      </c>
      <c r="Q207" t="str">
        <f t="shared" ca="1" si="7"/>
        <v/>
      </c>
    </row>
    <row r="208" spans="13:17" x14ac:dyDescent="0.25">
      <c r="M208" t="str">
        <f>IF(A208="","",SUMIFS(H$2:H208,J$2:J208,"Approved"))</f>
        <v/>
      </c>
      <c r="P208" s="13" t="str">
        <f t="shared" si="6"/>
        <v/>
      </c>
      <c r="Q208" t="str">
        <f t="shared" ca="1" si="7"/>
        <v/>
      </c>
    </row>
    <row r="209" spans="13:17" x14ac:dyDescent="0.25">
      <c r="M209" t="str">
        <f>IF(A209="","",SUMIFS(H$2:H209,J$2:J209,"Approved"))</f>
        <v/>
      </c>
      <c r="P209" s="13" t="str">
        <f t="shared" si="6"/>
        <v/>
      </c>
      <c r="Q209" t="str">
        <f t="shared" ca="1" si="7"/>
        <v/>
      </c>
    </row>
    <row r="210" spans="13:17" x14ac:dyDescent="0.25">
      <c r="M210" t="str">
        <f>IF(A210="","",SUMIFS(H$2:H210,J$2:J210,"Approved"))</f>
        <v/>
      </c>
      <c r="P210" s="13" t="str">
        <f t="shared" si="6"/>
        <v/>
      </c>
      <c r="Q210" t="str">
        <f t="shared" ca="1" si="7"/>
        <v/>
      </c>
    </row>
    <row r="211" spans="13:17" x14ac:dyDescent="0.25">
      <c r="M211" t="str">
        <f>IF(A211="","",SUMIFS(H$2:H211,J$2:J211,"Approved"))</f>
        <v/>
      </c>
      <c r="P211" s="13" t="str">
        <f t="shared" si="6"/>
        <v/>
      </c>
      <c r="Q211" t="str">
        <f t="shared" ca="1" si="7"/>
        <v/>
      </c>
    </row>
    <row r="212" spans="13:17" x14ac:dyDescent="0.25">
      <c r="M212" t="str">
        <f>IF(A212="","",SUMIFS(H$2:H212,J$2:J212,"Approved"))</f>
        <v/>
      </c>
      <c r="P212" s="13" t="str">
        <f t="shared" si="6"/>
        <v/>
      </c>
      <c r="Q212" t="str">
        <f t="shared" ca="1" si="7"/>
        <v/>
      </c>
    </row>
    <row r="213" spans="13:17" x14ac:dyDescent="0.25">
      <c r="M213" t="str">
        <f>IF(A213="","",SUMIFS(H$2:H213,J$2:J213,"Approved"))</f>
        <v/>
      </c>
      <c r="P213" s="13" t="str">
        <f t="shared" si="6"/>
        <v/>
      </c>
      <c r="Q213" t="str">
        <f t="shared" ca="1" si="7"/>
        <v/>
      </c>
    </row>
    <row r="214" spans="13:17" x14ac:dyDescent="0.25">
      <c r="M214" t="str">
        <f>IF(A214="","",SUMIFS(H$2:H214,J$2:J214,"Approved"))</f>
        <v/>
      </c>
      <c r="P214" s="13" t="str">
        <f t="shared" si="6"/>
        <v/>
      </c>
      <c r="Q214" t="str">
        <f t="shared" ca="1" si="7"/>
        <v/>
      </c>
    </row>
    <row r="215" spans="13:17" x14ac:dyDescent="0.25">
      <c r="M215" t="str">
        <f>IF(A215="","",SUMIFS(H$2:H215,J$2:J215,"Approved"))</f>
        <v/>
      </c>
      <c r="P215" s="13" t="str">
        <f t="shared" si="6"/>
        <v/>
      </c>
      <c r="Q215" t="str">
        <f t="shared" ca="1" si="7"/>
        <v/>
      </c>
    </row>
    <row r="216" spans="13:17" x14ac:dyDescent="0.25">
      <c r="M216" t="str">
        <f>IF(A216="","",SUMIFS(H$2:H216,J$2:J216,"Approved"))</f>
        <v/>
      </c>
      <c r="P216" s="13" t="str">
        <f t="shared" si="6"/>
        <v/>
      </c>
      <c r="Q216" t="str">
        <f t="shared" ca="1" si="7"/>
        <v/>
      </c>
    </row>
    <row r="217" spans="13:17" x14ac:dyDescent="0.25">
      <c r="M217" t="str">
        <f>IF(A217="","",SUMIFS(H$2:H217,J$2:J217,"Approved"))</f>
        <v/>
      </c>
      <c r="P217" s="13" t="str">
        <f t="shared" si="6"/>
        <v/>
      </c>
      <c r="Q217" t="str">
        <f t="shared" ca="1" si="7"/>
        <v/>
      </c>
    </row>
    <row r="218" spans="13:17" x14ac:dyDescent="0.25">
      <c r="M218" t="str">
        <f>IF(A218="","",SUMIFS(H$2:H218,J$2:J218,"Approved"))</f>
        <v/>
      </c>
      <c r="P218" s="13" t="str">
        <f t="shared" si="6"/>
        <v/>
      </c>
      <c r="Q218" t="str">
        <f t="shared" ca="1" si="7"/>
        <v/>
      </c>
    </row>
    <row r="219" spans="13:17" x14ac:dyDescent="0.25">
      <c r="M219" t="str">
        <f>IF(A219="","",SUMIFS(H$2:H219,J$2:J219,"Approved"))</f>
        <v/>
      </c>
      <c r="P219" s="13" t="str">
        <f t="shared" si="6"/>
        <v/>
      </c>
      <c r="Q219" t="str">
        <f t="shared" ca="1" si="7"/>
        <v/>
      </c>
    </row>
    <row r="220" spans="13:17" x14ac:dyDescent="0.25">
      <c r="M220" t="str">
        <f>IF(A220="","",SUMIFS(H$2:H220,J$2:J220,"Approved"))</f>
        <v/>
      </c>
      <c r="P220" s="13" t="str">
        <f t="shared" si="6"/>
        <v/>
      </c>
      <c r="Q220" t="str">
        <f t="shared" ca="1" si="7"/>
        <v/>
      </c>
    </row>
    <row r="221" spans="13:17" x14ac:dyDescent="0.25">
      <c r="M221" t="str">
        <f>IF(A221="","",SUMIFS(H$2:H221,J$2:J221,"Approved"))</f>
        <v/>
      </c>
      <c r="P221" s="13" t="str">
        <f t="shared" si="6"/>
        <v/>
      </c>
      <c r="Q221" t="str">
        <f t="shared" ca="1" si="7"/>
        <v/>
      </c>
    </row>
    <row r="222" spans="13:17" x14ac:dyDescent="0.25">
      <c r="M222" t="str">
        <f>IF(A222="","",SUMIFS(H$2:H222,J$2:J222,"Approved"))</f>
        <v/>
      </c>
      <c r="P222" s="13" t="str">
        <f t="shared" si="6"/>
        <v/>
      </c>
      <c r="Q222" t="str">
        <f t="shared" ca="1" si="7"/>
        <v/>
      </c>
    </row>
    <row r="223" spans="13:17" x14ac:dyDescent="0.25">
      <c r="M223" t="str">
        <f>IF(A223="","",SUMIFS(H$2:H223,J$2:J223,"Approved"))</f>
        <v/>
      </c>
      <c r="P223" s="13" t="str">
        <f t="shared" si="6"/>
        <v/>
      </c>
      <c r="Q223" t="str">
        <f t="shared" ca="1" si="7"/>
        <v/>
      </c>
    </row>
    <row r="224" spans="13:17" x14ac:dyDescent="0.25">
      <c r="M224" t="str">
        <f>IF(A224="","",SUMIFS(H$2:H224,J$2:J224,"Approved"))</f>
        <v/>
      </c>
      <c r="P224" s="13" t="str">
        <f t="shared" si="6"/>
        <v/>
      </c>
      <c r="Q224" t="str">
        <f t="shared" ca="1" si="7"/>
        <v/>
      </c>
    </row>
    <row r="225" spans="13:17" x14ac:dyDescent="0.25">
      <c r="M225" t="str">
        <f>IF(A225="","",SUMIFS(H$2:H225,J$2:J225,"Approved"))</f>
        <v/>
      </c>
      <c r="P225" s="13" t="str">
        <f t="shared" si="6"/>
        <v/>
      </c>
      <c r="Q225" t="str">
        <f t="shared" ca="1" si="7"/>
        <v/>
      </c>
    </row>
    <row r="226" spans="13:17" x14ac:dyDescent="0.25">
      <c r="M226" t="str">
        <f>IF(A226="","",SUMIFS(H$2:H226,J$2:J226,"Approved"))</f>
        <v/>
      </c>
      <c r="P226" s="13" t="str">
        <f t="shared" si="6"/>
        <v/>
      </c>
      <c r="Q226" t="str">
        <f t="shared" ca="1" si="7"/>
        <v/>
      </c>
    </row>
    <row r="227" spans="13:17" x14ac:dyDescent="0.25">
      <c r="M227" t="str">
        <f>IF(A227="","",SUMIFS(H$2:H227,J$2:J227,"Approved"))</f>
        <v/>
      </c>
      <c r="P227" s="13" t="str">
        <f t="shared" si="6"/>
        <v/>
      </c>
      <c r="Q227" t="str">
        <f t="shared" ca="1" si="7"/>
        <v/>
      </c>
    </row>
    <row r="228" spans="13:17" x14ac:dyDescent="0.25">
      <c r="M228" t="str">
        <f>IF(A228="","",SUMIFS(H$2:H228,J$2:J228,"Approved"))</f>
        <v/>
      </c>
      <c r="P228" s="13" t="str">
        <f t="shared" si="6"/>
        <v/>
      </c>
      <c r="Q228" t="str">
        <f t="shared" ca="1" si="7"/>
        <v/>
      </c>
    </row>
    <row r="229" spans="13:17" x14ac:dyDescent="0.25">
      <c r="M229" t="str">
        <f>IF(A229="","",SUMIFS(H$2:H229,J$2:J229,"Approved"))</f>
        <v/>
      </c>
      <c r="P229" s="13" t="str">
        <f t="shared" si="6"/>
        <v/>
      </c>
      <c r="Q229" t="str">
        <f t="shared" ca="1" si="7"/>
        <v/>
      </c>
    </row>
    <row r="230" spans="13:17" x14ac:dyDescent="0.25">
      <c r="M230" t="str">
        <f>IF(A230="","",SUMIFS(H$2:H230,J$2:J230,"Approved"))</f>
        <v/>
      </c>
      <c r="P230" s="13" t="str">
        <f t="shared" si="6"/>
        <v/>
      </c>
      <c r="Q230" t="str">
        <f t="shared" ca="1" si="7"/>
        <v/>
      </c>
    </row>
    <row r="231" spans="13:17" x14ac:dyDescent="0.25">
      <c r="M231" t="str">
        <f>IF(A231="","",SUMIFS(H$2:H231,J$2:J231,"Approved"))</f>
        <v/>
      </c>
      <c r="P231" s="13" t="str">
        <f t="shared" si="6"/>
        <v/>
      </c>
      <c r="Q231" t="str">
        <f t="shared" ca="1" si="7"/>
        <v/>
      </c>
    </row>
    <row r="232" spans="13:17" x14ac:dyDescent="0.25">
      <c r="M232" t="str">
        <f>IF(A232="","",SUMIFS(H$2:H232,J$2:J232,"Approved"))</f>
        <v/>
      </c>
      <c r="P232" s="13" t="str">
        <f t="shared" si="6"/>
        <v/>
      </c>
      <c r="Q232" t="str">
        <f t="shared" ca="1" si="7"/>
        <v/>
      </c>
    </row>
    <row r="233" spans="13:17" x14ac:dyDescent="0.25">
      <c r="M233" t="str">
        <f>IF(A233="","",SUMIFS(H$2:H233,J$2:J233,"Approved"))</f>
        <v/>
      </c>
      <c r="P233" s="13" t="str">
        <f t="shared" si="6"/>
        <v/>
      </c>
      <c r="Q233" t="str">
        <f t="shared" ca="1" si="7"/>
        <v/>
      </c>
    </row>
    <row r="234" spans="13:17" x14ac:dyDescent="0.25">
      <c r="M234" t="str">
        <f>IF(A234="","",SUMIFS(H$2:H234,J$2:J234,"Approved"))</f>
        <v/>
      </c>
      <c r="P234" s="13" t="str">
        <f t="shared" si="6"/>
        <v/>
      </c>
      <c r="Q234" t="str">
        <f t="shared" ca="1" si="7"/>
        <v/>
      </c>
    </row>
    <row r="235" spans="13:17" x14ac:dyDescent="0.25">
      <c r="M235" t="str">
        <f>IF(A235="","",SUMIFS(H$2:H235,J$2:J235,"Approved"))</f>
        <v/>
      </c>
      <c r="P235" s="13" t="str">
        <f t="shared" si="6"/>
        <v/>
      </c>
      <c r="Q235" t="str">
        <f t="shared" ca="1" si="7"/>
        <v/>
      </c>
    </row>
    <row r="236" spans="13:17" x14ac:dyDescent="0.25">
      <c r="M236" t="str">
        <f>IF(A236="","",SUMIFS(H$2:H236,J$2:J236,"Approved"))</f>
        <v/>
      </c>
      <c r="P236" s="13" t="str">
        <f t="shared" si="6"/>
        <v/>
      </c>
      <c r="Q236" t="str">
        <f t="shared" ca="1" si="7"/>
        <v/>
      </c>
    </row>
    <row r="237" spans="13:17" x14ac:dyDescent="0.25">
      <c r="M237" t="str">
        <f>IF(A237="","",SUMIFS(H$2:H237,J$2:J237,"Approved"))</f>
        <v/>
      </c>
      <c r="P237" s="13" t="str">
        <f t="shared" si="6"/>
        <v/>
      </c>
      <c r="Q237" t="str">
        <f t="shared" ca="1" si="7"/>
        <v/>
      </c>
    </row>
    <row r="238" spans="13:17" x14ac:dyDescent="0.25">
      <c r="M238" t="str">
        <f>IF(A238="","",SUMIFS(H$2:H238,J$2:J238,"Approved"))</f>
        <v/>
      </c>
      <c r="P238" s="13" t="str">
        <f t="shared" si="6"/>
        <v/>
      </c>
      <c r="Q238" t="str">
        <f t="shared" ca="1" si="7"/>
        <v/>
      </c>
    </row>
    <row r="239" spans="13:17" x14ac:dyDescent="0.25">
      <c r="M239" t="str">
        <f>IF(A239="","",SUMIFS(H$2:H239,J$2:J239,"Approved"))</f>
        <v/>
      </c>
      <c r="P239" s="13" t="str">
        <f t="shared" si="6"/>
        <v/>
      </c>
      <c r="Q239" t="str">
        <f t="shared" ca="1" si="7"/>
        <v/>
      </c>
    </row>
    <row r="240" spans="13:17" x14ac:dyDescent="0.25">
      <c r="M240" t="str">
        <f>IF(A240="","",SUMIFS(H$2:H240,J$2:J240,"Approved"))</f>
        <v/>
      </c>
      <c r="P240" s="13" t="str">
        <f t="shared" si="6"/>
        <v/>
      </c>
      <c r="Q240" t="str">
        <f t="shared" ca="1" si="7"/>
        <v/>
      </c>
    </row>
    <row r="241" spans="13:17" x14ac:dyDescent="0.25">
      <c r="M241" t="str">
        <f>IF(A241="","",SUMIFS(H$2:H241,J$2:J241,"Approved"))</f>
        <v/>
      </c>
      <c r="P241" s="13" t="str">
        <f t="shared" si="6"/>
        <v/>
      </c>
      <c r="Q241" t="str">
        <f t="shared" ca="1" si="7"/>
        <v/>
      </c>
    </row>
    <row r="242" spans="13:17" x14ac:dyDescent="0.25">
      <c r="M242" t="str">
        <f>IF(A242="","",SUMIFS(H$2:H242,J$2:J242,"Approved"))</f>
        <v/>
      </c>
      <c r="P242" s="13" t="str">
        <f t="shared" si="6"/>
        <v/>
      </c>
      <c r="Q242" t="str">
        <f t="shared" ca="1" si="7"/>
        <v/>
      </c>
    </row>
    <row r="243" spans="13:17" x14ac:dyDescent="0.25">
      <c r="M243" t="str">
        <f>IF(A243="","",SUMIFS(H$2:H243,J$2:J243,"Approved"))</f>
        <v/>
      </c>
      <c r="P243" s="13" t="str">
        <f t="shared" si="6"/>
        <v/>
      </c>
      <c r="Q243" t="str">
        <f t="shared" ca="1" si="7"/>
        <v/>
      </c>
    </row>
    <row r="244" spans="13:17" x14ac:dyDescent="0.25">
      <c r="M244" t="str">
        <f>IF(A244="","",SUMIFS(H$2:H244,J$2:J244,"Approved"))</f>
        <v/>
      </c>
      <c r="P244" s="13" t="str">
        <f t="shared" si="6"/>
        <v/>
      </c>
      <c r="Q244" t="str">
        <f t="shared" ca="1" si="7"/>
        <v/>
      </c>
    </row>
    <row r="245" spans="13:17" x14ac:dyDescent="0.25">
      <c r="M245" t="str">
        <f>IF(A245="","",SUMIFS(H$2:H245,J$2:J245,"Approved"))</f>
        <v/>
      </c>
      <c r="P245" s="13" t="str">
        <f t="shared" si="6"/>
        <v/>
      </c>
      <c r="Q245" t="str">
        <f t="shared" ca="1" si="7"/>
        <v/>
      </c>
    </row>
    <row r="246" spans="13:17" x14ac:dyDescent="0.25">
      <c r="M246" t="str">
        <f>IF(A246="","",SUMIFS(H$2:H246,J$2:J246,"Approved"))</f>
        <v/>
      </c>
      <c r="P246" s="13" t="str">
        <f t="shared" si="6"/>
        <v/>
      </c>
      <c r="Q246" t="str">
        <f t="shared" ca="1" si="7"/>
        <v/>
      </c>
    </row>
    <row r="247" spans="13:17" x14ac:dyDescent="0.25">
      <c r="M247" t="str">
        <f>IF(A247="","",SUMIFS(H$2:H247,J$2:J247,"Approved"))</f>
        <v/>
      </c>
      <c r="P247" s="13" t="str">
        <f t="shared" si="6"/>
        <v/>
      </c>
      <c r="Q247" t="str">
        <f t="shared" ca="1" si="7"/>
        <v/>
      </c>
    </row>
    <row r="248" spans="13:17" x14ac:dyDescent="0.25">
      <c r="M248" t="str">
        <f>IF(A248="","",SUMIFS(H$2:H248,J$2:J248,"Approved"))</f>
        <v/>
      </c>
      <c r="P248" s="13" t="str">
        <f t="shared" si="6"/>
        <v/>
      </c>
      <c r="Q248" t="str">
        <f t="shared" ca="1" si="7"/>
        <v/>
      </c>
    </row>
    <row r="249" spans="13:17" x14ac:dyDescent="0.25">
      <c r="M249" t="str">
        <f>IF(A249="","",SUMIFS(H$2:H249,J$2:J249,"Approved"))</f>
        <v/>
      </c>
      <c r="P249" s="13" t="str">
        <f t="shared" si="6"/>
        <v/>
      </c>
      <c r="Q249" t="str">
        <f t="shared" ca="1" si="7"/>
        <v/>
      </c>
    </row>
    <row r="250" spans="13:17" x14ac:dyDescent="0.25">
      <c r="M250" t="str">
        <f>IF(A250="","",SUMIFS(H$2:H250,J$2:J250,"Approved"))</f>
        <v/>
      </c>
      <c r="P250" s="13" t="str">
        <f t="shared" si="6"/>
        <v/>
      </c>
      <c r="Q250" t="str">
        <f t="shared" ca="1" si="7"/>
        <v/>
      </c>
    </row>
    <row r="251" spans="13:17" x14ac:dyDescent="0.25">
      <c r="M251" t="str">
        <f>IF(A251="","",SUMIFS(H$2:H251,J$2:J251,"Approved"))</f>
        <v/>
      </c>
      <c r="P251" s="13" t="str">
        <f t="shared" si="6"/>
        <v/>
      </c>
      <c r="Q251" t="str">
        <f t="shared" ca="1" si="7"/>
        <v/>
      </c>
    </row>
    <row r="252" spans="13:17" x14ac:dyDescent="0.25">
      <c r="M252" t="str">
        <f>IF(A252="","",SUMIFS(H$2:H252,J$2:J252,"Approved"))</f>
        <v/>
      </c>
      <c r="P252" s="13" t="str">
        <f t="shared" si="6"/>
        <v/>
      </c>
      <c r="Q252" t="str">
        <f t="shared" ca="1" si="7"/>
        <v/>
      </c>
    </row>
    <row r="253" spans="13:17" x14ac:dyDescent="0.25">
      <c r="M253" t="str">
        <f>IF(A253="","",SUMIFS(H$2:H253,J$2:J253,"Approved"))</f>
        <v/>
      </c>
      <c r="P253" s="13" t="str">
        <f t="shared" si="6"/>
        <v/>
      </c>
      <c r="Q253" t="str">
        <f t="shared" ca="1" si="7"/>
        <v/>
      </c>
    </row>
    <row r="254" spans="13:17" x14ac:dyDescent="0.25">
      <c r="M254" t="str">
        <f>IF(A254="","",SUMIFS(H$2:H254,J$2:J254,"Approved"))</f>
        <v/>
      </c>
      <c r="P254" s="13" t="str">
        <f t="shared" si="6"/>
        <v/>
      </c>
      <c r="Q254" t="str">
        <f t="shared" ca="1" si="7"/>
        <v/>
      </c>
    </row>
    <row r="255" spans="13:17" x14ac:dyDescent="0.25">
      <c r="M255" t="str">
        <f>IF(A255="","",SUMIFS(H$2:H255,J$2:J255,"Approved"))</f>
        <v/>
      </c>
      <c r="P255" s="13" t="str">
        <f t="shared" si="6"/>
        <v/>
      </c>
      <c r="Q255" t="str">
        <f t="shared" ca="1" si="7"/>
        <v/>
      </c>
    </row>
    <row r="256" spans="13:17" x14ac:dyDescent="0.25">
      <c r="M256" t="str">
        <f>IF(A256="","",SUMIFS(H$2:H256,J$2:J256,"Approved"))</f>
        <v/>
      </c>
      <c r="P256" s="13" t="str">
        <f t="shared" si="6"/>
        <v/>
      </c>
      <c r="Q256" t="str">
        <f t="shared" ca="1" si="7"/>
        <v/>
      </c>
    </row>
    <row r="257" spans="13:17" x14ac:dyDescent="0.25">
      <c r="M257" t="str">
        <f>IF(A257="","",SUMIFS(H$2:H257,J$2:J257,"Approved"))</f>
        <v/>
      </c>
      <c r="P257" s="13" t="str">
        <f t="shared" si="6"/>
        <v/>
      </c>
      <c r="Q257" t="str">
        <f t="shared" ca="1" si="7"/>
        <v/>
      </c>
    </row>
    <row r="258" spans="13:17" x14ac:dyDescent="0.25">
      <c r="M258" t="str">
        <f>IF(A258="","",SUMIFS(H$2:H258,J$2:J258,"Approved"))</f>
        <v/>
      </c>
      <c r="P258" s="13" t="str">
        <f t="shared" ref="P258:P298" si="8">IF(A258="","",MAX(B258+0,K258+0,L258+0))</f>
        <v/>
      </c>
      <c r="Q258" t="str">
        <f t="shared" ref="Q258:Q298" ca="1" si="9">IF(A258="","",IF(OR(J258="Approved",J258="Rejected",J258="Void"),"",TODAY()-P258))</f>
        <v/>
      </c>
    </row>
    <row r="259" spans="13:17" x14ac:dyDescent="0.25">
      <c r="M259" t="str">
        <f>IF(A259="","",SUMIFS(H$2:H259,J$2:J259,"Approved"))</f>
        <v/>
      </c>
      <c r="P259" s="13" t="str">
        <f t="shared" si="8"/>
        <v/>
      </c>
      <c r="Q259" t="str">
        <f t="shared" ca="1" si="9"/>
        <v/>
      </c>
    </row>
    <row r="260" spans="13:17" x14ac:dyDescent="0.25">
      <c r="M260" t="str">
        <f>IF(A260="","",SUMIFS(H$2:H260,J$2:J260,"Approved"))</f>
        <v/>
      </c>
      <c r="P260" s="13" t="str">
        <f t="shared" si="8"/>
        <v/>
      </c>
      <c r="Q260" t="str">
        <f t="shared" ca="1" si="9"/>
        <v/>
      </c>
    </row>
    <row r="261" spans="13:17" x14ac:dyDescent="0.25">
      <c r="M261" t="str">
        <f>IF(A261="","",SUMIFS(H$2:H261,J$2:J261,"Approved"))</f>
        <v/>
      </c>
      <c r="P261" s="13" t="str">
        <f t="shared" si="8"/>
        <v/>
      </c>
      <c r="Q261" t="str">
        <f t="shared" ca="1" si="9"/>
        <v/>
      </c>
    </row>
    <row r="262" spans="13:17" x14ac:dyDescent="0.25">
      <c r="M262" t="str">
        <f>IF(A262="","",SUMIFS(H$2:H262,J$2:J262,"Approved"))</f>
        <v/>
      </c>
      <c r="P262" s="13" t="str">
        <f t="shared" si="8"/>
        <v/>
      </c>
      <c r="Q262" t="str">
        <f t="shared" ca="1" si="9"/>
        <v/>
      </c>
    </row>
    <row r="263" spans="13:17" x14ac:dyDescent="0.25">
      <c r="M263" t="str">
        <f>IF(A263="","",SUMIFS(H$2:H263,J$2:J263,"Approved"))</f>
        <v/>
      </c>
      <c r="P263" s="13" t="str">
        <f t="shared" si="8"/>
        <v/>
      </c>
      <c r="Q263" t="str">
        <f t="shared" ca="1" si="9"/>
        <v/>
      </c>
    </row>
    <row r="264" spans="13:17" x14ac:dyDescent="0.25">
      <c r="M264" t="str">
        <f>IF(A264="","",SUMIFS(H$2:H264,J$2:J264,"Approved"))</f>
        <v/>
      </c>
      <c r="P264" s="13" t="str">
        <f t="shared" si="8"/>
        <v/>
      </c>
      <c r="Q264" t="str">
        <f t="shared" ca="1" si="9"/>
        <v/>
      </c>
    </row>
    <row r="265" spans="13:17" x14ac:dyDescent="0.25">
      <c r="M265" t="str">
        <f>IF(A265="","",SUMIFS(H$2:H265,J$2:J265,"Approved"))</f>
        <v/>
      </c>
      <c r="P265" s="13" t="str">
        <f t="shared" si="8"/>
        <v/>
      </c>
      <c r="Q265" t="str">
        <f t="shared" ca="1" si="9"/>
        <v/>
      </c>
    </row>
    <row r="266" spans="13:17" x14ac:dyDescent="0.25">
      <c r="M266" t="str">
        <f>IF(A266="","",SUMIFS(H$2:H266,J$2:J266,"Approved"))</f>
        <v/>
      </c>
      <c r="P266" s="13" t="str">
        <f t="shared" si="8"/>
        <v/>
      </c>
      <c r="Q266" t="str">
        <f t="shared" ca="1" si="9"/>
        <v/>
      </c>
    </row>
    <row r="267" spans="13:17" x14ac:dyDescent="0.25">
      <c r="M267" t="str">
        <f>IF(A267="","",SUMIFS(H$2:H267,J$2:J267,"Approved"))</f>
        <v/>
      </c>
      <c r="P267" s="13" t="str">
        <f t="shared" si="8"/>
        <v/>
      </c>
      <c r="Q267" t="str">
        <f t="shared" ca="1" si="9"/>
        <v/>
      </c>
    </row>
    <row r="268" spans="13:17" x14ac:dyDescent="0.25">
      <c r="M268" t="str">
        <f>IF(A268="","",SUMIFS(H$2:H268,J$2:J268,"Approved"))</f>
        <v/>
      </c>
      <c r="P268" s="13" t="str">
        <f t="shared" si="8"/>
        <v/>
      </c>
      <c r="Q268" t="str">
        <f t="shared" ca="1" si="9"/>
        <v/>
      </c>
    </row>
    <row r="269" spans="13:17" x14ac:dyDescent="0.25">
      <c r="M269" t="str">
        <f>IF(A269="","",SUMIFS(H$2:H269,J$2:J269,"Approved"))</f>
        <v/>
      </c>
      <c r="P269" s="13" t="str">
        <f t="shared" si="8"/>
        <v/>
      </c>
      <c r="Q269" t="str">
        <f t="shared" ca="1" si="9"/>
        <v/>
      </c>
    </row>
    <row r="270" spans="13:17" x14ac:dyDescent="0.25">
      <c r="M270" t="str">
        <f>IF(A270="","",SUMIFS(H$2:H270,J$2:J270,"Approved"))</f>
        <v/>
      </c>
      <c r="P270" s="13" t="str">
        <f t="shared" si="8"/>
        <v/>
      </c>
      <c r="Q270" t="str">
        <f t="shared" ca="1" si="9"/>
        <v/>
      </c>
    </row>
    <row r="271" spans="13:17" x14ac:dyDescent="0.25">
      <c r="M271" t="str">
        <f>IF(A271="","",SUMIFS(H$2:H271,J$2:J271,"Approved"))</f>
        <v/>
      </c>
      <c r="P271" s="13" t="str">
        <f t="shared" si="8"/>
        <v/>
      </c>
      <c r="Q271" t="str">
        <f t="shared" ca="1" si="9"/>
        <v/>
      </c>
    </row>
    <row r="272" spans="13:17" x14ac:dyDescent="0.25">
      <c r="M272" t="str">
        <f>IF(A272="","",SUMIFS(H$2:H272,J$2:J272,"Approved"))</f>
        <v/>
      </c>
      <c r="P272" s="13" t="str">
        <f t="shared" si="8"/>
        <v/>
      </c>
      <c r="Q272" t="str">
        <f t="shared" ca="1" si="9"/>
        <v/>
      </c>
    </row>
    <row r="273" spans="13:17" x14ac:dyDescent="0.25">
      <c r="M273" t="str">
        <f>IF(A273="","",SUMIFS(H$2:H273,J$2:J273,"Approved"))</f>
        <v/>
      </c>
      <c r="P273" s="13" t="str">
        <f t="shared" si="8"/>
        <v/>
      </c>
      <c r="Q273" t="str">
        <f t="shared" ca="1" si="9"/>
        <v/>
      </c>
    </row>
    <row r="274" spans="13:17" x14ac:dyDescent="0.25">
      <c r="M274" t="str">
        <f>IF(A274="","",SUMIFS(H$2:H274,J$2:J274,"Approved"))</f>
        <v/>
      </c>
      <c r="P274" s="13" t="str">
        <f t="shared" si="8"/>
        <v/>
      </c>
      <c r="Q274" t="str">
        <f t="shared" ca="1" si="9"/>
        <v/>
      </c>
    </row>
    <row r="275" spans="13:17" x14ac:dyDescent="0.25">
      <c r="M275" t="str">
        <f>IF(A275="","",SUMIFS(H$2:H275,J$2:J275,"Approved"))</f>
        <v/>
      </c>
      <c r="P275" s="13" t="str">
        <f t="shared" si="8"/>
        <v/>
      </c>
      <c r="Q275" t="str">
        <f t="shared" ca="1" si="9"/>
        <v/>
      </c>
    </row>
    <row r="276" spans="13:17" x14ac:dyDescent="0.25">
      <c r="M276" t="str">
        <f>IF(A276="","",SUMIFS(H$2:H276,J$2:J276,"Approved"))</f>
        <v/>
      </c>
      <c r="P276" s="13" t="str">
        <f t="shared" si="8"/>
        <v/>
      </c>
      <c r="Q276" t="str">
        <f t="shared" ca="1" si="9"/>
        <v/>
      </c>
    </row>
    <row r="277" spans="13:17" x14ac:dyDescent="0.25">
      <c r="M277" t="str">
        <f>IF(A277="","",SUMIFS(H$2:H277,J$2:J277,"Approved"))</f>
        <v/>
      </c>
      <c r="P277" s="13" t="str">
        <f t="shared" si="8"/>
        <v/>
      </c>
      <c r="Q277" t="str">
        <f t="shared" ca="1" si="9"/>
        <v/>
      </c>
    </row>
    <row r="278" spans="13:17" x14ac:dyDescent="0.25">
      <c r="M278" t="str">
        <f>IF(A278="","",SUMIFS(H$2:H278,J$2:J278,"Approved"))</f>
        <v/>
      </c>
      <c r="P278" s="13" t="str">
        <f t="shared" si="8"/>
        <v/>
      </c>
      <c r="Q278" t="str">
        <f t="shared" ca="1" si="9"/>
        <v/>
      </c>
    </row>
    <row r="279" spans="13:17" x14ac:dyDescent="0.25">
      <c r="M279" t="str">
        <f>IF(A279="","",SUMIFS(H$2:H279,J$2:J279,"Approved"))</f>
        <v/>
      </c>
      <c r="P279" s="13" t="str">
        <f t="shared" si="8"/>
        <v/>
      </c>
      <c r="Q279" t="str">
        <f t="shared" ca="1" si="9"/>
        <v/>
      </c>
    </row>
    <row r="280" spans="13:17" x14ac:dyDescent="0.25">
      <c r="M280" t="str">
        <f>IF(A280="","",SUMIFS(H$2:H280,J$2:J280,"Approved"))</f>
        <v/>
      </c>
      <c r="P280" s="13" t="str">
        <f t="shared" si="8"/>
        <v/>
      </c>
      <c r="Q280" t="str">
        <f t="shared" ca="1" si="9"/>
        <v/>
      </c>
    </row>
    <row r="281" spans="13:17" x14ac:dyDescent="0.25">
      <c r="M281" t="str">
        <f>IF(A281="","",SUMIFS(H$2:H281,J$2:J281,"Approved"))</f>
        <v/>
      </c>
      <c r="P281" s="13" t="str">
        <f t="shared" si="8"/>
        <v/>
      </c>
      <c r="Q281" t="str">
        <f t="shared" ca="1" si="9"/>
        <v/>
      </c>
    </row>
    <row r="282" spans="13:17" x14ac:dyDescent="0.25">
      <c r="M282" t="str">
        <f>IF(A282="","",SUMIFS(H$2:H282,J$2:J282,"Approved"))</f>
        <v/>
      </c>
      <c r="P282" s="13" t="str">
        <f t="shared" si="8"/>
        <v/>
      </c>
      <c r="Q282" t="str">
        <f t="shared" ca="1" si="9"/>
        <v/>
      </c>
    </row>
    <row r="283" spans="13:17" x14ac:dyDescent="0.25">
      <c r="M283" t="str">
        <f>IF(A283="","",SUMIFS(H$2:H283,J$2:J283,"Approved"))</f>
        <v/>
      </c>
      <c r="P283" s="13" t="str">
        <f t="shared" si="8"/>
        <v/>
      </c>
      <c r="Q283" t="str">
        <f t="shared" ca="1" si="9"/>
        <v/>
      </c>
    </row>
    <row r="284" spans="13:17" x14ac:dyDescent="0.25">
      <c r="M284" t="str">
        <f>IF(A284="","",SUMIFS(H$2:H284,J$2:J284,"Approved"))</f>
        <v/>
      </c>
      <c r="P284" s="13" t="str">
        <f t="shared" si="8"/>
        <v/>
      </c>
      <c r="Q284" t="str">
        <f t="shared" ca="1" si="9"/>
        <v/>
      </c>
    </row>
    <row r="285" spans="13:17" x14ac:dyDescent="0.25">
      <c r="M285" t="str">
        <f>IF(A285="","",SUMIFS(H$2:H285,J$2:J285,"Approved"))</f>
        <v/>
      </c>
      <c r="P285" s="13" t="str">
        <f t="shared" si="8"/>
        <v/>
      </c>
      <c r="Q285" t="str">
        <f t="shared" ca="1" si="9"/>
        <v/>
      </c>
    </row>
    <row r="286" spans="13:17" x14ac:dyDescent="0.25">
      <c r="M286" t="str">
        <f>IF(A286="","",SUMIFS(H$2:H286,J$2:J286,"Approved"))</f>
        <v/>
      </c>
      <c r="P286" s="13" t="str">
        <f t="shared" si="8"/>
        <v/>
      </c>
      <c r="Q286" t="str">
        <f t="shared" ca="1" si="9"/>
        <v/>
      </c>
    </row>
    <row r="287" spans="13:17" x14ac:dyDescent="0.25">
      <c r="M287" t="str">
        <f>IF(A287="","",SUMIFS(H$2:H287,J$2:J287,"Approved"))</f>
        <v/>
      </c>
      <c r="P287" s="13" t="str">
        <f t="shared" si="8"/>
        <v/>
      </c>
      <c r="Q287" t="str">
        <f t="shared" ca="1" si="9"/>
        <v/>
      </c>
    </row>
    <row r="288" spans="13:17" x14ac:dyDescent="0.25">
      <c r="M288" t="str">
        <f>IF(A288="","",SUMIFS(H$2:H288,J$2:J288,"Approved"))</f>
        <v/>
      </c>
      <c r="P288" s="13" t="str">
        <f t="shared" si="8"/>
        <v/>
      </c>
      <c r="Q288" t="str">
        <f t="shared" ca="1" si="9"/>
        <v/>
      </c>
    </row>
    <row r="289" spans="1:17" x14ac:dyDescent="0.25">
      <c r="M289" t="str">
        <f>IF(A289="","",SUMIFS(H$2:H289,J$2:J289,"Approved"))</f>
        <v/>
      </c>
      <c r="P289" s="13" t="str">
        <f t="shared" si="8"/>
        <v/>
      </c>
      <c r="Q289" t="str">
        <f t="shared" ca="1" si="9"/>
        <v/>
      </c>
    </row>
    <row r="290" spans="1:17" x14ac:dyDescent="0.25">
      <c r="M290" t="str">
        <f>IF(A290="","",SUMIFS(H$2:H290,J$2:J290,"Approved"))</f>
        <v/>
      </c>
      <c r="P290" s="13" t="str">
        <f t="shared" si="8"/>
        <v/>
      </c>
      <c r="Q290" t="str">
        <f t="shared" ca="1" si="9"/>
        <v/>
      </c>
    </row>
    <row r="291" spans="1:17" x14ac:dyDescent="0.25">
      <c r="M291" t="str">
        <f>IF(A291="","",SUMIFS(H$2:H291,J$2:J291,"Approved"))</f>
        <v/>
      </c>
      <c r="P291" s="13" t="str">
        <f t="shared" si="8"/>
        <v/>
      </c>
      <c r="Q291" t="str">
        <f t="shared" ca="1" si="9"/>
        <v/>
      </c>
    </row>
    <row r="292" spans="1:17" x14ac:dyDescent="0.25">
      <c r="M292" t="str">
        <f>IF(A292="","",SUMIFS(H$2:H292,J$2:J292,"Approved"))</f>
        <v/>
      </c>
      <c r="P292" s="13" t="str">
        <f t="shared" si="8"/>
        <v/>
      </c>
      <c r="Q292" t="str">
        <f t="shared" ca="1" si="9"/>
        <v/>
      </c>
    </row>
    <row r="293" spans="1:17" x14ac:dyDescent="0.25">
      <c r="M293" t="str">
        <f>IF(A293="","",SUMIFS(H$2:H293,J$2:J293,"Approved"))</f>
        <v/>
      </c>
      <c r="P293" s="13" t="str">
        <f t="shared" si="8"/>
        <v/>
      </c>
      <c r="Q293" t="str">
        <f t="shared" ca="1" si="9"/>
        <v/>
      </c>
    </row>
    <row r="294" spans="1:17" x14ac:dyDescent="0.25">
      <c r="M294" t="str">
        <f>IF(A294="","",SUMIFS(H$2:H294,J$2:J294,"Approved"))</f>
        <v/>
      </c>
      <c r="P294" s="13" t="str">
        <f t="shared" si="8"/>
        <v/>
      </c>
      <c r="Q294" t="str">
        <f t="shared" ca="1" si="9"/>
        <v/>
      </c>
    </row>
    <row r="295" spans="1:17" x14ac:dyDescent="0.25">
      <c r="M295" t="str">
        <f>IF(A295="","",SUMIFS(H$2:H295,J$2:J295,"Approved"))</f>
        <v/>
      </c>
      <c r="P295" s="13" t="str">
        <f t="shared" si="8"/>
        <v/>
      </c>
      <c r="Q295" t="str">
        <f t="shared" ca="1" si="9"/>
        <v/>
      </c>
    </row>
    <row r="296" spans="1:17" x14ac:dyDescent="0.25">
      <c r="M296" t="str">
        <f>IF(A296="","",SUMIFS(H$2:H296,J$2:J296,"Approved"))</f>
        <v/>
      </c>
      <c r="P296" s="13" t="str">
        <f t="shared" si="8"/>
        <v/>
      </c>
      <c r="Q296" t="str">
        <f t="shared" ca="1" si="9"/>
        <v/>
      </c>
    </row>
    <row r="297" spans="1:17" x14ac:dyDescent="0.25">
      <c r="M297" t="str">
        <f>IF(A297="","",SUMIFS(H$2:H297,J$2:J297,"Approved"))</f>
        <v/>
      </c>
      <c r="P297" s="13" t="str">
        <f t="shared" si="8"/>
        <v/>
      </c>
      <c r="Q297" t="str">
        <f t="shared" ca="1" si="9"/>
        <v/>
      </c>
    </row>
    <row r="298" spans="1:17" x14ac:dyDescent="0.25">
      <c r="M298" t="str">
        <f>IF(A298="","",SUMIFS(H$2:H298,J$2:J298,"Approved"))</f>
        <v/>
      </c>
      <c r="P298" s="13" t="str">
        <f t="shared" si="8"/>
        <v/>
      </c>
      <c r="Q298" t="str">
        <f t="shared" ca="1" si="9"/>
        <v/>
      </c>
    </row>
    <row r="301" spans="1:17" x14ac:dyDescent="0.25">
      <c r="A301" s="3" t="s">
        <v>298</v>
      </c>
    </row>
  </sheetData>
  <conditionalFormatting sqref="J2:J299">
    <cfRule type="cellIs" dxfId="24" priority="2" operator="equal">
      <formula>"Rejected"</formula>
    </cfRule>
  </conditionalFormatting>
  <conditionalFormatting sqref="Q2:Q299">
    <cfRule type="cellIs" dxfId="23" priority="3" operator="greaterThanOrEqual">
      <formula>14</formula>
    </cfRule>
  </conditionalFormatting>
  <dataValidations count="3">
    <dataValidation type="list" allowBlank="1" sqref="D2:D499" xr:uid="{00000000-0002-0000-0500-000000000000}">
      <formula1>"Owner Request,Field Condition,RFI,Claim,Design Change"</formula1>
      <formula2>0</formula2>
    </dataValidation>
    <dataValidation type="list" allowBlank="1" sqref="J2:J499" xr:uid="{00000000-0002-0000-0500-000001000000}">
      <formula1>"Draft,Pending,Approved,Rejected,Void"</formula1>
      <formula2>0</formula2>
    </dataValidation>
    <dataValidation type="list" allowBlank="1" sqref="O2:O499" xr:uid="{00000000-0002-0000-0500-000002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A1A1A"/>
    <pageSetUpPr fitToPage="1"/>
  </sheetPr>
  <dimension ref="A1:S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11" customWidth="1"/>
    <col min="2" max="2" width="14" customWidth="1"/>
    <col min="3" max="3" width="18" customWidth="1"/>
    <col min="4" max="4" width="14" customWidth="1"/>
    <col min="5" max="5" width="26" customWidth="1"/>
    <col min="6" max="8" width="14" customWidth="1"/>
    <col min="9" max="9" width="12" customWidth="1"/>
    <col min="10" max="10" width="28" customWidth="1"/>
    <col min="11" max="11" width="14" customWidth="1"/>
    <col min="12" max="12" width="13" customWidth="1"/>
    <col min="13" max="14" width="14" customWidth="1"/>
    <col min="15" max="15" width="18" customWidth="1"/>
    <col min="16" max="16" width="24" customWidth="1"/>
    <col min="17" max="19" width="14" customWidth="1"/>
  </cols>
  <sheetData>
    <row r="1" spans="1:19" ht="31.5" customHeight="1" x14ac:dyDescent="0.25">
      <c r="A1" s="18" t="s">
        <v>299</v>
      </c>
      <c r="B1" s="18" t="s">
        <v>211</v>
      </c>
      <c r="C1" s="18" t="s">
        <v>300</v>
      </c>
      <c r="D1" s="18" t="s">
        <v>301</v>
      </c>
      <c r="E1" s="18" t="s">
        <v>278</v>
      </c>
      <c r="F1" s="18" t="s">
        <v>302</v>
      </c>
      <c r="G1" s="18" t="s">
        <v>303</v>
      </c>
      <c r="H1" s="18" t="s">
        <v>304</v>
      </c>
      <c r="I1" s="18" t="s">
        <v>305</v>
      </c>
      <c r="J1" s="18" t="s">
        <v>306</v>
      </c>
      <c r="K1" s="18" t="s">
        <v>220</v>
      </c>
      <c r="L1" s="18" t="s">
        <v>307</v>
      </c>
      <c r="M1" s="18" t="s">
        <v>308</v>
      </c>
      <c r="N1" s="18" t="s">
        <v>309</v>
      </c>
      <c r="O1" s="18" t="s">
        <v>310</v>
      </c>
      <c r="P1" s="18" t="s">
        <v>226</v>
      </c>
      <c r="Q1" s="18" t="s">
        <v>227</v>
      </c>
      <c r="R1" s="18" t="s">
        <v>230</v>
      </c>
      <c r="S1" s="18" t="s">
        <v>231</v>
      </c>
    </row>
    <row r="2" spans="1:19" x14ac:dyDescent="0.25">
      <c r="A2" t="s">
        <v>568</v>
      </c>
      <c r="B2" s="25">
        <v>46257</v>
      </c>
      <c r="C2" t="s">
        <v>510</v>
      </c>
      <c r="D2">
        <v>7</v>
      </c>
      <c r="E2" t="s">
        <v>569</v>
      </c>
      <c r="F2">
        <v>56430</v>
      </c>
      <c r="G2">
        <v>0</v>
      </c>
      <c r="H2" t="s">
        <v>570</v>
      </c>
      <c r="J2" t="s">
        <v>577</v>
      </c>
      <c r="K2" t="s">
        <v>574</v>
      </c>
      <c r="L2" s="25">
        <v>46296</v>
      </c>
      <c r="M2" t="s">
        <v>575</v>
      </c>
      <c r="N2">
        <v>56430</v>
      </c>
      <c r="O2">
        <f>IF(C2="","",SUMIFS($N$2:N2,$C$2:C2,C2,$K$2:K2,"Approved"))</f>
        <v>56430</v>
      </c>
      <c r="P2" t="s">
        <v>576</v>
      </c>
      <c r="Q2" t="s">
        <v>274</v>
      </c>
      <c r="R2" s="13">
        <f t="shared" ref="R2:R65" si="0">IF(C2="","",MAX(B2+0,L2+0))</f>
        <v>46296</v>
      </c>
      <c r="S2" t="str">
        <f t="shared" ref="S2:S65" ca="1" si="1">IF(C2="","",IF(OR(K2="Approved",K2="Rejected",K2="Void"),"",TODAY()-R2))</f>
        <v/>
      </c>
    </row>
    <row r="3" spans="1:19" x14ac:dyDescent="0.25">
      <c r="O3" t="str">
        <f>IF(C3="","",SUMIFS($N$2:N3,$C$2:C3,C3,$K$2:K3,"Approved"))</f>
        <v/>
      </c>
      <c r="R3" s="13" t="str">
        <f t="shared" si="0"/>
        <v/>
      </c>
      <c r="S3" t="str">
        <f t="shared" ca="1" si="1"/>
        <v/>
      </c>
    </row>
    <row r="4" spans="1:19" x14ac:dyDescent="0.25">
      <c r="O4" t="str">
        <f>IF(C4="","",SUMIFS($N$2:N4,$C$2:C4,C4,$K$2:K4,"Approved"))</f>
        <v/>
      </c>
      <c r="R4" s="13" t="str">
        <f t="shared" si="0"/>
        <v/>
      </c>
      <c r="S4" t="str">
        <f t="shared" ca="1" si="1"/>
        <v/>
      </c>
    </row>
    <row r="5" spans="1:19" x14ac:dyDescent="0.25">
      <c r="O5" t="str">
        <f>IF(C5="","",SUMIFS($N$2:N5,$C$2:C5,C5,$K$2:K5,"Approved"))</f>
        <v/>
      </c>
      <c r="R5" s="13" t="str">
        <f t="shared" si="0"/>
        <v/>
      </c>
      <c r="S5" t="str">
        <f t="shared" ca="1" si="1"/>
        <v/>
      </c>
    </row>
    <row r="6" spans="1:19" x14ac:dyDescent="0.25">
      <c r="O6" t="str">
        <f>IF(C6="","",SUMIFS($N$2:N6,$C$2:C6,C6,$K$2:K6,"Approved"))</f>
        <v/>
      </c>
      <c r="R6" s="13" t="str">
        <f t="shared" si="0"/>
        <v/>
      </c>
      <c r="S6" t="str">
        <f t="shared" ca="1" si="1"/>
        <v/>
      </c>
    </row>
    <row r="7" spans="1:19" x14ac:dyDescent="0.25">
      <c r="O7" t="str">
        <f>IF(C7="","",SUMIFS($N$2:N7,$C$2:C7,C7,$K$2:K7,"Approved"))</f>
        <v/>
      </c>
      <c r="R7" s="13" t="str">
        <f t="shared" si="0"/>
        <v/>
      </c>
      <c r="S7" t="str">
        <f t="shared" ca="1" si="1"/>
        <v/>
      </c>
    </row>
    <row r="8" spans="1:19" x14ac:dyDescent="0.25">
      <c r="O8" t="str">
        <f>IF(C8="","",SUMIFS($N$2:N8,$C$2:C8,C8,$K$2:K8,"Approved"))</f>
        <v/>
      </c>
      <c r="R8" s="13" t="str">
        <f t="shared" si="0"/>
        <v/>
      </c>
      <c r="S8" t="str">
        <f t="shared" ca="1" si="1"/>
        <v/>
      </c>
    </row>
    <row r="9" spans="1:19" x14ac:dyDescent="0.25">
      <c r="O9" t="str">
        <f>IF(C9="","",SUMIFS($N$2:N9,$C$2:C9,C9,$K$2:K9,"Approved"))</f>
        <v/>
      </c>
      <c r="R9" s="13" t="str">
        <f t="shared" si="0"/>
        <v/>
      </c>
      <c r="S9" t="str">
        <f t="shared" ca="1" si="1"/>
        <v/>
      </c>
    </row>
    <row r="10" spans="1:19" x14ac:dyDescent="0.25">
      <c r="O10" t="str">
        <f>IF(C10="","",SUMIFS($N$2:N10,$C$2:C10,C10,$K$2:K10,"Approved"))</f>
        <v/>
      </c>
      <c r="R10" s="13" t="str">
        <f t="shared" si="0"/>
        <v/>
      </c>
      <c r="S10" t="str">
        <f t="shared" ca="1" si="1"/>
        <v/>
      </c>
    </row>
    <row r="11" spans="1:19" x14ac:dyDescent="0.25">
      <c r="O11" t="str">
        <f>IF(C11="","",SUMIFS($N$2:N11,$C$2:C11,C11,$K$2:K11,"Approved"))</f>
        <v/>
      </c>
      <c r="R11" s="13" t="str">
        <f t="shared" si="0"/>
        <v/>
      </c>
      <c r="S11" t="str">
        <f t="shared" ca="1" si="1"/>
        <v/>
      </c>
    </row>
    <row r="12" spans="1:19" x14ac:dyDescent="0.25">
      <c r="O12" t="str">
        <f>IF(C12="","",SUMIFS($N$2:N12,$C$2:C12,C12,$K$2:K12,"Approved"))</f>
        <v/>
      </c>
      <c r="R12" s="13" t="str">
        <f t="shared" si="0"/>
        <v/>
      </c>
      <c r="S12" t="str">
        <f t="shared" ca="1" si="1"/>
        <v/>
      </c>
    </row>
    <row r="13" spans="1:19" x14ac:dyDescent="0.25">
      <c r="O13" t="str">
        <f>IF(C13="","",SUMIFS($N$2:N13,$C$2:C13,C13,$K$2:K13,"Approved"))</f>
        <v/>
      </c>
      <c r="R13" s="13" t="str">
        <f t="shared" si="0"/>
        <v/>
      </c>
      <c r="S13" t="str">
        <f t="shared" ca="1" si="1"/>
        <v/>
      </c>
    </row>
    <row r="14" spans="1:19" x14ac:dyDescent="0.25">
      <c r="O14" t="str">
        <f>IF(C14="","",SUMIFS($N$2:N14,$C$2:C14,C14,$K$2:K14,"Approved"))</f>
        <v/>
      </c>
      <c r="R14" s="13" t="str">
        <f t="shared" si="0"/>
        <v/>
      </c>
      <c r="S14" t="str">
        <f t="shared" ca="1" si="1"/>
        <v/>
      </c>
    </row>
    <row r="15" spans="1:19" x14ac:dyDescent="0.25">
      <c r="O15" t="str">
        <f>IF(C15="","",SUMIFS($N$2:N15,$C$2:C15,C15,$K$2:K15,"Approved"))</f>
        <v/>
      </c>
      <c r="R15" s="13" t="str">
        <f t="shared" si="0"/>
        <v/>
      </c>
      <c r="S15" t="str">
        <f t="shared" ca="1" si="1"/>
        <v/>
      </c>
    </row>
    <row r="16" spans="1:19" x14ac:dyDescent="0.25">
      <c r="O16" t="str">
        <f>IF(C16="","",SUMIFS($N$2:N16,$C$2:C16,C16,$K$2:K16,"Approved"))</f>
        <v/>
      </c>
      <c r="R16" s="13" t="str">
        <f t="shared" si="0"/>
        <v/>
      </c>
      <c r="S16" t="str">
        <f t="shared" ca="1" si="1"/>
        <v/>
      </c>
    </row>
    <row r="17" spans="15:19" x14ac:dyDescent="0.25">
      <c r="O17" t="str">
        <f>IF(C17="","",SUMIFS($N$2:N17,$C$2:C17,C17,$K$2:K17,"Approved"))</f>
        <v/>
      </c>
      <c r="R17" s="13" t="str">
        <f t="shared" si="0"/>
        <v/>
      </c>
      <c r="S17" t="str">
        <f t="shared" ca="1" si="1"/>
        <v/>
      </c>
    </row>
    <row r="18" spans="15:19" x14ac:dyDescent="0.25">
      <c r="O18" t="str">
        <f>IF(C18="","",SUMIFS($N$2:N18,$C$2:C18,C18,$K$2:K18,"Approved"))</f>
        <v/>
      </c>
      <c r="R18" s="13" t="str">
        <f t="shared" si="0"/>
        <v/>
      </c>
      <c r="S18" t="str">
        <f t="shared" ca="1" si="1"/>
        <v/>
      </c>
    </row>
    <row r="19" spans="15:19" x14ac:dyDescent="0.25">
      <c r="O19" t="str">
        <f>IF(C19="","",SUMIFS($N$2:N19,$C$2:C19,C19,$K$2:K19,"Approved"))</f>
        <v/>
      </c>
      <c r="R19" s="13" t="str">
        <f t="shared" si="0"/>
        <v/>
      </c>
      <c r="S19" t="str">
        <f t="shared" ca="1" si="1"/>
        <v/>
      </c>
    </row>
    <row r="20" spans="15:19" x14ac:dyDescent="0.25">
      <c r="O20" t="str">
        <f>IF(C20="","",SUMIFS($N$2:N20,$C$2:C20,C20,$K$2:K20,"Approved"))</f>
        <v/>
      </c>
      <c r="R20" s="13" t="str">
        <f t="shared" si="0"/>
        <v/>
      </c>
      <c r="S20" t="str">
        <f t="shared" ca="1" si="1"/>
        <v/>
      </c>
    </row>
    <row r="21" spans="15:19" x14ac:dyDescent="0.25">
      <c r="O21" t="str">
        <f>IF(C21="","",SUMIFS($N$2:N21,$C$2:C21,C21,$K$2:K21,"Approved"))</f>
        <v/>
      </c>
      <c r="R21" s="13" t="str">
        <f t="shared" si="0"/>
        <v/>
      </c>
      <c r="S21" t="str">
        <f t="shared" ca="1" si="1"/>
        <v/>
      </c>
    </row>
    <row r="22" spans="15:19" x14ac:dyDescent="0.25">
      <c r="O22" t="str">
        <f>IF(C22="","",SUMIFS($N$2:N22,$C$2:C22,C22,$K$2:K22,"Approved"))</f>
        <v/>
      </c>
      <c r="R22" s="13" t="str">
        <f t="shared" si="0"/>
        <v/>
      </c>
      <c r="S22" t="str">
        <f t="shared" ca="1" si="1"/>
        <v/>
      </c>
    </row>
    <row r="23" spans="15:19" x14ac:dyDescent="0.25">
      <c r="O23" t="str">
        <f>IF(C23="","",SUMIFS($N$2:N23,$C$2:C23,C23,$K$2:K23,"Approved"))</f>
        <v/>
      </c>
      <c r="R23" s="13" t="str">
        <f t="shared" si="0"/>
        <v/>
      </c>
      <c r="S23" t="str">
        <f t="shared" ca="1" si="1"/>
        <v/>
      </c>
    </row>
    <row r="24" spans="15:19" x14ac:dyDescent="0.25">
      <c r="O24" t="str">
        <f>IF(C24="","",SUMIFS($N$2:N24,$C$2:C24,C24,$K$2:K24,"Approved"))</f>
        <v/>
      </c>
      <c r="R24" s="13" t="str">
        <f t="shared" si="0"/>
        <v/>
      </c>
      <c r="S24" t="str">
        <f t="shared" ca="1" si="1"/>
        <v/>
      </c>
    </row>
    <row r="25" spans="15:19" x14ac:dyDescent="0.25">
      <c r="O25" t="str">
        <f>IF(C25="","",SUMIFS($N$2:N25,$C$2:C25,C25,$K$2:K25,"Approved"))</f>
        <v/>
      </c>
      <c r="R25" s="13" t="str">
        <f t="shared" si="0"/>
        <v/>
      </c>
      <c r="S25" t="str">
        <f t="shared" ca="1" si="1"/>
        <v/>
      </c>
    </row>
    <row r="26" spans="15:19" x14ac:dyDescent="0.25">
      <c r="O26" t="str">
        <f>IF(C26="","",SUMIFS($N$2:N26,$C$2:C26,C26,$K$2:K26,"Approved"))</f>
        <v/>
      </c>
      <c r="R26" s="13" t="str">
        <f t="shared" si="0"/>
        <v/>
      </c>
      <c r="S26" t="str">
        <f t="shared" ca="1" si="1"/>
        <v/>
      </c>
    </row>
    <row r="27" spans="15:19" x14ac:dyDescent="0.25">
      <c r="O27" t="str">
        <f>IF(C27="","",SUMIFS($N$2:N27,$C$2:C27,C27,$K$2:K27,"Approved"))</f>
        <v/>
      </c>
      <c r="R27" s="13" t="str">
        <f t="shared" si="0"/>
        <v/>
      </c>
      <c r="S27" t="str">
        <f t="shared" ca="1" si="1"/>
        <v/>
      </c>
    </row>
    <row r="28" spans="15:19" x14ac:dyDescent="0.25">
      <c r="O28" t="str">
        <f>IF(C28="","",SUMIFS($N$2:N28,$C$2:C28,C28,$K$2:K28,"Approved"))</f>
        <v/>
      </c>
      <c r="R28" s="13" t="str">
        <f t="shared" si="0"/>
        <v/>
      </c>
      <c r="S28" t="str">
        <f t="shared" ca="1" si="1"/>
        <v/>
      </c>
    </row>
    <row r="29" spans="15:19" x14ac:dyDescent="0.25">
      <c r="O29" t="str">
        <f>IF(C29="","",SUMIFS($N$2:N29,$C$2:C29,C29,$K$2:K29,"Approved"))</f>
        <v/>
      </c>
      <c r="R29" s="13" t="str">
        <f t="shared" si="0"/>
        <v/>
      </c>
      <c r="S29" t="str">
        <f t="shared" ca="1" si="1"/>
        <v/>
      </c>
    </row>
    <row r="30" spans="15:19" x14ac:dyDescent="0.25">
      <c r="O30" t="str">
        <f>IF(C30="","",SUMIFS($N$2:N30,$C$2:C30,C30,$K$2:K30,"Approved"))</f>
        <v/>
      </c>
      <c r="R30" s="13" t="str">
        <f t="shared" si="0"/>
        <v/>
      </c>
      <c r="S30" t="str">
        <f t="shared" ca="1" si="1"/>
        <v/>
      </c>
    </row>
    <row r="31" spans="15:19" x14ac:dyDescent="0.25">
      <c r="O31" t="str">
        <f>IF(C31="","",SUMIFS($N$2:N31,$C$2:C31,C31,$K$2:K31,"Approved"))</f>
        <v/>
      </c>
      <c r="R31" s="13" t="str">
        <f t="shared" si="0"/>
        <v/>
      </c>
      <c r="S31" t="str">
        <f t="shared" ca="1" si="1"/>
        <v/>
      </c>
    </row>
    <row r="32" spans="15:19" x14ac:dyDescent="0.25">
      <c r="O32" t="str">
        <f>IF(C32="","",SUMIFS($N$2:N32,$C$2:C32,C32,$K$2:K32,"Approved"))</f>
        <v/>
      </c>
      <c r="R32" s="13" t="str">
        <f t="shared" si="0"/>
        <v/>
      </c>
      <c r="S32" t="str">
        <f t="shared" ca="1" si="1"/>
        <v/>
      </c>
    </row>
    <row r="33" spans="15:19" x14ac:dyDescent="0.25">
      <c r="O33" t="str">
        <f>IF(C33="","",SUMIFS($N$2:N33,$C$2:C33,C33,$K$2:K33,"Approved"))</f>
        <v/>
      </c>
      <c r="R33" s="13" t="str">
        <f t="shared" si="0"/>
        <v/>
      </c>
      <c r="S33" t="str">
        <f t="shared" ca="1" si="1"/>
        <v/>
      </c>
    </row>
    <row r="34" spans="15:19" x14ac:dyDescent="0.25">
      <c r="O34" t="str">
        <f>IF(C34="","",SUMIFS($N$2:N34,$C$2:C34,C34,$K$2:K34,"Approved"))</f>
        <v/>
      </c>
      <c r="R34" s="13" t="str">
        <f t="shared" si="0"/>
        <v/>
      </c>
      <c r="S34" t="str">
        <f t="shared" ca="1" si="1"/>
        <v/>
      </c>
    </row>
    <row r="35" spans="15:19" x14ac:dyDescent="0.25">
      <c r="O35" t="str">
        <f>IF(C35="","",SUMIFS($N$2:N35,$C$2:C35,C35,$K$2:K35,"Approved"))</f>
        <v/>
      </c>
      <c r="R35" s="13" t="str">
        <f t="shared" si="0"/>
        <v/>
      </c>
      <c r="S35" t="str">
        <f t="shared" ca="1" si="1"/>
        <v/>
      </c>
    </row>
    <row r="36" spans="15:19" x14ac:dyDescent="0.25">
      <c r="O36" t="str">
        <f>IF(C36="","",SUMIFS($N$2:N36,$C$2:C36,C36,$K$2:K36,"Approved"))</f>
        <v/>
      </c>
      <c r="R36" s="13" t="str">
        <f t="shared" si="0"/>
        <v/>
      </c>
      <c r="S36" t="str">
        <f t="shared" ca="1" si="1"/>
        <v/>
      </c>
    </row>
    <row r="37" spans="15:19" x14ac:dyDescent="0.25">
      <c r="O37" t="str">
        <f>IF(C37="","",SUMIFS($N$2:N37,$C$2:C37,C37,$K$2:K37,"Approved"))</f>
        <v/>
      </c>
      <c r="R37" s="13" t="str">
        <f t="shared" si="0"/>
        <v/>
      </c>
      <c r="S37" t="str">
        <f t="shared" ca="1" si="1"/>
        <v/>
      </c>
    </row>
    <row r="38" spans="15:19" x14ac:dyDescent="0.25">
      <c r="O38" t="str">
        <f>IF(C38="","",SUMIFS($N$2:N38,$C$2:C38,C38,$K$2:K38,"Approved"))</f>
        <v/>
      </c>
      <c r="R38" s="13" t="str">
        <f t="shared" si="0"/>
        <v/>
      </c>
      <c r="S38" t="str">
        <f t="shared" ca="1" si="1"/>
        <v/>
      </c>
    </row>
    <row r="39" spans="15:19" x14ac:dyDescent="0.25">
      <c r="O39" t="str">
        <f>IF(C39="","",SUMIFS($N$2:N39,$C$2:C39,C39,$K$2:K39,"Approved"))</f>
        <v/>
      </c>
      <c r="R39" s="13" t="str">
        <f t="shared" si="0"/>
        <v/>
      </c>
      <c r="S39" t="str">
        <f t="shared" ca="1" si="1"/>
        <v/>
      </c>
    </row>
    <row r="40" spans="15:19" x14ac:dyDescent="0.25">
      <c r="O40" t="str">
        <f>IF(C40="","",SUMIFS($N$2:N40,$C$2:C40,C40,$K$2:K40,"Approved"))</f>
        <v/>
      </c>
      <c r="R40" s="13" t="str">
        <f t="shared" si="0"/>
        <v/>
      </c>
      <c r="S40" t="str">
        <f t="shared" ca="1" si="1"/>
        <v/>
      </c>
    </row>
    <row r="41" spans="15:19" x14ac:dyDescent="0.25">
      <c r="O41" t="str">
        <f>IF(C41="","",SUMIFS($N$2:N41,$C$2:C41,C41,$K$2:K41,"Approved"))</f>
        <v/>
      </c>
      <c r="R41" s="13" t="str">
        <f t="shared" si="0"/>
        <v/>
      </c>
      <c r="S41" t="str">
        <f t="shared" ca="1" si="1"/>
        <v/>
      </c>
    </row>
    <row r="42" spans="15:19" x14ac:dyDescent="0.25">
      <c r="O42" t="str">
        <f>IF(C42="","",SUMIFS($N$2:N42,$C$2:C42,C42,$K$2:K42,"Approved"))</f>
        <v/>
      </c>
      <c r="R42" s="13" t="str">
        <f t="shared" si="0"/>
        <v/>
      </c>
      <c r="S42" t="str">
        <f t="shared" ca="1" si="1"/>
        <v/>
      </c>
    </row>
    <row r="43" spans="15:19" x14ac:dyDescent="0.25">
      <c r="O43" t="str">
        <f>IF(C43="","",SUMIFS($N$2:N43,$C$2:C43,C43,$K$2:K43,"Approved"))</f>
        <v/>
      </c>
      <c r="R43" s="13" t="str">
        <f t="shared" si="0"/>
        <v/>
      </c>
      <c r="S43" t="str">
        <f t="shared" ca="1" si="1"/>
        <v/>
      </c>
    </row>
    <row r="44" spans="15:19" x14ac:dyDescent="0.25">
      <c r="O44" t="str">
        <f>IF(C44="","",SUMIFS($N$2:N44,$C$2:C44,C44,$K$2:K44,"Approved"))</f>
        <v/>
      </c>
      <c r="R44" s="13" t="str">
        <f t="shared" si="0"/>
        <v/>
      </c>
      <c r="S44" t="str">
        <f t="shared" ca="1" si="1"/>
        <v/>
      </c>
    </row>
    <row r="45" spans="15:19" x14ac:dyDescent="0.25">
      <c r="O45" t="str">
        <f>IF(C45="","",SUMIFS($N$2:N45,$C$2:C45,C45,$K$2:K45,"Approved"))</f>
        <v/>
      </c>
      <c r="R45" s="13" t="str">
        <f t="shared" si="0"/>
        <v/>
      </c>
      <c r="S45" t="str">
        <f t="shared" ca="1" si="1"/>
        <v/>
      </c>
    </row>
    <row r="46" spans="15:19" x14ac:dyDescent="0.25">
      <c r="O46" t="str">
        <f>IF(C46="","",SUMIFS($N$2:N46,$C$2:C46,C46,$K$2:K46,"Approved"))</f>
        <v/>
      </c>
      <c r="R46" s="13" t="str">
        <f t="shared" si="0"/>
        <v/>
      </c>
      <c r="S46" t="str">
        <f t="shared" ca="1" si="1"/>
        <v/>
      </c>
    </row>
    <row r="47" spans="15:19" x14ac:dyDescent="0.25">
      <c r="O47" t="str">
        <f>IF(C47="","",SUMIFS($N$2:N47,$C$2:C47,C47,$K$2:K47,"Approved"))</f>
        <v/>
      </c>
      <c r="R47" s="13" t="str">
        <f t="shared" si="0"/>
        <v/>
      </c>
      <c r="S47" t="str">
        <f t="shared" ca="1" si="1"/>
        <v/>
      </c>
    </row>
    <row r="48" spans="15:19" x14ac:dyDescent="0.25">
      <c r="O48" t="str">
        <f>IF(C48="","",SUMIFS($N$2:N48,$C$2:C48,C48,$K$2:K48,"Approved"))</f>
        <v/>
      </c>
      <c r="R48" s="13" t="str">
        <f t="shared" si="0"/>
        <v/>
      </c>
      <c r="S48" t="str">
        <f t="shared" ca="1" si="1"/>
        <v/>
      </c>
    </row>
    <row r="49" spans="15:19" x14ac:dyDescent="0.25">
      <c r="O49" t="str">
        <f>IF(C49="","",SUMIFS($N$2:N49,$C$2:C49,C49,$K$2:K49,"Approved"))</f>
        <v/>
      </c>
      <c r="R49" s="13" t="str">
        <f t="shared" si="0"/>
        <v/>
      </c>
      <c r="S49" t="str">
        <f t="shared" ca="1" si="1"/>
        <v/>
      </c>
    </row>
    <row r="50" spans="15:19" x14ac:dyDescent="0.25">
      <c r="O50" t="str">
        <f>IF(C50="","",SUMIFS($N$2:N50,$C$2:C50,C50,$K$2:K50,"Approved"))</f>
        <v/>
      </c>
      <c r="R50" s="13" t="str">
        <f t="shared" si="0"/>
        <v/>
      </c>
      <c r="S50" t="str">
        <f t="shared" ca="1" si="1"/>
        <v/>
      </c>
    </row>
    <row r="51" spans="15:19" x14ac:dyDescent="0.25">
      <c r="O51" t="str">
        <f>IF(C51="","",SUMIFS($N$2:N51,$C$2:C51,C51,$K$2:K51,"Approved"))</f>
        <v/>
      </c>
      <c r="R51" s="13" t="str">
        <f t="shared" si="0"/>
        <v/>
      </c>
      <c r="S51" t="str">
        <f t="shared" ca="1" si="1"/>
        <v/>
      </c>
    </row>
    <row r="52" spans="15:19" x14ac:dyDescent="0.25">
      <c r="O52" t="str">
        <f>IF(C52="","",SUMIFS($N$2:N52,$C$2:C52,C52,$K$2:K52,"Approved"))</f>
        <v/>
      </c>
      <c r="R52" s="13" t="str">
        <f t="shared" si="0"/>
        <v/>
      </c>
      <c r="S52" t="str">
        <f t="shared" ca="1" si="1"/>
        <v/>
      </c>
    </row>
    <row r="53" spans="15:19" x14ac:dyDescent="0.25">
      <c r="O53" t="str">
        <f>IF(C53="","",SUMIFS($N$2:N53,$C$2:C53,C53,$K$2:K53,"Approved"))</f>
        <v/>
      </c>
      <c r="R53" s="13" t="str">
        <f t="shared" si="0"/>
        <v/>
      </c>
      <c r="S53" t="str">
        <f t="shared" ca="1" si="1"/>
        <v/>
      </c>
    </row>
    <row r="54" spans="15:19" x14ac:dyDescent="0.25">
      <c r="O54" t="str">
        <f>IF(C54="","",SUMIFS($N$2:N54,$C$2:C54,C54,$K$2:K54,"Approved"))</f>
        <v/>
      </c>
      <c r="R54" s="13" t="str">
        <f t="shared" si="0"/>
        <v/>
      </c>
      <c r="S54" t="str">
        <f t="shared" ca="1" si="1"/>
        <v/>
      </c>
    </row>
    <row r="55" spans="15:19" x14ac:dyDescent="0.25">
      <c r="O55" t="str">
        <f>IF(C55="","",SUMIFS($N$2:N55,$C$2:C55,C55,$K$2:K55,"Approved"))</f>
        <v/>
      </c>
      <c r="R55" s="13" t="str">
        <f t="shared" si="0"/>
        <v/>
      </c>
      <c r="S55" t="str">
        <f t="shared" ca="1" si="1"/>
        <v/>
      </c>
    </row>
    <row r="56" spans="15:19" x14ac:dyDescent="0.25">
      <c r="O56" t="str">
        <f>IF(C56="","",SUMIFS($N$2:N56,$C$2:C56,C56,$K$2:K56,"Approved"))</f>
        <v/>
      </c>
      <c r="R56" s="13" t="str">
        <f t="shared" si="0"/>
        <v/>
      </c>
      <c r="S56" t="str">
        <f t="shared" ca="1" si="1"/>
        <v/>
      </c>
    </row>
    <row r="57" spans="15:19" x14ac:dyDescent="0.25">
      <c r="O57" t="str">
        <f>IF(C57="","",SUMIFS($N$2:N57,$C$2:C57,C57,$K$2:K57,"Approved"))</f>
        <v/>
      </c>
      <c r="R57" s="13" t="str">
        <f t="shared" si="0"/>
        <v/>
      </c>
      <c r="S57" t="str">
        <f t="shared" ca="1" si="1"/>
        <v/>
      </c>
    </row>
    <row r="58" spans="15:19" x14ac:dyDescent="0.25">
      <c r="O58" t="str">
        <f>IF(C58="","",SUMIFS($N$2:N58,$C$2:C58,C58,$K$2:K58,"Approved"))</f>
        <v/>
      </c>
      <c r="R58" s="13" t="str">
        <f t="shared" si="0"/>
        <v/>
      </c>
      <c r="S58" t="str">
        <f t="shared" ca="1" si="1"/>
        <v/>
      </c>
    </row>
    <row r="59" spans="15:19" x14ac:dyDescent="0.25">
      <c r="O59" t="str">
        <f>IF(C59="","",SUMIFS($N$2:N59,$C$2:C59,C59,$K$2:K59,"Approved"))</f>
        <v/>
      </c>
      <c r="R59" s="13" t="str">
        <f t="shared" si="0"/>
        <v/>
      </c>
      <c r="S59" t="str">
        <f t="shared" ca="1" si="1"/>
        <v/>
      </c>
    </row>
    <row r="60" spans="15:19" x14ac:dyDescent="0.25">
      <c r="O60" t="str">
        <f>IF(C60="","",SUMIFS($N$2:N60,$C$2:C60,C60,$K$2:K60,"Approved"))</f>
        <v/>
      </c>
      <c r="R60" s="13" t="str">
        <f t="shared" si="0"/>
        <v/>
      </c>
      <c r="S60" t="str">
        <f t="shared" ca="1" si="1"/>
        <v/>
      </c>
    </row>
    <row r="61" spans="15:19" x14ac:dyDescent="0.25">
      <c r="O61" t="str">
        <f>IF(C61="","",SUMIFS($N$2:N61,$C$2:C61,C61,$K$2:K61,"Approved"))</f>
        <v/>
      </c>
      <c r="R61" s="13" t="str">
        <f t="shared" si="0"/>
        <v/>
      </c>
      <c r="S61" t="str">
        <f t="shared" ca="1" si="1"/>
        <v/>
      </c>
    </row>
    <row r="62" spans="15:19" x14ac:dyDescent="0.25">
      <c r="O62" t="str">
        <f>IF(C62="","",SUMIFS($N$2:N62,$C$2:C62,C62,$K$2:K62,"Approved"))</f>
        <v/>
      </c>
      <c r="R62" s="13" t="str">
        <f t="shared" si="0"/>
        <v/>
      </c>
      <c r="S62" t="str">
        <f t="shared" ca="1" si="1"/>
        <v/>
      </c>
    </row>
    <row r="63" spans="15:19" x14ac:dyDescent="0.25">
      <c r="O63" t="str">
        <f>IF(C63="","",SUMIFS($N$2:N63,$C$2:C63,C63,$K$2:K63,"Approved"))</f>
        <v/>
      </c>
      <c r="R63" s="13" t="str">
        <f t="shared" si="0"/>
        <v/>
      </c>
      <c r="S63" t="str">
        <f t="shared" ca="1" si="1"/>
        <v/>
      </c>
    </row>
    <row r="64" spans="15:19" x14ac:dyDescent="0.25">
      <c r="O64" t="str">
        <f>IF(C64="","",SUMIFS($N$2:N64,$C$2:C64,C64,$K$2:K64,"Approved"))</f>
        <v/>
      </c>
      <c r="R64" s="13" t="str">
        <f t="shared" si="0"/>
        <v/>
      </c>
      <c r="S64" t="str">
        <f t="shared" ca="1" si="1"/>
        <v/>
      </c>
    </row>
    <row r="65" spans="15:19" x14ac:dyDescent="0.25">
      <c r="O65" t="str">
        <f>IF(C65="","",SUMIFS($N$2:N65,$C$2:C65,C65,$K$2:K65,"Approved"))</f>
        <v/>
      </c>
      <c r="R65" s="13" t="str">
        <f t="shared" si="0"/>
        <v/>
      </c>
      <c r="S65" t="str">
        <f t="shared" ca="1" si="1"/>
        <v/>
      </c>
    </row>
    <row r="66" spans="15:19" x14ac:dyDescent="0.25">
      <c r="O66" t="str">
        <f>IF(C66="","",SUMIFS($N$2:N66,$C$2:C66,C66,$K$2:K66,"Approved"))</f>
        <v/>
      </c>
      <c r="R66" s="13" t="str">
        <f t="shared" ref="R66:R129" si="2">IF(C66="","",MAX(B66+0,L66+0))</f>
        <v/>
      </c>
      <c r="S66" t="str">
        <f t="shared" ref="S66:S129" ca="1" si="3">IF(C66="","",IF(OR(K66="Approved",K66="Rejected",K66="Void"),"",TODAY()-R66))</f>
        <v/>
      </c>
    </row>
    <row r="67" spans="15:19" x14ac:dyDescent="0.25">
      <c r="O67" t="str">
        <f>IF(C67="","",SUMIFS($N$2:N67,$C$2:C67,C67,$K$2:K67,"Approved"))</f>
        <v/>
      </c>
      <c r="R67" s="13" t="str">
        <f t="shared" si="2"/>
        <v/>
      </c>
      <c r="S67" t="str">
        <f t="shared" ca="1" si="3"/>
        <v/>
      </c>
    </row>
    <row r="68" spans="15:19" x14ac:dyDescent="0.25">
      <c r="O68" t="str">
        <f>IF(C68="","",SUMIFS($N$2:N68,$C$2:C68,C68,$K$2:K68,"Approved"))</f>
        <v/>
      </c>
      <c r="R68" s="13" t="str">
        <f t="shared" si="2"/>
        <v/>
      </c>
      <c r="S68" t="str">
        <f t="shared" ca="1" si="3"/>
        <v/>
      </c>
    </row>
    <row r="69" spans="15:19" x14ac:dyDescent="0.25">
      <c r="O69" t="str">
        <f>IF(C69="","",SUMIFS($N$2:N69,$C$2:C69,C69,$K$2:K69,"Approved"))</f>
        <v/>
      </c>
      <c r="R69" s="13" t="str">
        <f t="shared" si="2"/>
        <v/>
      </c>
      <c r="S69" t="str">
        <f t="shared" ca="1" si="3"/>
        <v/>
      </c>
    </row>
    <row r="70" spans="15:19" x14ac:dyDescent="0.25">
      <c r="O70" t="str">
        <f>IF(C70="","",SUMIFS($N$2:N70,$C$2:C70,C70,$K$2:K70,"Approved"))</f>
        <v/>
      </c>
      <c r="R70" s="13" t="str">
        <f t="shared" si="2"/>
        <v/>
      </c>
      <c r="S70" t="str">
        <f t="shared" ca="1" si="3"/>
        <v/>
      </c>
    </row>
    <row r="71" spans="15:19" x14ac:dyDescent="0.25">
      <c r="O71" t="str">
        <f>IF(C71="","",SUMIFS($N$2:N71,$C$2:C71,C71,$K$2:K71,"Approved"))</f>
        <v/>
      </c>
      <c r="R71" s="13" t="str">
        <f t="shared" si="2"/>
        <v/>
      </c>
      <c r="S71" t="str">
        <f t="shared" ca="1" si="3"/>
        <v/>
      </c>
    </row>
    <row r="72" spans="15:19" x14ac:dyDescent="0.25">
      <c r="O72" t="str">
        <f>IF(C72="","",SUMIFS($N$2:N72,$C$2:C72,C72,$K$2:K72,"Approved"))</f>
        <v/>
      </c>
      <c r="R72" s="13" t="str">
        <f t="shared" si="2"/>
        <v/>
      </c>
      <c r="S72" t="str">
        <f t="shared" ca="1" si="3"/>
        <v/>
      </c>
    </row>
    <row r="73" spans="15:19" x14ac:dyDescent="0.25">
      <c r="O73" t="str">
        <f>IF(C73="","",SUMIFS($N$2:N73,$C$2:C73,C73,$K$2:K73,"Approved"))</f>
        <v/>
      </c>
      <c r="R73" s="13" t="str">
        <f t="shared" si="2"/>
        <v/>
      </c>
      <c r="S73" t="str">
        <f t="shared" ca="1" si="3"/>
        <v/>
      </c>
    </row>
    <row r="74" spans="15:19" x14ac:dyDescent="0.25">
      <c r="O74" t="str">
        <f>IF(C74="","",SUMIFS($N$2:N74,$C$2:C74,C74,$K$2:K74,"Approved"))</f>
        <v/>
      </c>
      <c r="R74" s="13" t="str">
        <f t="shared" si="2"/>
        <v/>
      </c>
      <c r="S74" t="str">
        <f t="shared" ca="1" si="3"/>
        <v/>
      </c>
    </row>
    <row r="75" spans="15:19" x14ac:dyDescent="0.25">
      <c r="O75" t="str">
        <f>IF(C75="","",SUMIFS($N$2:N75,$C$2:C75,C75,$K$2:K75,"Approved"))</f>
        <v/>
      </c>
      <c r="R75" s="13" t="str">
        <f t="shared" si="2"/>
        <v/>
      </c>
      <c r="S75" t="str">
        <f t="shared" ca="1" si="3"/>
        <v/>
      </c>
    </row>
    <row r="76" spans="15:19" x14ac:dyDescent="0.25">
      <c r="O76" t="str">
        <f>IF(C76="","",SUMIFS($N$2:N76,$C$2:C76,C76,$K$2:K76,"Approved"))</f>
        <v/>
      </c>
      <c r="R76" s="13" t="str">
        <f t="shared" si="2"/>
        <v/>
      </c>
      <c r="S76" t="str">
        <f t="shared" ca="1" si="3"/>
        <v/>
      </c>
    </row>
    <row r="77" spans="15:19" x14ac:dyDescent="0.25">
      <c r="O77" t="str">
        <f>IF(C77="","",SUMIFS($N$2:N77,$C$2:C77,C77,$K$2:K77,"Approved"))</f>
        <v/>
      </c>
      <c r="R77" s="13" t="str">
        <f t="shared" si="2"/>
        <v/>
      </c>
      <c r="S77" t="str">
        <f t="shared" ca="1" si="3"/>
        <v/>
      </c>
    </row>
    <row r="78" spans="15:19" x14ac:dyDescent="0.25">
      <c r="O78" t="str">
        <f>IF(C78="","",SUMIFS($N$2:N78,$C$2:C78,C78,$K$2:K78,"Approved"))</f>
        <v/>
      </c>
      <c r="R78" s="13" t="str">
        <f t="shared" si="2"/>
        <v/>
      </c>
      <c r="S78" t="str">
        <f t="shared" ca="1" si="3"/>
        <v/>
      </c>
    </row>
    <row r="79" spans="15:19" x14ac:dyDescent="0.25">
      <c r="O79" t="str">
        <f>IF(C79="","",SUMIFS($N$2:N79,$C$2:C79,C79,$K$2:K79,"Approved"))</f>
        <v/>
      </c>
      <c r="R79" s="13" t="str">
        <f t="shared" si="2"/>
        <v/>
      </c>
      <c r="S79" t="str">
        <f t="shared" ca="1" si="3"/>
        <v/>
      </c>
    </row>
    <row r="80" spans="15:19" x14ac:dyDescent="0.25">
      <c r="O80" t="str">
        <f>IF(C80="","",SUMIFS($N$2:N80,$C$2:C80,C80,$K$2:K80,"Approved"))</f>
        <v/>
      </c>
      <c r="R80" s="13" t="str">
        <f t="shared" si="2"/>
        <v/>
      </c>
      <c r="S80" t="str">
        <f t="shared" ca="1" si="3"/>
        <v/>
      </c>
    </row>
    <row r="81" spans="15:19" x14ac:dyDescent="0.25">
      <c r="O81" t="str">
        <f>IF(C81="","",SUMIFS($N$2:N81,$C$2:C81,C81,$K$2:K81,"Approved"))</f>
        <v/>
      </c>
      <c r="R81" s="13" t="str">
        <f t="shared" si="2"/>
        <v/>
      </c>
      <c r="S81" t="str">
        <f t="shared" ca="1" si="3"/>
        <v/>
      </c>
    </row>
    <row r="82" spans="15:19" x14ac:dyDescent="0.25">
      <c r="O82" t="str">
        <f>IF(C82="","",SUMIFS($N$2:N82,$C$2:C82,C82,$K$2:K82,"Approved"))</f>
        <v/>
      </c>
      <c r="R82" s="13" t="str">
        <f t="shared" si="2"/>
        <v/>
      </c>
      <c r="S82" t="str">
        <f t="shared" ca="1" si="3"/>
        <v/>
      </c>
    </row>
    <row r="83" spans="15:19" x14ac:dyDescent="0.25">
      <c r="O83" t="str">
        <f>IF(C83="","",SUMIFS($N$2:N83,$C$2:C83,C83,$K$2:K83,"Approved"))</f>
        <v/>
      </c>
      <c r="R83" s="13" t="str">
        <f t="shared" si="2"/>
        <v/>
      </c>
      <c r="S83" t="str">
        <f t="shared" ca="1" si="3"/>
        <v/>
      </c>
    </row>
    <row r="84" spans="15:19" x14ac:dyDescent="0.25">
      <c r="O84" t="str">
        <f>IF(C84="","",SUMIFS($N$2:N84,$C$2:C84,C84,$K$2:K84,"Approved"))</f>
        <v/>
      </c>
      <c r="R84" s="13" t="str">
        <f t="shared" si="2"/>
        <v/>
      </c>
      <c r="S84" t="str">
        <f t="shared" ca="1" si="3"/>
        <v/>
      </c>
    </row>
    <row r="85" spans="15:19" x14ac:dyDescent="0.25">
      <c r="O85" t="str">
        <f>IF(C85="","",SUMIFS($N$2:N85,$C$2:C85,C85,$K$2:K85,"Approved"))</f>
        <v/>
      </c>
      <c r="R85" s="13" t="str">
        <f t="shared" si="2"/>
        <v/>
      </c>
      <c r="S85" t="str">
        <f t="shared" ca="1" si="3"/>
        <v/>
      </c>
    </row>
    <row r="86" spans="15:19" x14ac:dyDescent="0.25">
      <c r="O86" t="str">
        <f>IF(C86="","",SUMIFS($N$2:N86,$C$2:C86,C86,$K$2:K86,"Approved"))</f>
        <v/>
      </c>
      <c r="R86" s="13" t="str">
        <f t="shared" si="2"/>
        <v/>
      </c>
      <c r="S86" t="str">
        <f t="shared" ca="1" si="3"/>
        <v/>
      </c>
    </row>
    <row r="87" spans="15:19" x14ac:dyDescent="0.25">
      <c r="O87" t="str">
        <f>IF(C87="","",SUMIFS($N$2:N87,$C$2:C87,C87,$K$2:K87,"Approved"))</f>
        <v/>
      </c>
      <c r="R87" s="13" t="str">
        <f t="shared" si="2"/>
        <v/>
      </c>
      <c r="S87" t="str">
        <f t="shared" ca="1" si="3"/>
        <v/>
      </c>
    </row>
    <row r="88" spans="15:19" x14ac:dyDescent="0.25">
      <c r="O88" t="str">
        <f>IF(C88="","",SUMIFS($N$2:N88,$C$2:C88,C88,$K$2:K88,"Approved"))</f>
        <v/>
      </c>
      <c r="R88" s="13" t="str">
        <f t="shared" si="2"/>
        <v/>
      </c>
      <c r="S88" t="str">
        <f t="shared" ca="1" si="3"/>
        <v/>
      </c>
    </row>
    <row r="89" spans="15:19" x14ac:dyDescent="0.25">
      <c r="O89" t="str">
        <f>IF(C89="","",SUMIFS($N$2:N89,$C$2:C89,C89,$K$2:K89,"Approved"))</f>
        <v/>
      </c>
      <c r="R89" s="13" t="str">
        <f t="shared" si="2"/>
        <v/>
      </c>
      <c r="S89" t="str">
        <f t="shared" ca="1" si="3"/>
        <v/>
      </c>
    </row>
    <row r="90" spans="15:19" x14ac:dyDescent="0.25">
      <c r="O90" t="str">
        <f>IF(C90="","",SUMIFS($N$2:N90,$C$2:C90,C90,$K$2:K90,"Approved"))</f>
        <v/>
      </c>
      <c r="R90" s="13" t="str">
        <f t="shared" si="2"/>
        <v/>
      </c>
      <c r="S90" t="str">
        <f t="shared" ca="1" si="3"/>
        <v/>
      </c>
    </row>
    <row r="91" spans="15:19" x14ac:dyDescent="0.25">
      <c r="O91" t="str">
        <f>IF(C91="","",SUMIFS($N$2:N91,$C$2:C91,C91,$K$2:K91,"Approved"))</f>
        <v/>
      </c>
      <c r="R91" s="13" t="str">
        <f t="shared" si="2"/>
        <v/>
      </c>
      <c r="S91" t="str">
        <f t="shared" ca="1" si="3"/>
        <v/>
      </c>
    </row>
    <row r="92" spans="15:19" x14ac:dyDescent="0.25">
      <c r="O92" t="str">
        <f>IF(C92="","",SUMIFS($N$2:N92,$C$2:C92,C92,$K$2:K92,"Approved"))</f>
        <v/>
      </c>
      <c r="R92" s="13" t="str">
        <f t="shared" si="2"/>
        <v/>
      </c>
      <c r="S92" t="str">
        <f t="shared" ca="1" si="3"/>
        <v/>
      </c>
    </row>
    <row r="93" spans="15:19" x14ac:dyDescent="0.25">
      <c r="O93" t="str">
        <f>IF(C93="","",SUMIFS($N$2:N93,$C$2:C93,C93,$K$2:K93,"Approved"))</f>
        <v/>
      </c>
      <c r="R93" s="13" t="str">
        <f t="shared" si="2"/>
        <v/>
      </c>
      <c r="S93" t="str">
        <f t="shared" ca="1" si="3"/>
        <v/>
      </c>
    </row>
    <row r="94" spans="15:19" x14ac:dyDescent="0.25">
      <c r="O94" t="str">
        <f>IF(C94="","",SUMIFS($N$2:N94,$C$2:C94,C94,$K$2:K94,"Approved"))</f>
        <v/>
      </c>
      <c r="R94" s="13" t="str">
        <f t="shared" si="2"/>
        <v/>
      </c>
      <c r="S94" t="str">
        <f t="shared" ca="1" si="3"/>
        <v/>
      </c>
    </row>
    <row r="95" spans="15:19" x14ac:dyDescent="0.25">
      <c r="O95" t="str">
        <f>IF(C95="","",SUMIFS($N$2:N95,$C$2:C95,C95,$K$2:K95,"Approved"))</f>
        <v/>
      </c>
      <c r="R95" s="13" t="str">
        <f t="shared" si="2"/>
        <v/>
      </c>
      <c r="S95" t="str">
        <f t="shared" ca="1" si="3"/>
        <v/>
      </c>
    </row>
    <row r="96" spans="15:19" x14ac:dyDescent="0.25">
      <c r="O96" t="str">
        <f>IF(C96="","",SUMIFS($N$2:N96,$C$2:C96,C96,$K$2:K96,"Approved"))</f>
        <v/>
      </c>
      <c r="R96" s="13" t="str">
        <f t="shared" si="2"/>
        <v/>
      </c>
      <c r="S96" t="str">
        <f t="shared" ca="1" si="3"/>
        <v/>
      </c>
    </row>
    <row r="97" spans="15:19" x14ac:dyDescent="0.25">
      <c r="O97" t="str">
        <f>IF(C97="","",SUMIFS($N$2:N97,$C$2:C97,C97,$K$2:K97,"Approved"))</f>
        <v/>
      </c>
      <c r="R97" s="13" t="str">
        <f t="shared" si="2"/>
        <v/>
      </c>
      <c r="S97" t="str">
        <f t="shared" ca="1" si="3"/>
        <v/>
      </c>
    </row>
    <row r="98" spans="15:19" x14ac:dyDescent="0.25">
      <c r="O98" t="str">
        <f>IF(C98="","",SUMIFS($N$2:N98,$C$2:C98,C98,$K$2:K98,"Approved"))</f>
        <v/>
      </c>
      <c r="R98" s="13" t="str">
        <f t="shared" si="2"/>
        <v/>
      </c>
      <c r="S98" t="str">
        <f t="shared" ca="1" si="3"/>
        <v/>
      </c>
    </row>
    <row r="99" spans="15:19" x14ac:dyDescent="0.25">
      <c r="O99" t="str">
        <f>IF(C99="","",SUMIFS($N$2:N99,$C$2:C99,C99,$K$2:K99,"Approved"))</f>
        <v/>
      </c>
      <c r="R99" s="13" t="str">
        <f t="shared" si="2"/>
        <v/>
      </c>
      <c r="S99" t="str">
        <f t="shared" ca="1" si="3"/>
        <v/>
      </c>
    </row>
    <row r="100" spans="15:19" x14ac:dyDescent="0.25">
      <c r="O100" t="str">
        <f>IF(C100="","",SUMIFS($N$2:N100,$C$2:C100,C100,$K$2:K100,"Approved"))</f>
        <v/>
      </c>
      <c r="R100" s="13" t="str">
        <f t="shared" si="2"/>
        <v/>
      </c>
      <c r="S100" t="str">
        <f t="shared" ca="1" si="3"/>
        <v/>
      </c>
    </row>
    <row r="101" spans="15:19" x14ac:dyDescent="0.25">
      <c r="O101" t="str">
        <f>IF(C101="","",SUMIFS($N$2:N101,$C$2:C101,C101,$K$2:K101,"Approved"))</f>
        <v/>
      </c>
      <c r="R101" s="13" t="str">
        <f t="shared" si="2"/>
        <v/>
      </c>
      <c r="S101" t="str">
        <f t="shared" ca="1" si="3"/>
        <v/>
      </c>
    </row>
    <row r="102" spans="15:19" x14ac:dyDescent="0.25">
      <c r="O102" t="str">
        <f>IF(C102="","",SUMIFS($N$2:N102,$C$2:C102,C102,$K$2:K102,"Approved"))</f>
        <v/>
      </c>
      <c r="R102" s="13" t="str">
        <f t="shared" si="2"/>
        <v/>
      </c>
      <c r="S102" t="str">
        <f t="shared" ca="1" si="3"/>
        <v/>
      </c>
    </row>
    <row r="103" spans="15:19" x14ac:dyDescent="0.25">
      <c r="O103" t="str">
        <f>IF(C103="","",SUMIFS($N$2:N103,$C$2:C103,C103,$K$2:K103,"Approved"))</f>
        <v/>
      </c>
      <c r="R103" s="13" t="str">
        <f t="shared" si="2"/>
        <v/>
      </c>
      <c r="S103" t="str">
        <f t="shared" ca="1" si="3"/>
        <v/>
      </c>
    </row>
    <row r="104" spans="15:19" x14ac:dyDescent="0.25">
      <c r="O104" t="str">
        <f>IF(C104="","",SUMIFS($N$2:N104,$C$2:C104,C104,$K$2:K104,"Approved"))</f>
        <v/>
      </c>
      <c r="R104" s="13" t="str">
        <f t="shared" si="2"/>
        <v/>
      </c>
      <c r="S104" t="str">
        <f t="shared" ca="1" si="3"/>
        <v/>
      </c>
    </row>
    <row r="105" spans="15:19" x14ac:dyDescent="0.25">
      <c r="O105" t="str">
        <f>IF(C105="","",SUMIFS($N$2:N105,$C$2:C105,C105,$K$2:K105,"Approved"))</f>
        <v/>
      </c>
      <c r="R105" s="13" t="str">
        <f t="shared" si="2"/>
        <v/>
      </c>
      <c r="S105" t="str">
        <f t="shared" ca="1" si="3"/>
        <v/>
      </c>
    </row>
    <row r="106" spans="15:19" x14ac:dyDescent="0.25">
      <c r="O106" t="str">
        <f>IF(C106="","",SUMIFS($N$2:N106,$C$2:C106,C106,$K$2:K106,"Approved"))</f>
        <v/>
      </c>
      <c r="R106" s="13" t="str">
        <f t="shared" si="2"/>
        <v/>
      </c>
      <c r="S106" t="str">
        <f t="shared" ca="1" si="3"/>
        <v/>
      </c>
    </row>
    <row r="107" spans="15:19" x14ac:dyDescent="0.25">
      <c r="O107" t="str">
        <f>IF(C107="","",SUMIFS($N$2:N107,$C$2:C107,C107,$K$2:K107,"Approved"))</f>
        <v/>
      </c>
      <c r="R107" s="13" t="str">
        <f t="shared" si="2"/>
        <v/>
      </c>
      <c r="S107" t="str">
        <f t="shared" ca="1" si="3"/>
        <v/>
      </c>
    </row>
    <row r="108" spans="15:19" x14ac:dyDescent="0.25">
      <c r="O108" t="str">
        <f>IF(C108="","",SUMIFS($N$2:N108,$C$2:C108,C108,$K$2:K108,"Approved"))</f>
        <v/>
      </c>
      <c r="R108" s="13" t="str">
        <f t="shared" si="2"/>
        <v/>
      </c>
      <c r="S108" t="str">
        <f t="shared" ca="1" si="3"/>
        <v/>
      </c>
    </row>
    <row r="109" spans="15:19" x14ac:dyDescent="0.25">
      <c r="O109" t="str">
        <f>IF(C109="","",SUMIFS($N$2:N109,$C$2:C109,C109,$K$2:K109,"Approved"))</f>
        <v/>
      </c>
      <c r="R109" s="13" t="str">
        <f t="shared" si="2"/>
        <v/>
      </c>
      <c r="S109" t="str">
        <f t="shared" ca="1" si="3"/>
        <v/>
      </c>
    </row>
    <row r="110" spans="15:19" x14ac:dyDescent="0.25">
      <c r="O110" t="str">
        <f>IF(C110="","",SUMIFS($N$2:N110,$C$2:C110,C110,$K$2:K110,"Approved"))</f>
        <v/>
      </c>
      <c r="R110" s="13" t="str">
        <f t="shared" si="2"/>
        <v/>
      </c>
      <c r="S110" t="str">
        <f t="shared" ca="1" si="3"/>
        <v/>
      </c>
    </row>
    <row r="111" spans="15:19" x14ac:dyDescent="0.25">
      <c r="O111" t="str">
        <f>IF(C111="","",SUMIFS($N$2:N111,$C$2:C111,C111,$K$2:K111,"Approved"))</f>
        <v/>
      </c>
      <c r="R111" s="13" t="str">
        <f t="shared" si="2"/>
        <v/>
      </c>
      <c r="S111" t="str">
        <f t="shared" ca="1" si="3"/>
        <v/>
      </c>
    </row>
    <row r="112" spans="15:19" x14ac:dyDescent="0.25">
      <c r="O112" t="str">
        <f>IF(C112="","",SUMIFS($N$2:N112,$C$2:C112,C112,$K$2:K112,"Approved"))</f>
        <v/>
      </c>
      <c r="R112" s="13" t="str">
        <f t="shared" si="2"/>
        <v/>
      </c>
      <c r="S112" t="str">
        <f t="shared" ca="1" si="3"/>
        <v/>
      </c>
    </row>
    <row r="113" spans="15:19" x14ac:dyDescent="0.25">
      <c r="O113" t="str">
        <f>IF(C113="","",SUMIFS($N$2:N113,$C$2:C113,C113,$K$2:K113,"Approved"))</f>
        <v/>
      </c>
      <c r="R113" s="13" t="str">
        <f t="shared" si="2"/>
        <v/>
      </c>
      <c r="S113" t="str">
        <f t="shared" ca="1" si="3"/>
        <v/>
      </c>
    </row>
    <row r="114" spans="15:19" x14ac:dyDescent="0.25">
      <c r="O114" t="str">
        <f>IF(C114="","",SUMIFS($N$2:N114,$C$2:C114,C114,$K$2:K114,"Approved"))</f>
        <v/>
      </c>
      <c r="R114" s="13" t="str">
        <f t="shared" si="2"/>
        <v/>
      </c>
      <c r="S114" t="str">
        <f t="shared" ca="1" si="3"/>
        <v/>
      </c>
    </row>
    <row r="115" spans="15:19" x14ac:dyDescent="0.25">
      <c r="O115" t="str">
        <f>IF(C115="","",SUMIFS($N$2:N115,$C$2:C115,C115,$K$2:K115,"Approved"))</f>
        <v/>
      </c>
      <c r="R115" s="13" t="str">
        <f t="shared" si="2"/>
        <v/>
      </c>
      <c r="S115" t="str">
        <f t="shared" ca="1" si="3"/>
        <v/>
      </c>
    </row>
    <row r="116" spans="15:19" x14ac:dyDescent="0.25">
      <c r="O116" t="str">
        <f>IF(C116="","",SUMIFS($N$2:N116,$C$2:C116,C116,$K$2:K116,"Approved"))</f>
        <v/>
      </c>
      <c r="R116" s="13" t="str">
        <f t="shared" si="2"/>
        <v/>
      </c>
      <c r="S116" t="str">
        <f t="shared" ca="1" si="3"/>
        <v/>
      </c>
    </row>
    <row r="117" spans="15:19" x14ac:dyDescent="0.25">
      <c r="O117" t="str">
        <f>IF(C117="","",SUMIFS($N$2:N117,$C$2:C117,C117,$K$2:K117,"Approved"))</f>
        <v/>
      </c>
      <c r="R117" s="13" t="str">
        <f t="shared" si="2"/>
        <v/>
      </c>
      <c r="S117" t="str">
        <f t="shared" ca="1" si="3"/>
        <v/>
      </c>
    </row>
    <row r="118" spans="15:19" x14ac:dyDescent="0.25">
      <c r="O118" t="str">
        <f>IF(C118="","",SUMIFS($N$2:N118,$C$2:C118,C118,$K$2:K118,"Approved"))</f>
        <v/>
      </c>
      <c r="R118" s="13" t="str">
        <f t="shared" si="2"/>
        <v/>
      </c>
      <c r="S118" t="str">
        <f t="shared" ca="1" si="3"/>
        <v/>
      </c>
    </row>
    <row r="119" spans="15:19" x14ac:dyDescent="0.25">
      <c r="O119" t="str">
        <f>IF(C119="","",SUMIFS($N$2:N119,$C$2:C119,C119,$K$2:K119,"Approved"))</f>
        <v/>
      </c>
      <c r="R119" s="13" t="str">
        <f t="shared" si="2"/>
        <v/>
      </c>
      <c r="S119" t="str">
        <f t="shared" ca="1" si="3"/>
        <v/>
      </c>
    </row>
    <row r="120" spans="15:19" x14ac:dyDescent="0.25">
      <c r="O120" t="str">
        <f>IF(C120="","",SUMIFS($N$2:N120,$C$2:C120,C120,$K$2:K120,"Approved"))</f>
        <v/>
      </c>
      <c r="R120" s="13" t="str">
        <f t="shared" si="2"/>
        <v/>
      </c>
      <c r="S120" t="str">
        <f t="shared" ca="1" si="3"/>
        <v/>
      </c>
    </row>
    <row r="121" spans="15:19" x14ac:dyDescent="0.25">
      <c r="O121" t="str">
        <f>IF(C121="","",SUMIFS($N$2:N121,$C$2:C121,C121,$K$2:K121,"Approved"))</f>
        <v/>
      </c>
      <c r="R121" s="13" t="str">
        <f t="shared" si="2"/>
        <v/>
      </c>
      <c r="S121" t="str">
        <f t="shared" ca="1" si="3"/>
        <v/>
      </c>
    </row>
    <row r="122" spans="15:19" x14ac:dyDescent="0.25">
      <c r="O122" t="str">
        <f>IF(C122="","",SUMIFS($N$2:N122,$C$2:C122,C122,$K$2:K122,"Approved"))</f>
        <v/>
      </c>
      <c r="R122" s="13" t="str">
        <f t="shared" si="2"/>
        <v/>
      </c>
      <c r="S122" t="str">
        <f t="shared" ca="1" si="3"/>
        <v/>
      </c>
    </row>
    <row r="123" spans="15:19" x14ac:dyDescent="0.25">
      <c r="O123" t="str">
        <f>IF(C123="","",SUMIFS($N$2:N123,$C$2:C123,C123,$K$2:K123,"Approved"))</f>
        <v/>
      </c>
      <c r="R123" s="13" t="str">
        <f t="shared" si="2"/>
        <v/>
      </c>
      <c r="S123" t="str">
        <f t="shared" ca="1" si="3"/>
        <v/>
      </c>
    </row>
    <row r="124" spans="15:19" x14ac:dyDescent="0.25">
      <c r="O124" t="str">
        <f>IF(C124="","",SUMIFS($N$2:N124,$C$2:C124,C124,$K$2:K124,"Approved"))</f>
        <v/>
      </c>
      <c r="R124" s="13" t="str">
        <f t="shared" si="2"/>
        <v/>
      </c>
      <c r="S124" t="str">
        <f t="shared" ca="1" si="3"/>
        <v/>
      </c>
    </row>
    <row r="125" spans="15:19" x14ac:dyDescent="0.25">
      <c r="O125" t="str">
        <f>IF(C125="","",SUMIFS($N$2:N125,$C$2:C125,C125,$K$2:K125,"Approved"))</f>
        <v/>
      </c>
      <c r="R125" s="13" t="str">
        <f t="shared" si="2"/>
        <v/>
      </c>
      <c r="S125" t="str">
        <f t="shared" ca="1" si="3"/>
        <v/>
      </c>
    </row>
    <row r="126" spans="15:19" x14ac:dyDescent="0.25">
      <c r="O126" t="str">
        <f>IF(C126="","",SUMIFS($N$2:N126,$C$2:C126,C126,$K$2:K126,"Approved"))</f>
        <v/>
      </c>
      <c r="R126" s="13" t="str">
        <f t="shared" si="2"/>
        <v/>
      </c>
      <c r="S126" t="str">
        <f t="shared" ca="1" si="3"/>
        <v/>
      </c>
    </row>
    <row r="127" spans="15:19" x14ac:dyDescent="0.25">
      <c r="O127" t="str">
        <f>IF(C127="","",SUMIFS($N$2:N127,$C$2:C127,C127,$K$2:K127,"Approved"))</f>
        <v/>
      </c>
      <c r="R127" s="13" t="str">
        <f t="shared" si="2"/>
        <v/>
      </c>
      <c r="S127" t="str">
        <f t="shared" ca="1" si="3"/>
        <v/>
      </c>
    </row>
    <row r="128" spans="15:19" x14ac:dyDescent="0.25">
      <c r="O128" t="str">
        <f>IF(C128="","",SUMIFS($N$2:N128,$C$2:C128,C128,$K$2:K128,"Approved"))</f>
        <v/>
      </c>
      <c r="R128" s="13" t="str">
        <f t="shared" si="2"/>
        <v/>
      </c>
      <c r="S128" t="str">
        <f t="shared" ca="1" si="3"/>
        <v/>
      </c>
    </row>
    <row r="129" spans="15:19" x14ac:dyDescent="0.25">
      <c r="O129" t="str">
        <f>IF(C129="","",SUMIFS($N$2:N129,$C$2:C129,C129,$K$2:K129,"Approved"))</f>
        <v/>
      </c>
      <c r="R129" s="13" t="str">
        <f t="shared" si="2"/>
        <v/>
      </c>
      <c r="S129" t="str">
        <f t="shared" ca="1" si="3"/>
        <v/>
      </c>
    </row>
    <row r="130" spans="15:19" x14ac:dyDescent="0.25">
      <c r="O130" t="str">
        <f>IF(C130="","",SUMIFS($N$2:N130,$C$2:C130,C130,$K$2:K130,"Approved"))</f>
        <v/>
      </c>
      <c r="R130" s="13" t="str">
        <f t="shared" ref="R130:R193" si="4">IF(C130="","",MAX(B130+0,L130+0))</f>
        <v/>
      </c>
      <c r="S130" t="str">
        <f t="shared" ref="S130:S193" ca="1" si="5">IF(C130="","",IF(OR(K130="Approved",K130="Rejected",K130="Void"),"",TODAY()-R130))</f>
        <v/>
      </c>
    </row>
    <row r="131" spans="15:19" x14ac:dyDescent="0.25">
      <c r="O131" t="str">
        <f>IF(C131="","",SUMIFS($N$2:N131,$C$2:C131,C131,$K$2:K131,"Approved"))</f>
        <v/>
      </c>
      <c r="R131" s="13" t="str">
        <f t="shared" si="4"/>
        <v/>
      </c>
      <c r="S131" t="str">
        <f t="shared" ca="1" si="5"/>
        <v/>
      </c>
    </row>
    <row r="132" spans="15:19" x14ac:dyDescent="0.25">
      <c r="O132" t="str">
        <f>IF(C132="","",SUMIFS($N$2:N132,$C$2:C132,C132,$K$2:K132,"Approved"))</f>
        <v/>
      </c>
      <c r="R132" s="13" t="str">
        <f t="shared" si="4"/>
        <v/>
      </c>
      <c r="S132" t="str">
        <f t="shared" ca="1" si="5"/>
        <v/>
      </c>
    </row>
    <row r="133" spans="15:19" x14ac:dyDescent="0.25">
      <c r="O133" t="str">
        <f>IF(C133="","",SUMIFS($N$2:N133,$C$2:C133,C133,$K$2:K133,"Approved"))</f>
        <v/>
      </c>
      <c r="R133" s="13" t="str">
        <f t="shared" si="4"/>
        <v/>
      </c>
      <c r="S133" t="str">
        <f t="shared" ca="1" si="5"/>
        <v/>
      </c>
    </row>
    <row r="134" spans="15:19" x14ac:dyDescent="0.25">
      <c r="O134" t="str">
        <f>IF(C134="","",SUMIFS($N$2:N134,$C$2:C134,C134,$K$2:K134,"Approved"))</f>
        <v/>
      </c>
      <c r="R134" s="13" t="str">
        <f t="shared" si="4"/>
        <v/>
      </c>
      <c r="S134" t="str">
        <f t="shared" ca="1" si="5"/>
        <v/>
      </c>
    </row>
    <row r="135" spans="15:19" x14ac:dyDescent="0.25">
      <c r="O135" t="str">
        <f>IF(C135="","",SUMIFS($N$2:N135,$C$2:C135,C135,$K$2:K135,"Approved"))</f>
        <v/>
      </c>
      <c r="R135" s="13" t="str">
        <f t="shared" si="4"/>
        <v/>
      </c>
      <c r="S135" t="str">
        <f t="shared" ca="1" si="5"/>
        <v/>
      </c>
    </row>
    <row r="136" spans="15:19" x14ac:dyDescent="0.25">
      <c r="O136" t="str">
        <f>IF(C136="","",SUMIFS($N$2:N136,$C$2:C136,C136,$K$2:K136,"Approved"))</f>
        <v/>
      </c>
      <c r="R136" s="13" t="str">
        <f t="shared" si="4"/>
        <v/>
      </c>
      <c r="S136" t="str">
        <f t="shared" ca="1" si="5"/>
        <v/>
      </c>
    </row>
    <row r="137" spans="15:19" x14ac:dyDescent="0.25">
      <c r="O137" t="str">
        <f>IF(C137="","",SUMIFS($N$2:N137,$C$2:C137,C137,$K$2:K137,"Approved"))</f>
        <v/>
      </c>
      <c r="R137" s="13" t="str">
        <f t="shared" si="4"/>
        <v/>
      </c>
      <c r="S137" t="str">
        <f t="shared" ca="1" si="5"/>
        <v/>
      </c>
    </row>
    <row r="138" spans="15:19" x14ac:dyDescent="0.25">
      <c r="O138" t="str">
        <f>IF(C138="","",SUMIFS($N$2:N138,$C$2:C138,C138,$K$2:K138,"Approved"))</f>
        <v/>
      </c>
      <c r="R138" s="13" t="str">
        <f t="shared" si="4"/>
        <v/>
      </c>
      <c r="S138" t="str">
        <f t="shared" ca="1" si="5"/>
        <v/>
      </c>
    </row>
    <row r="139" spans="15:19" x14ac:dyDescent="0.25">
      <c r="O139" t="str">
        <f>IF(C139="","",SUMIFS($N$2:N139,$C$2:C139,C139,$K$2:K139,"Approved"))</f>
        <v/>
      </c>
      <c r="R139" s="13" t="str">
        <f t="shared" si="4"/>
        <v/>
      </c>
      <c r="S139" t="str">
        <f t="shared" ca="1" si="5"/>
        <v/>
      </c>
    </row>
    <row r="140" spans="15:19" x14ac:dyDescent="0.25">
      <c r="O140" t="str">
        <f>IF(C140="","",SUMIFS($N$2:N140,$C$2:C140,C140,$K$2:K140,"Approved"))</f>
        <v/>
      </c>
      <c r="R140" s="13" t="str">
        <f t="shared" si="4"/>
        <v/>
      </c>
      <c r="S140" t="str">
        <f t="shared" ca="1" si="5"/>
        <v/>
      </c>
    </row>
    <row r="141" spans="15:19" x14ac:dyDescent="0.25">
      <c r="O141" t="str">
        <f>IF(C141="","",SUMIFS($N$2:N141,$C$2:C141,C141,$K$2:K141,"Approved"))</f>
        <v/>
      </c>
      <c r="R141" s="13" t="str">
        <f t="shared" si="4"/>
        <v/>
      </c>
      <c r="S141" t="str">
        <f t="shared" ca="1" si="5"/>
        <v/>
      </c>
    </row>
    <row r="142" spans="15:19" x14ac:dyDescent="0.25">
      <c r="O142" t="str">
        <f>IF(C142="","",SUMIFS($N$2:N142,$C$2:C142,C142,$K$2:K142,"Approved"))</f>
        <v/>
      </c>
      <c r="R142" s="13" t="str">
        <f t="shared" si="4"/>
        <v/>
      </c>
      <c r="S142" t="str">
        <f t="shared" ca="1" si="5"/>
        <v/>
      </c>
    </row>
    <row r="143" spans="15:19" x14ac:dyDescent="0.25">
      <c r="O143" t="str">
        <f>IF(C143="","",SUMIFS($N$2:N143,$C$2:C143,C143,$K$2:K143,"Approved"))</f>
        <v/>
      </c>
      <c r="R143" s="13" t="str">
        <f t="shared" si="4"/>
        <v/>
      </c>
      <c r="S143" t="str">
        <f t="shared" ca="1" si="5"/>
        <v/>
      </c>
    </row>
    <row r="144" spans="15:19" x14ac:dyDescent="0.25">
      <c r="O144" t="str">
        <f>IF(C144="","",SUMIFS($N$2:N144,$C$2:C144,C144,$K$2:K144,"Approved"))</f>
        <v/>
      </c>
      <c r="R144" s="13" t="str">
        <f t="shared" si="4"/>
        <v/>
      </c>
      <c r="S144" t="str">
        <f t="shared" ca="1" si="5"/>
        <v/>
      </c>
    </row>
    <row r="145" spans="15:19" x14ac:dyDescent="0.25">
      <c r="O145" t="str">
        <f>IF(C145="","",SUMIFS($N$2:N145,$C$2:C145,C145,$K$2:K145,"Approved"))</f>
        <v/>
      </c>
      <c r="R145" s="13" t="str">
        <f t="shared" si="4"/>
        <v/>
      </c>
      <c r="S145" t="str">
        <f t="shared" ca="1" si="5"/>
        <v/>
      </c>
    </row>
    <row r="146" spans="15:19" x14ac:dyDescent="0.25">
      <c r="O146" t="str">
        <f>IF(C146="","",SUMIFS($N$2:N146,$C$2:C146,C146,$K$2:K146,"Approved"))</f>
        <v/>
      </c>
      <c r="R146" s="13" t="str">
        <f t="shared" si="4"/>
        <v/>
      </c>
      <c r="S146" t="str">
        <f t="shared" ca="1" si="5"/>
        <v/>
      </c>
    </row>
    <row r="147" spans="15:19" x14ac:dyDescent="0.25">
      <c r="O147" t="str">
        <f>IF(C147="","",SUMIFS($N$2:N147,$C$2:C147,C147,$K$2:K147,"Approved"))</f>
        <v/>
      </c>
      <c r="R147" s="13" t="str">
        <f t="shared" si="4"/>
        <v/>
      </c>
      <c r="S147" t="str">
        <f t="shared" ca="1" si="5"/>
        <v/>
      </c>
    </row>
    <row r="148" spans="15:19" x14ac:dyDescent="0.25">
      <c r="O148" t="str">
        <f>IF(C148="","",SUMIFS($N$2:N148,$C$2:C148,C148,$K$2:K148,"Approved"))</f>
        <v/>
      </c>
      <c r="R148" s="13" t="str">
        <f t="shared" si="4"/>
        <v/>
      </c>
      <c r="S148" t="str">
        <f t="shared" ca="1" si="5"/>
        <v/>
      </c>
    </row>
    <row r="149" spans="15:19" x14ac:dyDescent="0.25">
      <c r="O149" t="str">
        <f>IF(C149="","",SUMIFS($N$2:N149,$C$2:C149,C149,$K$2:K149,"Approved"))</f>
        <v/>
      </c>
      <c r="R149" s="13" t="str">
        <f t="shared" si="4"/>
        <v/>
      </c>
      <c r="S149" t="str">
        <f t="shared" ca="1" si="5"/>
        <v/>
      </c>
    </row>
    <row r="150" spans="15:19" x14ac:dyDescent="0.25">
      <c r="O150" t="str">
        <f>IF(C150="","",SUMIFS($N$2:N150,$C$2:C150,C150,$K$2:K150,"Approved"))</f>
        <v/>
      </c>
      <c r="R150" s="13" t="str">
        <f t="shared" si="4"/>
        <v/>
      </c>
      <c r="S150" t="str">
        <f t="shared" ca="1" si="5"/>
        <v/>
      </c>
    </row>
    <row r="151" spans="15:19" x14ac:dyDescent="0.25">
      <c r="O151" t="str">
        <f>IF(C151="","",SUMIFS($N$2:N151,$C$2:C151,C151,$K$2:K151,"Approved"))</f>
        <v/>
      </c>
      <c r="R151" s="13" t="str">
        <f t="shared" si="4"/>
        <v/>
      </c>
      <c r="S151" t="str">
        <f t="shared" ca="1" si="5"/>
        <v/>
      </c>
    </row>
    <row r="152" spans="15:19" x14ac:dyDescent="0.25">
      <c r="O152" t="str">
        <f>IF(C152="","",SUMIFS($N$2:N152,$C$2:C152,C152,$K$2:K152,"Approved"))</f>
        <v/>
      </c>
      <c r="R152" s="13" t="str">
        <f t="shared" si="4"/>
        <v/>
      </c>
      <c r="S152" t="str">
        <f t="shared" ca="1" si="5"/>
        <v/>
      </c>
    </row>
    <row r="153" spans="15:19" x14ac:dyDescent="0.25">
      <c r="O153" t="str">
        <f>IF(C153="","",SUMIFS($N$2:N153,$C$2:C153,C153,$K$2:K153,"Approved"))</f>
        <v/>
      </c>
      <c r="R153" s="13" t="str">
        <f t="shared" si="4"/>
        <v/>
      </c>
      <c r="S153" t="str">
        <f t="shared" ca="1" si="5"/>
        <v/>
      </c>
    </row>
    <row r="154" spans="15:19" x14ac:dyDescent="0.25">
      <c r="O154" t="str">
        <f>IF(C154="","",SUMIFS($N$2:N154,$C$2:C154,C154,$K$2:K154,"Approved"))</f>
        <v/>
      </c>
      <c r="R154" s="13" t="str">
        <f t="shared" si="4"/>
        <v/>
      </c>
      <c r="S154" t="str">
        <f t="shared" ca="1" si="5"/>
        <v/>
      </c>
    </row>
    <row r="155" spans="15:19" x14ac:dyDescent="0.25">
      <c r="O155" t="str">
        <f>IF(C155="","",SUMIFS($N$2:N155,$C$2:C155,C155,$K$2:K155,"Approved"))</f>
        <v/>
      </c>
      <c r="R155" s="13" t="str">
        <f t="shared" si="4"/>
        <v/>
      </c>
      <c r="S155" t="str">
        <f t="shared" ca="1" si="5"/>
        <v/>
      </c>
    </row>
    <row r="156" spans="15:19" x14ac:dyDescent="0.25">
      <c r="O156" t="str">
        <f>IF(C156="","",SUMIFS($N$2:N156,$C$2:C156,C156,$K$2:K156,"Approved"))</f>
        <v/>
      </c>
      <c r="R156" s="13" t="str">
        <f t="shared" si="4"/>
        <v/>
      </c>
      <c r="S156" t="str">
        <f t="shared" ca="1" si="5"/>
        <v/>
      </c>
    </row>
    <row r="157" spans="15:19" x14ac:dyDescent="0.25">
      <c r="O157" t="str">
        <f>IF(C157="","",SUMIFS($N$2:N157,$C$2:C157,C157,$K$2:K157,"Approved"))</f>
        <v/>
      </c>
      <c r="R157" s="13" t="str">
        <f t="shared" si="4"/>
        <v/>
      </c>
      <c r="S157" t="str">
        <f t="shared" ca="1" si="5"/>
        <v/>
      </c>
    </row>
    <row r="158" spans="15:19" x14ac:dyDescent="0.25">
      <c r="O158" t="str">
        <f>IF(C158="","",SUMIFS($N$2:N158,$C$2:C158,C158,$K$2:K158,"Approved"))</f>
        <v/>
      </c>
      <c r="R158" s="13" t="str">
        <f t="shared" si="4"/>
        <v/>
      </c>
      <c r="S158" t="str">
        <f t="shared" ca="1" si="5"/>
        <v/>
      </c>
    </row>
    <row r="159" spans="15:19" x14ac:dyDescent="0.25">
      <c r="O159" t="str">
        <f>IF(C159="","",SUMIFS($N$2:N159,$C$2:C159,C159,$K$2:K159,"Approved"))</f>
        <v/>
      </c>
      <c r="R159" s="13" t="str">
        <f t="shared" si="4"/>
        <v/>
      </c>
      <c r="S159" t="str">
        <f t="shared" ca="1" si="5"/>
        <v/>
      </c>
    </row>
    <row r="160" spans="15:19" x14ac:dyDescent="0.25">
      <c r="O160" t="str">
        <f>IF(C160="","",SUMIFS($N$2:N160,$C$2:C160,C160,$K$2:K160,"Approved"))</f>
        <v/>
      </c>
      <c r="R160" s="13" t="str">
        <f t="shared" si="4"/>
        <v/>
      </c>
      <c r="S160" t="str">
        <f t="shared" ca="1" si="5"/>
        <v/>
      </c>
    </row>
    <row r="161" spans="15:19" x14ac:dyDescent="0.25">
      <c r="O161" t="str">
        <f>IF(C161="","",SUMIFS($N$2:N161,$C$2:C161,C161,$K$2:K161,"Approved"))</f>
        <v/>
      </c>
      <c r="R161" s="13" t="str">
        <f t="shared" si="4"/>
        <v/>
      </c>
      <c r="S161" t="str">
        <f t="shared" ca="1" si="5"/>
        <v/>
      </c>
    </row>
    <row r="162" spans="15:19" x14ac:dyDescent="0.25">
      <c r="O162" t="str">
        <f>IF(C162="","",SUMIFS($N$2:N162,$C$2:C162,C162,$K$2:K162,"Approved"))</f>
        <v/>
      </c>
      <c r="R162" s="13" t="str">
        <f t="shared" si="4"/>
        <v/>
      </c>
      <c r="S162" t="str">
        <f t="shared" ca="1" si="5"/>
        <v/>
      </c>
    </row>
    <row r="163" spans="15:19" x14ac:dyDescent="0.25">
      <c r="O163" t="str">
        <f>IF(C163="","",SUMIFS($N$2:N163,$C$2:C163,C163,$K$2:K163,"Approved"))</f>
        <v/>
      </c>
      <c r="R163" s="13" t="str">
        <f t="shared" si="4"/>
        <v/>
      </c>
      <c r="S163" t="str">
        <f t="shared" ca="1" si="5"/>
        <v/>
      </c>
    </row>
    <row r="164" spans="15:19" x14ac:dyDescent="0.25">
      <c r="O164" t="str">
        <f>IF(C164="","",SUMIFS($N$2:N164,$C$2:C164,C164,$K$2:K164,"Approved"))</f>
        <v/>
      </c>
      <c r="R164" s="13" t="str">
        <f t="shared" si="4"/>
        <v/>
      </c>
      <c r="S164" t="str">
        <f t="shared" ca="1" si="5"/>
        <v/>
      </c>
    </row>
    <row r="165" spans="15:19" x14ac:dyDescent="0.25">
      <c r="O165" t="str">
        <f>IF(C165="","",SUMIFS($N$2:N165,$C$2:C165,C165,$K$2:K165,"Approved"))</f>
        <v/>
      </c>
      <c r="R165" s="13" t="str">
        <f t="shared" si="4"/>
        <v/>
      </c>
      <c r="S165" t="str">
        <f t="shared" ca="1" si="5"/>
        <v/>
      </c>
    </row>
    <row r="166" spans="15:19" x14ac:dyDescent="0.25">
      <c r="O166" t="str">
        <f>IF(C166="","",SUMIFS($N$2:N166,$C$2:C166,C166,$K$2:K166,"Approved"))</f>
        <v/>
      </c>
      <c r="R166" s="13" t="str">
        <f t="shared" si="4"/>
        <v/>
      </c>
      <c r="S166" t="str">
        <f t="shared" ca="1" si="5"/>
        <v/>
      </c>
    </row>
    <row r="167" spans="15:19" x14ac:dyDescent="0.25">
      <c r="O167" t="str">
        <f>IF(C167="","",SUMIFS($N$2:N167,$C$2:C167,C167,$K$2:K167,"Approved"))</f>
        <v/>
      </c>
      <c r="R167" s="13" t="str">
        <f t="shared" si="4"/>
        <v/>
      </c>
      <c r="S167" t="str">
        <f t="shared" ca="1" si="5"/>
        <v/>
      </c>
    </row>
    <row r="168" spans="15:19" x14ac:dyDescent="0.25">
      <c r="O168" t="str">
        <f>IF(C168="","",SUMIFS($N$2:N168,$C$2:C168,C168,$K$2:K168,"Approved"))</f>
        <v/>
      </c>
      <c r="R168" s="13" t="str">
        <f t="shared" si="4"/>
        <v/>
      </c>
      <c r="S168" t="str">
        <f t="shared" ca="1" si="5"/>
        <v/>
      </c>
    </row>
    <row r="169" spans="15:19" x14ac:dyDescent="0.25">
      <c r="O169" t="str">
        <f>IF(C169="","",SUMIFS($N$2:N169,$C$2:C169,C169,$K$2:K169,"Approved"))</f>
        <v/>
      </c>
      <c r="R169" s="13" t="str">
        <f t="shared" si="4"/>
        <v/>
      </c>
      <c r="S169" t="str">
        <f t="shared" ca="1" si="5"/>
        <v/>
      </c>
    </row>
    <row r="170" spans="15:19" x14ac:dyDescent="0.25">
      <c r="O170" t="str">
        <f>IF(C170="","",SUMIFS($N$2:N170,$C$2:C170,C170,$K$2:K170,"Approved"))</f>
        <v/>
      </c>
      <c r="R170" s="13" t="str">
        <f t="shared" si="4"/>
        <v/>
      </c>
      <c r="S170" t="str">
        <f t="shared" ca="1" si="5"/>
        <v/>
      </c>
    </row>
    <row r="171" spans="15:19" x14ac:dyDescent="0.25">
      <c r="O171" t="str">
        <f>IF(C171="","",SUMIFS($N$2:N171,$C$2:C171,C171,$K$2:K171,"Approved"))</f>
        <v/>
      </c>
      <c r="R171" s="13" t="str">
        <f t="shared" si="4"/>
        <v/>
      </c>
      <c r="S171" t="str">
        <f t="shared" ca="1" si="5"/>
        <v/>
      </c>
    </row>
    <row r="172" spans="15:19" x14ac:dyDescent="0.25">
      <c r="O172" t="str">
        <f>IF(C172="","",SUMIFS($N$2:N172,$C$2:C172,C172,$K$2:K172,"Approved"))</f>
        <v/>
      </c>
      <c r="R172" s="13" t="str">
        <f t="shared" si="4"/>
        <v/>
      </c>
      <c r="S172" t="str">
        <f t="shared" ca="1" si="5"/>
        <v/>
      </c>
    </row>
    <row r="173" spans="15:19" x14ac:dyDescent="0.25">
      <c r="O173" t="str">
        <f>IF(C173="","",SUMIFS($N$2:N173,$C$2:C173,C173,$K$2:K173,"Approved"))</f>
        <v/>
      </c>
      <c r="R173" s="13" t="str">
        <f t="shared" si="4"/>
        <v/>
      </c>
      <c r="S173" t="str">
        <f t="shared" ca="1" si="5"/>
        <v/>
      </c>
    </row>
    <row r="174" spans="15:19" x14ac:dyDescent="0.25">
      <c r="O174" t="str">
        <f>IF(C174="","",SUMIFS($N$2:N174,$C$2:C174,C174,$K$2:K174,"Approved"))</f>
        <v/>
      </c>
      <c r="R174" s="13" t="str">
        <f t="shared" si="4"/>
        <v/>
      </c>
      <c r="S174" t="str">
        <f t="shared" ca="1" si="5"/>
        <v/>
      </c>
    </row>
    <row r="175" spans="15:19" x14ac:dyDescent="0.25">
      <c r="O175" t="str">
        <f>IF(C175="","",SUMIFS($N$2:N175,$C$2:C175,C175,$K$2:K175,"Approved"))</f>
        <v/>
      </c>
      <c r="R175" s="13" t="str">
        <f t="shared" si="4"/>
        <v/>
      </c>
      <c r="S175" t="str">
        <f t="shared" ca="1" si="5"/>
        <v/>
      </c>
    </row>
    <row r="176" spans="15:19" x14ac:dyDescent="0.25">
      <c r="O176" t="str">
        <f>IF(C176="","",SUMIFS($N$2:N176,$C$2:C176,C176,$K$2:K176,"Approved"))</f>
        <v/>
      </c>
      <c r="R176" s="13" t="str">
        <f t="shared" si="4"/>
        <v/>
      </c>
      <c r="S176" t="str">
        <f t="shared" ca="1" si="5"/>
        <v/>
      </c>
    </row>
    <row r="177" spans="15:19" x14ac:dyDescent="0.25">
      <c r="O177" t="str">
        <f>IF(C177="","",SUMIFS($N$2:N177,$C$2:C177,C177,$K$2:K177,"Approved"))</f>
        <v/>
      </c>
      <c r="R177" s="13" t="str">
        <f t="shared" si="4"/>
        <v/>
      </c>
      <c r="S177" t="str">
        <f t="shared" ca="1" si="5"/>
        <v/>
      </c>
    </row>
    <row r="178" spans="15:19" x14ac:dyDescent="0.25">
      <c r="O178" t="str">
        <f>IF(C178="","",SUMIFS($N$2:N178,$C$2:C178,C178,$K$2:K178,"Approved"))</f>
        <v/>
      </c>
      <c r="R178" s="13" t="str">
        <f t="shared" si="4"/>
        <v/>
      </c>
      <c r="S178" t="str">
        <f t="shared" ca="1" si="5"/>
        <v/>
      </c>
    </row>
    <row r="179" spans="15:19" x14ac:dyDescent="0.25">
      <c r="O179" t="str">
        <f>IF(C179="","",SUMIFS($N$2:N179,$C$2:C179,C179,$K$2:K179,"Approved"))</f>
        <v/>
      </c>
      <c r="R179" s="13" t="str">
        <f t="shared" si="4"/>
        <v/>
      </c>
      <c r="S179" t="str">
        <f t="shared" ca="1" si="5"/>
        <v/>
      </c>
    </row>
    <row r="180" spans="15:19" x14ac:dyDescent="0.25">
      <c r="O180" t="str">
        <f>IF(C180="","",SUMIFS($N$2:N180,$C$2:C180,C180,$K$2:K180,"Approved"))</f>
        <v/>
      </c>
      <c r="R180" s="13" t="str">
        <f t="shared" si="4"/>
        <v/>
      </c>
      <c r="S180" t="str">
        <f t="shared" ca="1" si="5"/>
        <v/>
      </c>
    </row>
    <row r="181" spans="15:19" x14ac:dyDescent="0.25">
      <c r="O181" t="str">
        <f>IF(C181="","",SUMIFS($N$2:N181,$C$2:C181,C181,$K$2:K181,"Approved"))</f>
        <v/>
      </c>
      <c r="R181" s="13" t="str">
        <f t="shared" si="4"/>
        <v/>
      </c>
      <c r="S181" t="str">
        <f t="shared" ca="1" si="5"/>
        <v/>
      </c>
    </row>
    <row r="182" spans="15:19" x14ac:dyDescent="0.25">
      <c r="O182" t="str">
        <f>IF(C182="","",SUMIFS($N$2:N182,$C$2:C182,C182,$K$2:K182,"Approved"))</f>
        <v/>
      </c>
      <c r="R182" s="13" t="str">
        <f t="shared" si="4"/>
        <v/>
      </c>
      <c r="S182" t="str">
        <f t="shared" ca="1" si="5"/>
        <v/>
      </c>
    </row>
    <row r="183" spans="15:19" x14ac:dyDescent="0.25">
      <c r="O183" t="str">
        <f>IF(C183="","",SUMIFS($N$2:N183,$C$2:C183,C183,$K$2:K183,"Approved"))</f>
        <v/>
      </c>
      <c r="R183" s="13" t="str">
        <f t="shared" si="4"/>
        <v/>
      </c>
      <c r="S183" t="str">
        <f t="shared" ca="1" si="5"/>
        <v/>
      </c>
    </row>
    <row r="184" spans="15:19" x14ac:dyDescent="0.25">
      <c r="O184" t="str">
        <f>IF(C184="","",SUMIFS($N$2:N184,$C$2:C184,C184,$K$2:K184,"Approved"))</f>
        <v/>
      </c>
      <c r="R184" s="13" t="str">
        <f t="shared" si="4"/>
        <v/>
      </c>
      <c r="S184" t="str">
        <f t="shared" ca="1" si="5"/>
        <v/>
      </c>
    </row>
    <row r="185" spans="15:19" x14ac:dyDescent="0.25">
      <c r="O185" t="str">
        <f>IF(C185="","",SUMIFS($N$2:N185,$C$2:C185,C185,$K$2:K185,"Approved"))</f>
        <v/>
      </c>
      <c r="R185" s="13" t="str">
        <f t="shared" si="4"/>
        <v/>
      </c>
      <c r="S185" t="str">
        <f t="shared" ca="1" si="5"/>
        <v/>
      </c>
    </row>
    <row r="186" spans="15:19" x14ac:dyDescent="0.25">
      <c r="O186" t="str">
        <f>IF(C186="","",SUMIFS($N$2:N186,$C$2:C186,C186,$K$2:K186,"Approved"))</f>
        <v/>
      </c>
      <c r="R186" s="13" t="str">
        <f t="shared" si="4"/>
        <v/>
      </c>
      <c r="S186" t="str">
        <f t="shared" ca="1" si="5"/>
        <v/>
      </c>
    </row>
    <row r="187" spans="15:19" x14ac:dyDescent="0.25">
      <c r="O187" t="str">
        <f>IF(C187="","",SUMIFS($N$2:N187,$C$2:C187,C187,$K$2:K187,"Approved"))</f>
        <v/>
      </c>
      <c r="R187" s="13" t="str">
        <f t="shared" si="4"/>
        <v/>
      </c>
      <c r="S187" t="str">
        <f t="shared" ca="1" si="5"/>
        <v/>
      </c>
    </row>
    <row r="188" spans="15:19" x14ac:dyDescent="0.25">
      <c r="O188" t="str">
        <f>IF(C188="","",SUMIFS($N$2:N188,$C$2:C188,C188,$K$2:K188,"Approved"))</f>
        <v/>
      </c>
      <c r="R188" s="13" t="str">
        <f t="shared" si="4"/>
        <v/>
      </c>
      <c r="S188" t="str">
        <f t="shared" ca="1" si="5"/>
        <v/>
      </c>
    </row>
    <row r="189" spans="15:19" x14ac:dyDescent="0.25">
      <c r="O189" t="str">
        <f>IF(C189="","",SUMIFS($N$2:N189,$C$2:C189,C189,$K$2:K189,"Approved"))</f>
        <v/>
      </c>
      <c r="R189" s="13" t="str">
        <f t="shared" si="4"/>
        <v/>
      </c>
      <c r="S189" t="str">
        <f t="shared" ca="1" si="5"/>
        <v/>
      </c>
    </row>
    <row r="190" spans="15:19" x14ac:dyDescent="0.25">
      <c r="O190" t="str">
        <f>IF(C190="","",SUMIFS($N$2:N190,$C$2:C190,C190,$K$2:K190,"Approved"))</f>
        <v/>
      </c>
      <c r="R190" s="13" t="str">
        <f t="shared" si="4"/>
        <v/>
      </c>
      <c r="S190" t="str">
        <f t="shared" ca="1" si="5"/>
        <v/>
      </c>
    </row>
    <row r="191" spans="15:19" x14ac:dyDescent="0.25">
      <c r="O191" t="str">
        <f>IF(C191="","",SUMIFS($N$2:N191,$C$2:C191,C191,$K$2:K191,"Approved"))</f>
        <v/>
      </c>
      <c r="R191" s="13" t="str">
        <f t="shared" si="4"/>
        <v/>
      </c>
      <c r="S191" t="str">
        <f t="shared" ca="1" si="5"/>
        <v/>
      </c>
    </row>
    <row r="192" spans="15:19" x14ac:dyDescent="0.25">
      <c r="O192" t="str">
        <f>IF(C192="","",SUMIFS($N$2:N192,$C$2:C192,C192,$K$2:K192,"Approved"))</f>
        <v/>
      </c>
      <c r="R192" s="13" t="str">
        <f t="shared" si="4"/>
        <v/>
      </c>
      <c r="S192" t="str">
        <f t="shared" ca="1" si="5"/>
        <v/>
      </c>
    </row>
    <row r="193" spans="15:19" x14ac:dyDescent="0.25">
      <c r="O193" t="str">
        <f>IF(C193="","",SUMIFS($N$2:N193,$C$2:C193,C193,$K$2:K193,"Approved"))</f>
        <v/>
      </c>
      <c r="R193" s="13" t="str">
        <f t="shared" si="4"/>
        <v/>
      </c>
      <c r="S193" t="str">
        <f t="shared" ca="1" si="5"/>
        <v/>
      </c>
    </row>
    <row r="194" spans="15:19" x14ac:dyDescent="0.25">
      <c r="O194" t="str">
        <f>IF(C194="","",SUMIFS($N$2:N194,$C$2:C194,C194,$K$2:K194,"Approved"))</f>
        <v/>
      </c>
      <c r="R194" s="13" t="str">
        <f t="shared" ref="R194:R257" si="6">IF(C194="","",MAX(B194+0,L194+0))</f>
        <v/>
      </c>
      <c r="S194" t="str">
        <f t="shared" ref="S194:S257" ca="1" si="7">IF(C194="","",IF(OR(K194="Approved",K194="Rejected",K194="Void"),"",TODAY()-R194))</f>
        <v/>
      </c>
    </row>
    <row r="195" spans="15:19" x14ac:dyDescent="0.25">
      <c r="O195" t="str">
        <f>IF(C195="","",SUMIFS($N$2:N195,$C$2:C195,C195,$K$2:K195,"Approved"))</f>
        <v/>
      </c>
      <c r="R195" s="13" t="str">
        <f t="shared" si="6"/>
        <v/>
      </c>
      <c r="S195" t="str">
        <f t="shared" ca="1" si="7"/>
        <v/>
      </c>
    </row>
    <row r="196" spans="15:19" x14ac:dyDescent="0.25">
      <c r="O196" t="str">
        <f>IF(C196="","",SUMIFS($N$2:N196,$C$2:C196,C196,$K$2:K196,"Approved"))</f>
        <v/>
      </c>
      <c r="R196" s="13" t="str">
        <f t="shared" si="6"/>
        <v/>
      </c>
      <c r="S196" t="str">
        <f t="shared" ca="1" si="7"/>
        <v/>
      </c>
    </row>
    <row r="197" spans="15:19" x14ac:dyDescent="0.25">
      <c r="O197" t="str">
        <f>IF(C197="","",SUMIFS($N$2:N197,$C$2:C197,C197,$K$2:K197,"Approved"))</f>
        <v/>
      </c>
      <c r="R197" s="13" t="str">
        <f t="shared" si="6"/>
        <v/>
      </c>
      <c r="S197" t="str">
        <f t="shared" ca="1" si="7"/>
        <v/>
      </c>
    </row>
    <row r="198" spans="15:19" x14ac:dyDescent="0.25">
      <c r="O198" t="str">
        <f>IF(C198="","",SUMIFS($N$2:N198,$C$2:C198,C198,$K$2:K198,"Approved"))</f>
        <v/>
      </c>
      <c r="R198" s="13" t="str">
        <f t="shared" si="6"/>
        <v/>
      </c>
      <c r="S198" t="str">
        <f t="shared" ca="1" si="7"/>
        <v/>
      </c>
    </row>
    <row r="199" spans="15:19" x14ac:dyDescent="0.25">
      <c r="O199" t="str">
        <f>IF(C199="","",SUMIFS($N$2:N199,$C$2:C199,C199,$K$2:K199,"Approved"))</f>
        <v/>
      </c>
      <c r="R199" s="13" t="str">
        <f t="shared" si="6"/>
        <v/>
      </c>
      <c r="S199" t="str">
        <f t="shared" ca="1" si="7"/>
        <v/>
      </c>
    </row>
    <row r="200" spans="15:19" x14ac:dyDescent="0.25">
      <c r="O200" t="str">
        <f>IF(C200="","",SUMIFS($N$2:N200,$C$2:C200,C200,$K$2:K200,"Approved"))</f>
        <v/>
      </c>
      <c r="R200" s="13" t="str">
        <f t="shared" si="6"/>
        <v/>
      </c>
      <c r="S200" t="str">
        <f t="shared" ca="1" si="7"/>
        <v/>
      </c>
    </row>
    <row r="201" spans="15:19" x14ac:dyDescent="0.25">
      <c r="O201" t="str">
        <f>IF(C201="","",SUMIFS($N$2:N201,$C$2:C201,C201,$K$2:K201,"Approved"))</f>
        <v/>
      </c>
      <c r="R201" s="13" t="str">
        <f t="shared" si="6"/>
        <v/>
      </c>
      <c r="S201" t="str">
        <f t="shared" ca="1" si="7"/>
        <v/>
      </c>
    </row>
    <row r="202" spans="15:19" x14ac:dyDescent="0.25">
      <c r="O202" t="str">
        <f>IF(C202="","",SUMIFS($N$2:N202,$C$2:C202,C202,$K$2:K202,"Approved"))</f>
        <v/>
      </c>
      <c r="R202" s="13" t="str">
        <f t="shared" si="6"/>
        <v/>
      </c>
      <c r="S202" t="str">
        <f t="shared" ca="1" si="7"/>
        <v/>
      </c>
    </row>
    <row r="203" spans="15:19" x14ac:dyDescent="0.25">
      <c r="O203" t="str">
        <f>IF(C203="","",SUMIFS($N$2:N203,$C$2:C203,C203,$K$2:K203,"Approved"))</f>
        <v/>
      </c>
      <c r="R203" s="13" t="str">
        <f t="shared" si="6"/>
        <v/>
      </c>
      <c r="S203" t="str">
        <f t="shared" ca="1" si="7"/>
        <v/>
      </c>
    </row>
    <row r="204" spans="15:19" x14ac:dyDescent="0.25">
      <c r="O204" t="str">
        <f>IF(C204="","",SUMIFS($N$2:N204,$C$2:C204,C204,$K$2:K204,"Approved"))</f>
        <v/>
      </c>
      <c r="R204" s="13" t="str">
        <f t="shared" si="6"/>
        <v/>
      </c>
      <c r="S204" t="str">
        <f t="shared" ca="1" si="7"/>
        <v/>
      </c>
    </row>
    <row r="205" spans="15:19" x14ac:dyDescent="0.25">
      <c r="O205" t="str">
        <f>IF(C205="","",SUMIFS($N$2:N205,$C$2:C205,C205,$K$2:K205,"Approved"))</f>
        <v/>
      </c>
      <c r="R205" s="13" t="str">
        <f t="shared" si="6"/>
        <v/>
      </c>
      <c r="S205" t="str">
        <f t="shared" ca="1" si="7"/>
        <v/>
      </c>
    </row>
    <row r="206" spans="15:19" x14ac:dyDescent="0.25">
      <c r="O206" t="str">
        <f>IF(C206="","",SUMIFS($N$2:N206,$C$2:C206,C206,$K$2:K206,"Approved"))</f>
        <v/>
      </c>
      <c r="R206" s="13" t="str">
        <f t="shared" si="6"/>
        <v/>
      </c>
      <c r="S206" t="str">
        <f t="shared" ca="1" si="7"/>
        <v/>
      </c>
    </row>
    <row r="207" spans="15:19" x14ac:dyDescent="0.25">
      <c r="O207" t="str">
        <f>IF(C207="","",SUMIFS($N$2:N207,$C$2:C207,C207,$K$2:K207,"Approved"))</f>
        <v/>
      </c>
      <c r="R207" s="13" t="str">
        <f t="shared" si="6"/>
        <v/>
      </c>
      <c r="S207" t="str">
        <f t="shared" ca="1" si="7"/>
        <v/>
      </c>
    </row>
    <row r="208" spans="15:19" x14ac:dyDescent="0.25">
      <c r="O208" t="str">
        <f>IF(C208="","",SUMIFS($N$2:N208,$C$2:C208,C208,$K$2:K208,"Approved"))</f>
        <v/>
      </c>
      <c r="R208" s="13" t="str">
        <f t="shared" si="6"/>
        <v/>
      </c>
      <c r="S208" t="str">
        <f t="shared" ca="1" si="7"/>
        <v/>
      </c>
    </row>
    <row r="209" spans="15:19" x14ac:dyDescent="0.25">
      <c r="O209" t="str">
        <f>IF(C209="","",SUMIFS($N$2:N209,$C$2:C209,C209,$K$2:K209,"Approved"))</f>
        <v/>
      </c>
      <c r="R209" s="13" t="str">
        <f t="shared" si="6"/>
        <v/>
      </c>
      <c r="S209" t="str">
        <f t="shared" ca="1" si="7"/>
        <v/>
      </c>
    </row>
    <row r="210" spans="15:19" x14ac:dyDescent="0.25">
      <c r="O210" t="str">
        <f>IF(C210="","",SUMIFS($N$2:N210,$C$2:C210,C210,$K$2:K210,"Approved"))</f>
        <v/>
      </c>
      <c r="R210" s="13" t="str">
        <f t="shared" si="6"/>
        <v/>
      </c>
      <c r="S210" t="str">
        <f t="shared" ca="1" si="7"/>
        <v/>
      </c>
    </row>
    <row r="211" spans="15:19" x14ac:dyDescent="0.25">
      <c r="O211" t="str">
        <f>IF(C211="","",SUMIFS($N$2:N211,$C$2:C211,C211,$K$2:K211,"Approved"))</f>
        <v/>
      </c>
      <c r="R211" s="13" t="str">
        <f t="shared" si="6"/>
        <v/>
      </c>
      <c r="S211" t="str">
        <f t="shared" ca="1" si="7"/>
        <v/>
      </c>
    </row>
    <row r="212" spans="15:19" x14ac:dyDescent="0.25">
      <c r="O212" t="str">
        <f>IF(C212="","",SUMIFS($N$2:N212,$C$2:C212,C212,$K$2:K212,"Approved"))</f>
        <v/>
      </c>
      <c r="R212" s="13" t="str">
        <f t="shared" si="6"/>
        <v/>
      </c>
      <c r="S212" t="str">
        <f t="shared" ca="1" si="7"/>
        <v/>
      </c>
    </row>
    <row r="213" spans="15:19" x14ac:dyDescent="0.25">
      <c r="O213" t="str">
        <f>IF(C213="","",SUMIFS($N$2:N213,$C$2:C213,C213,$K$2:K213,"Approved"))</f>
        <v/>
      </c>
      <c r="R213" s="13" t="str">
        <f t="shared" si="6"/>
        <v/>
      </c>
      <c r="S213" t="str">
        <f t="shared" ca="1" si="7"/>
        <v/>
      </c>
    </row>
    <row r="214" spans="15:19" x14ac:dyDescent="0.25">
      <c r="O214" t="str">
        <f>IF(C214="","",SUMIFS($N$2:N214,$C$2:C214,C214,$K$2:K214,"Approved"))</f>
        <v/>
      </c>
      <c r="R214" s="13" t="str">
        <f t="shared" si="6"/>
        <v/>
      </c>
      <c r="S214" t="str">
        <f t="shared" ca="1" si="7"/>
        <v/>
      </c>
    </row>
    <row r="215" spans="15:19" x14ac:dyDescent="0.25">
      <c r="O215" t="str">
        <f>IF(C215="","",SUMIFS($N$2:N215,$C$2:C215,C215,$K$2:K215,"Approved"))</f>
        <v/>
      </c>
      <c r="R215" s="13" t="str">
        <f t="shared" si="6"/>
        <v/>
      </c>
      <c r="S215" t="str">
        <f t="shared" ca="1" si="7"/>
        <v/>
      </c>
    </row>
    <row r="216" spans="15:19" x14ac:dyDescent="0.25">
      <c r="O216" t="str">
        <f>IF(C216="","",SUMIFS($N$2:N216,$C$2:C216,C216,$K$2:K216,"Approved"))</f>
        <v/>
      </c>
      <c r="R216" s="13" t="str">
        <f t="shared" si="6"/>
        <v/>
      </c>
      <c r="S216" t="str">
        <f t="shared" ca="1" si="7"/>
        <v/>
      </c>
    </row>
    <row r="217" spans="15:19" x14ac:dyDescent="0.25">
      <c r="O217" t="str">
        <f>IF(C217="","",SUMIFS($N$2:N217,$C$2:C217,C217,$K$2:K217,"Approved"))</f>
        <v/>
      </c>
      <c r="R217" s="13" t="str">
        <f t="shared" si="6"/>
        <v/>
      </c>
      <c r="S217" t="str">
        <f t="shared" ca="1" si="7"/>
        <v/>
      </c>
    </row>
    <row r="218" spans="15:19" x14ac:dyDescent="0.25">
      <c r="O218" t="str">
        <f>IF(C218="","",SUMIFS($N$2:N218,$C$2:C218,C218,$K$2:K218,"Approved"))</f>
        <v/>
      </c>
      <c r="R218" s="13" t="str">
        <f t="shared" si="6"/>
        <v/>
      </c>
      <c r="S218" t="str">
        <f t="shared" ca="1" si="7"/>
        <v/>
      </c>
    </row>
    <row r="219" spans="15:19" x14ac:dyDescent="0.25">
      <c r="O219" t="str">
        <f>IF(C219="","",SUMIFS($N$2:N219,$C$2:C219,C219,$K$2:K219,"Approved"))</f>
        <v/>
      </c>
      <c r="R219" s="13" t="str">
        <f t="shared" si="6"/>
        <v/>
      </c>
      <c r="S219" t="str">
        <f t="shared" ca="1" si="7"/>
        <v/>
      </c>
    </row>
    <row r="220" spans="15:19" x14ac:dyDescent="0.25">
      <c r="O220" t="str">
        <f>IF(C220="","",SUMIFS($N$2:N220,$C$2:C220,C220,$K$2:K220,"Approved"))</f>
        <v/>
      </c>
      <c r="R220" s="13" t="str">
        <f t="shared" si="6"/>
        <v/>
      </c>
      <c r="S220" t="str">
        <f t="shared" ca="1" si="7"/>
        <v/>
      </c>
    </row>
    <row r="221" spans="15:19" x14ac:dyDescent="0.25">
      <c r="O221" t="str">
        <f>IF(C221="","",SUMIFS($N$2:N221,$C$2:C221,C221,$K$2:K221,"Approved"))</f>
        <v/>
      </c>
      <c r="R221" s="13" t="str">
        <f t="shared" si="6"/>
        <v/>
      </c>
      <c r="S221" t="str">
        <f t="shared" ca="1" si="7"/>
        <v/>
      </c>
    </row>
    <row r="222" spans="15:19" x14ac:dyDescent="0.25">
      <c r="O222" t="str">
        <f>IF(C222="","",SUMIFS($N$2:N222,$C$2:C222,C222,$K$2:K222,"Approved"))</f>
        <v/>
      </c>
      <c r="R222" s="13" t="str">
        <f t="shared" si="6"/>
        <v/>
      </c>
      <c r="S222" t="str">
        <f t="shared" ca="1" si="7"/>
        <v/>
      </c>
    </row>
    <row r="223" spans="15:19" x14ac:dyDescent="0.25">
      <c r="O223" t="str">
        <f>IF(C223="","",SUMIFS($N$2:N223,$C$2:C223,C223,$K$2:K223,"Approved"))</f>
        <v/>
      </c>
      <c r="R223" s="13" t="str">
        <f t="shared" si="6"/>
        <v/>
      </c>
      <c r="S223" t="str">
        <f t="shared" ca="1" si="7"/>
        <v/>
      </c>
    </row>
    <row r="224" spans="15:19" x14ac:dyDescent="0.25">
      <c r="O224" t="str">
        <f>IF(C224="","",SUMIFS($N$2:N224,$C$2:C224,C224,$K$2:K224,"Approved"))</f>
        <v/>
      </c>
      <c r="R224" s="13" t="str">
        <f t="shared" si="6"/>
        <v/>
      </c>
      <c r="S224" t="str">
        <f t="shared" ca="1" si="7"/>
        <v/>
      </c>
    </row>
    <row r="225" spans="15:19" x14ac:dyDescent="0.25">
      <c r="O225" t="str">
        <f>IF(C225="","",SUMIFS($N$2:N225,$C$2:C225,C225,$K$2:K225,"Approved"))</f>
        <v/>
      </c>
      <c r="R225" s="13" t="str">
        <f t="shared" si="6"/>
        <v/>
      </c>
      <c r="S225" t="str">
        <f t="shared" ca="1" si="7"/>
        <v/>
      </c>
    </row>
    <row r="226" spans="15:19" x14ac:dyDescent="0.25">
      <c r="O226" t="str">
        <f>IF(C226="","",SUMIFS($N$2:N226,$C$2:C226,C226,$K$2:K226,"Approved"))</f>
        <v/>
      </c>
      <c r="R226" s="13" t="str">
        <f t="shared" si="6"/>
        <v/>
      </c>
      <c r="S226" t="str">
        <f t="shared" ca="1" si="7"/>
        <v/>
      </c>
    </row>
    <row r="227" spans="15:19" x14ac:dyDescent="0.25">
      <c r="O227" t="str">
        <f>IF(C227="","",SUMIFS($N$2:N227,$C$2:C227,C227,$K$2:K227,"Approved"))</f>
        <v/>
      </c>
      <c r="R227" s="13" t="str">
        <f t="shared" si="6"/>
        <v/>
      </c>
      <c r="S227" t="str">
        <f t="shared" ca="1" si="7"/>
        <v/>
      </c>
    </row>
    <row r="228" spans="15:19" x14ac:dyDescent="0.25">
      <c r="O228" t="str">
        <f>IF(C228="","",SUMIFS($N$2:N228,$C$2:C228,C228,$K$2:K228,"Approved"))</f>
        <v/>
      </c>
      <c r="R228" s="13" t="str">
        <f t="shared" si="6"/>
        <v/>
      </c>
      <c r="S228" t="str">
        <f t="shared" ca="1" si="7"/>
        <v/>
      </c>
    </row>
    <row r="229" spans="15:19" x14ac:dyDescent="0.25">
      <c r="O229" t="str">
        <f>IF(C229="","",SUMIFS($N$2:N229,$C$2:C229,C229,$K$2:K229,"Approved"))</f>
        <v/>
      </c>
      <c r="R229" s="13" t="str">
        <f t="shared" si="6"/>
        <v/>
      </c>
      <c r="S229" t="str">
        <f t="shared" ca="1" si="7"/>
        <v/>
      </c>
    </row>
    <row r="230" spans="15:19" x14ac:dyDescent="0.25">
      <c r="O230" t="str">
        <f>IF(C230="","",SUMIFS($N$2:N230,$C$2:C230,C230,$K$2:K230,"Approved"))</f>
        <v/>
      </c>
      <c r="R230" s="13" t="str">
        <f t="shared" si="6"/>
        <v/>
      </c>
      <c r="S230" t="str">
        <f t="shared" ca="1" si="7"/>
        <v/>
      </c>
    </row>
    <row r="231" spans="15:19" x14ac:dyDescent="0.25">
      <c r="O231" t="str">
        <f>IF(C231="","",SUMIFS($N$2:N231,$C$2:C231,C231,$K$2:K231,"Approved"))</f>
        <v/>
      </c>
      <c r="R231" s="13" t="str">
        <f t="shared" si="6"/>
        <v/>
      </c>
      <c r="S231" t="str">
        <f t="shared" ca="1" si="7"/>
        <v/>
      </c>
    </row>
    <row r="232" spans="15:19" x14ac:dyDescent="0.25">
      <c r="O232" t="str">
        <f>IF(C232="","",SUMIFS($N$2:N232,$C$2:C232,C232,$K$2:K232,"Approved"))</f>
        <v/>
      </c>
      <c r="R232" s="13" t="str">
        <f t="shared" si="6"/>
        <v/>
      </c>
      <c r="S232" t="str">
        <f t="shared" ca="1" si="7"/>
        <v/>
      </c>
    </row>
    <row r="233" spans="15:19" x14ac:dyDescent="0.25">
      <c r="O233" t="str">
        <f>IF(C233="","",SUMIFS($N$2:N233,$C$2:C233,C233,$K$2:K233,"Approved"))</f>
        <v/>
      </c>
      <c r="R233" s="13" t="str">
        <f t="shared" si="6"/>
        <v/>
      </c>
      <c r="S233" t="str">
        <f t="shared" ca="1" si="7"/>
        <v/>
      </c>
    </row>
    <row r="234" spans="15:19" x14ac:dyDescent="0.25">
      <c r="O234" t="str">
        <f>IF(C234="","",SUMIFS($N$2:N234,$C$2:C234,C234,$K$2:K234,"Approved"))</f>
        <v/>
      </c>
      <c r="R234" s="13" t="str">
        <f t="shared" si="6"/>
        <v/>
      </c>
      <c r="S234" t="str">
        <f t="shared" ca="1" si="7"/>
        <v/>
      </c>
    </row>
    <row r="235" spans="15:19" x14ac:dyDescent="0.25">
      <c r="O235" t="str">
        <f>IF(C235="","",SUMIFS($N$2:N235,$C$2:C235,C235,$K$2:K235,"Approved"))</f>
        <v/>
      </c>
      <c r="R235" s="13" t="str">
        <f t="shared" si="6"/>
        <v/>
      </c>
      <c r="S235" t="str">
        <f t="shared" ca="1" si="7"/>
        <v/>
      </c>
    </row>
    <row r="236" spans="15:19" x14ac:dyDescent="0.25">
      <c r="O236" t="str">
        <f>IF(C236="","",SUMIFS($N$2:N236,$C$2:C236,C236,$K$2:K236,"Approved"))</f>
        <v/>
      </c>
      <c r="R236" s="13" t="str">
        <f t="shared" si="6"/>
        <v/>
      </c>
      <c r="S236" t="str">
        <f t="shared" ca="1" si="7"/>
        <v/>
      </c>
    </row>
    <row r="237" spans="15:19" x14ac:dyDescent="0.25">
      <c r="O237" t="str">
        <f>IF(C237="","",SUMIFS($N$2:N237,$C$2:C237,C237,$K$2:K237,"Approved"))</f>
        <v/>
      </c>
      <c r="R237" s="13" t="str">
        <f t="shared" si="6"/>
        <v/>
      </c>
      <c r="S237" t="str">
        <f t="shared" ca="1" si="7"/>
        <v/>
      </c>
    </row>
    <row r="238" spans="15:19" x14ac:dyDescent="0.25">
      <c r="O238" t="str">
        <f>IF(C238="","",SUMIFS($N$2:N238,$C$2:C238,C238,$K$2:K238,"Approved"))</f>
        <v/>
      </c>
      <c r="R238" s="13" t="str">
        <f t="shared" si="6"/>
        <v/>
      </c>
      <c r="S238" t="str">
        <f t="shared" ca="1" si="7"/>
        <v/>
      </c>
    </row>
    <row r="239" spans="15:19" x14ac:dyDescent="0.25">
      <c r="O239" t="str">
        <f>IF(C239="","",SUMIFS($N$2:N239,$C$2:C239,C239,$K$2:K239,"Approved"))</f>
        <v/>
      </c>
      <c r="R239" s="13" t="str">
        <f t="shared" si="6"/>
        <v/>
      </c>
      <c r="S239" t="str">
        <f t="shared" ca="1" si="7"/>
        <v/>
      </c>
    </row>
    <row r="240" spans="15:19" x14ac:dyDescent="0.25">
      <c r="O240" t="str">
        <f>IF(C240="","",SUMIFS($N$2:N240,$C$2:C240,C240,$K$2:K240,"Approved"))</f>
        <v/>
      </c>
      <c r="R240" s="13" t="str">
        <f t="shared" si="6"/>
        <v/>
      </c>
      <c r="S240" t="str">
        <f t="shared" ca="1" si="7"/>
        <v/>
      </c>
    </row>
    <row r="241" spans="15:19" x14ac:dyDescent="0.25">
      <c r="O241" t="str">
        <f>IF(C241="","",SUMIFS($N$2:N241,$C$2:C241,C241,$K$2:K241,"Approved"))</f>
        <v/>
      </c>
      <c r="R241" s="13" t="str">
        <f t="shared" si="6"/>
        <v/>
      </c>
      <c r="S241" t="str">
        <f t="shared" ca="1" si="7"/>
        <v/>
      </c>
    </row>
    <row r="242" spans="15:19" x14ac:dyDescent="0.25">
      <c r="O242" t="str">
        <f>IF(C242="","",SUMIFS($N$2:N242,$C$2:C242,C242,$K$2:K242,"Approved"))</f>
        <v/>
      </c>
      <c r="R242" s="13" t="str">
        <f t="shared" si="6"/>
        <v/>
      </c>
      <c r="S242" t="str">
        <f t="shared" ca="1" si="7"/>
        <v/>
      </c>
    </row>
    <row r="243" spans="15:19" x14ac:dyDescent="0.25">
      <c r="O243" t="str">
        <f>IF(C243="","",SUMIFS($N$2:N243,$C$2:C243,C243,$K$2:K243,"Approved"))</f>
        <v/>
      </c>
      <c r="R243" s="13" t="str">
        <f t="shared" si="6"/>
        <v/>
      </c>
      <c r="S243" t="str">
        <f t="shared" ca="1" si="7"/>
        <v/>
      </c>
    </row>
    <row r="244" spans="15:19" x14ac:dyDescent="0.25">
      <c r="O244" t="str">
        <f>IF(C244="","",SUMIFS($N$2:N244,$C$2:C244,C244,$K$2:K244,"Approved"))</f>
        <v/>
      </c>
      <c r="R244" s="13" t="str">
        <f t="shared" si="6"/>
        <v/>
      </c>
      <c r="S244" t="str">
        <f t="shared" ca="1" si="7"/>
        <v/>
      </c>
    </row>
    <row r="245" spans="15:19" x14ac:dyDescent="0.25">
      <c r="O245" t="str">
        <f>IF(C245="","",SUMIFS($N$2:N245,$C$2:C245,C245,$K$2:K245,"Approved"))</f>
        <v/>
      </c>
      <c r="R245" s="13" t="str">
        <f t="shared" si="6"/>
        <v/>
      </c>
      <c r="S245" t="str">
        <f t="shared" ca="1" si="7"/>
        <v/>
      </c>
    </row>
    <row r="246" spans="15:19" x14ac:dyDescent="0.25">
      <c r="O246" t="str">
        <f>IF(C246="","",SUMIFS($N$2:N246,$C$2:C246,C246,$K$2:K246,"Approved"))</f>
        <v/>
      </c>
      <c r="R246" s="13" t="str">
        <f t="shared" si="6"/>
        <v/>
      </c>
      <c r="S246" t="str">
        <f t="shared" ca="1" si="7"/>
        <v/>
      </c>
    </row>
    <row r="247" spans="15:19" x14ac:dyDescent="0.25">
      <c r="O247" t="str">
        <f>IF(C247="","",SUMIFS($N$2:N247,$C$2:C247,C247,$K$2:K247,"Approved"))</f>
        <v/>
      </c>
      <c r="R247" s="13" t="str">
        <f t="shared" si="6"/>
        <v/>
      </c>
      <c r="S247" t="str">
        <f t="shared" ca="1" si="7"/>
        <v/>
      </c>
    </row>
    <row r="248" spans="15:19" x14ac:dyDescent="0.25">
      <c r="O248" t="str">
        <f>IF(C248="","",SUMIFS($N$2:N248,$C$2:C248,C248,$K$2:K248,"Approved"))</f>
        <v/>
      </c>
      <c r="R248" s="13" t="str">
        <f t="shared" si="6"/>
        <v/>
      </c>
      <c r="S248" t="str">
        <f t="shared" ca="1" si="7"/>
        <v/>
      </c>
    </row>
    <row r="249" spans="15:19" x14ac:dyDescent="0.25">
      <c r="O249" t="str">
        <f>IF(C249="","",SUMIFS($N$2:N249,$C$2:C249,C249,$K$2:K249,"Approved"))</f>
        <v/>
      </c>
      <c r="R249" s="13" t="str">
        <f t="shared" si="6"/>
        <v/>
      </c>
      <c r="S249" t="str">
        <f t="shared" ca="1" si="7"/>
        <v/>
      </c>
    </row>
    <row r="250" spans="15:19" x14ac:dyDescent="0.25">
      <c r="O250" t="str">
        <f>IF(C250="","",SUMIFS($N$2:N250,$C$2:C250,C250,$K$2:K250,"Approved"))</f>
        <v/>
      </c>
      <c r="R250" s="13" t="str">
        <f t="shared" si="6"/>
        <v/>
      </c>
      <c r="S250" t="str">
        <f t="shared" ca="1" si="7"/>
        <v/>
      </c>
    </row>
    <row r="251" spans="15:19" x14ac:dyDescent="0.25">
      <c r="O251" t="str">
        <f>IF(C251="","",SUMIFS($N$2:N251,$C$2:C251,C251,$K$2:K251,"Approved"))</f>
        <v/>
      </c>
      <c r="R251" s="13" t="str">
        <f t="shared" si="6"/>
        <v/>
      </c>
      <c r="S251" t="str">
        <f t="shared" ca="1" si="7"/>
        <v/>
      </c>
    </row>
    <row r="252" spans="15:19" x14ac:dyDescent="0.25">
      <c r="O252" t="str">
        <f>IF(C252="","",SUMIFS($N$2:N252,$C$2:C252,C252,$K$2:K252,"Approved"))</f>
        <v/>
      </c>
      <c r="R252" s="13" t="str">
        <f t="shared" si="6"/>
        <v/>
      </c>
      <c r="S252" t="str">
        <f t="shared" ca="1" si="7"/>
        <v/>
      </c>
    </row>
    <row r="253" spans="15:19" x14ac:dyDescent="0.25">
      <c r="O253" t="str">
        <f>IF(C253="","",SUMIFS($N$2:N253,$C$2:C253,C253,$K$2:K253,"Approved"))</f>
        <v/>
      </c>
      <c r="R253" s="13" t="str">
        <f t="shared" si="6"/>
        <v/>
      </c>
      <c r="S253" t="str">
        <f t="shared" ca="1" si="7"/>
        <v/>
      </c>
    </row>
    <row r="254" spans="15:19" x14ac:dyDescent="0.25">
      <c r="O254" t="str">
        <f>IF(C254="","",SUMIFS($N$2:N254,$C$2:C254,C254,$K$2:K254,"Approved"))</f>
        <v/>
      </c>
      <c r="R254" s="13" t="str">
        <f t="shared" si="6"/>
        <v/>
      </c>
      <c r="S254" t="str">
        <f t="shared" ca="1" si="7"/>
        <v/>
      </c>
    </row>
    <row r="255" spans="15:19" x14ac:dyDescent="0.25">
      <c r="O255" t="str">
        <f>IF(C255="","",SUMIFS($N$2:N255,$C$2:C255,C255,$K$2:K255,"Approved"))</f>
        <v/>
      </c>
      <c r="R255" s="13" t="str">
        <f t="shared" si="6"/>
        <v/>
      </c>
      <c r="S255" t="str">
        <f t="shared" ca="1" si="7"/>
        <v/>
      </c>
    </row>
    <row r="256" spans="15:19" x14ac:dyDescent="0.25">
      <c r="O256" t="str">
        <f>IF(C256="","",SUMIFS($N$2:N256,$C$2:C256,C256,$K$2:K256,"Approved"))</f>
        <v/>
      </c>
      <c r="R256" s="13" t="str">
        <f t="shared" si="6"/>
        <v/>
      </c>
      <c r="S256" t="str">
        <f t="shared" ca="1" si="7"/>
        <v/>
      </c>
    </row>
    <row r="257" spans="15:19" x14ac:dyDescent="0.25">
      <c r="O257" t="str">
        <f>IF(C257="","",SUMIFS($N$2:N257,$C$2:C257,C257,$K$2:K257,"Approved"))</f>
        <v/>
      </c>
      <c r="R257" s="13" t="str">
        <f t="shared" si="6"/>
        <v/>
      </c>
      <c r="S257" t="str">
        <f t="shared" ca="1" si="7"/>
        <v/>
      </c>
    </row>
    <row r="258" spans="15:19" x14ac:dyDescent="0.25">
      <c r="O258" t="str">
        <f>IF(C258="","",SUMIFS($N$2:N258,$C$2:C258,C258,$K$2:K258,"Approved"))</f>
        <v/>
      </c>
      <c r="R258" s="13" t="str">
        <f t="shared" ref="R258:R298" si="8">IF(C258="","",MAX(B258+0,L258+0))</f>
        <v/>
      </c>
      <c r="S258" t="str">
        <f t="shared" ref="S258:S298" ca="1" si="9">IF(C258="","",IF(OR(K258="Approved",K258="Rejected",K258="Void"),"",TODAY()-R258))</f>
        <v/>
      </c>
    </row>
    <row r="259" spans="15:19" x14ac:dyDescent="0.25">
      <c r="O259" t="str">
        <f>IF(C259="","",SUMIFS($N$2:N259,$C$2:C259,C259,$K$2:K259,"Approved"))</f>
        <v/>
      </c>
      <c r="R259" s="13" t="str">
        <f t="shared" si="8"/>
        <v/>
      </c>
      <c r="S259" t="str">
        <f t="shared" ca="1" si="9"/>
        <v/>
      </c>
    </row>
    <row r="260" spans="15:19" x14ac:dyDescent="0.25">
      <c r="O260" t="str">
        <f>IF(C260="","",SUMIFS($N$2:N260,$C$2:C260,C260,$K$2:K260,"Approved"))</f>
        <v/>
      </c>
      <c r="R260" s="13" t="str">
        <f t="shared" si="8"/>
        <v/>
      </c>
      <c r="S260" t="str">
        <f t="shared" ca="1" si="9"/>
        <v/>
      </c>
    </row>
    <row r="261" spans="15:19" x14ac:dyDescent="0.25">
      <c r="O261" t="str">
        <f>IF(C261="","",SUMIFS($N$2:N261,$C$2:C261,C261,$K$2:K261,"Approved"))</f>
        <v/>
      </c>
      <c r="R261" s="13" t="str">
        <f t="shared" si="8"/>
        <v/>
      </c>
      <c r="S261" t="str">
        <f t="shared" ca="1" si="9"/>
        <v/>
      </c>
    </row>
    <row r="262" spans="15:19" x14ac:dyDescent="0.25">
      <c r="O262" t="str">
        <f>IF(C262="","",SUMIFS($N$2:N262,$C$2:C262,C262,$K$2:K262,"Approved"))</f>
        <v/>
      </c>
      <c r="R262" s="13" t="str">
        <f t="shared" si="8"/>
        <v/>
      </c>
      <c r="S262" t="str">
        <f t="shared" ca="1" si="9"/>
        <v/>
      </c>
    </row>
    <row r="263" spans="15:19" x14ac:dyDescent="0.25">
      <c r="O263" t="str">
        <f>IF(C263="","",SUMIFS($N$2:N263,$C$2:C263,C263,$K$2:K263,"Approved"))</f>
        <v/>
      </c>
      <c r="R263" s="13" t="str">
        <f t="shared" si="8"/>
        <v/>
      </c>
      <c r="S263" t="str">
        <f t="shared" ca="1" si="9"/>
        <v/>
      </c>
    </row>
    <row r="264" spans="15:19" x14ac:dyDescent="0.25">
      <c r="O264" t="str">
        <f>IF(C264="","",SUMIFS($N$2:N264,$C$2:C264,C264,$K$2:K264,"Approved"))</f>
        <v/>
      </c>
      <c r="R264" s="13" t="str">
        <f t="shared" si="8"/>
        <v/>
      </c>
      <c r="S264" t="str">
        <f t="shared" ca="1" si="9"/>
        <v/>
      </c>
    </row>
    <row r="265" spans="15:19" x14ac:dyDescent="0.25">
      <c r="O265" t="str">
        <f>IF(C265="","",SUMIFS($N$2:N265,$C$2:C265,C265,$K$2:K265,"Approved"))</f>
        <v/>
      </c>
      <c r="R265" s="13" t="str">
        <f t="shared" si="8"/>
        <v/>
      </c>
      <c r="S265" t="str">
        <f t="shared" ca="1" si="9"/>
        <v/>
      </c>
    </row>
    <row r="266" spans="15:19" x14ac:dyDescent="0.25">
      <c r="O266" t="str">
        <f>IF(C266="","",SUMIFS($N$2:N266,$C$2:C266,C266,$K$2:K266,"Approved"))</f>
        <v/>
      </c>
      <c r="R266" s="13" t="str">
        <f t="shared" si="8"/>
        <v/>
      </c>
      <c r="S266" t="str">
        <f t="shared" ca="1" si="9"/>
        <v/>
      </c>
    </row>
    <row r="267" spans="15:19" x14ac:dyDescent="0.25">
      <c r="O267" t="str">
        <f>IF(C267="","",SUMIFS($N$2:N267,$C$2:C267,C267,$K$2:K267,"Approved"))</f>
        <v/>
      </c>
      <c r="R267" s="13" t="str">
        <f t="shared" si="8"/>
        <v/>
      </c>
      <c r="S267" t="str">
        <f t="shared" ca="1" si="9"/>
        <v/>
      </c>
    </row>
    <row r="268" spans="15:19" x14ac:dyDescent="0.25">
      <c r="O268" t="str">
        <f>IF(C268="","",SUMIFS($N$2:N268,$C$2:C268,C268,$K$2:K268,"Approved"))</f>
        <v/>
      </c>
      <c r="R268" s="13" t="str">
        <f t="shared" si="8"/>
        <v/>
      </c>
      <c r="S268" t="str">
        <f t="shared" ca="1" si="9"/>
        <v/>
      </c>
    </row>
    <row r="269" spans="15:19" x14ac:dyDescent="0.25">
      <c r="O269" t="str">
        <f>IF(C269="","",SUMIFS($N$2:N269,$C$2:C269,C269,$K$2:K269,"Approved"))</f>
        <v/>
      </c>
      <c r="R269" s="13" t="str">
        <f t="shared" si="8"/>
        <v/>
      </c>
      <c r="S269" t="str">
        <f t="shared" ca="1" si="9"/>
        <v/>
      </c>
    </row>
    <row r="270" spans="15:19" x14ac:dyDescent="0.25">
      <c r="O270" t="str">
        <f>IF(C270="","",SUMIFS($N$2:N270,$C$2:C270,C270,$K$2:K270,"Approved"))</f>
        <v/>
      </c>
      <c r="R270" s="13" t="str">
        <f t="shared" si="8"/>
        <v/>
      </c>
      <c r="S270" t="str">
        <f t="shared" ca="1" si="9"/>
        <v/>
      </c>
    </row>
    <row r="271" spans="15:19" x14ac:dyDescent="0.25">
      <c r="O271" t="str">
        <f>IF(C271="","",SUMIFS($N$2:N271,$C$2:C271,C271,$K$2:K271,"Approved"))</f>
        <v/>
      </c>
      <c r="R271" s="13" t="str">
        <f t="shared" si="8"/>
        <v/>
      </c>
      <c r="S271" t="str">
        <f t="shared" ca="1" si="9"/>
        <v/>
      </c>
    </row>
    <row r="272" spans="15:19" x14ac:dyDescent="0.25">
      <c r="O272" t="str">
        <f>IF(C272="","",SUMIFS($N$2:N272,$C$2:C272,C272,$K$2:K272,"Approved"))</f>
        <v/>
      </c>
      <c r="R272" s="13" t="str">
        <f t="shared" si="8"/>
        <v/>
      </c>
      <c r="S272" t="str">
        <f t="shared" ca="1" si="9"/>
        <v/>
      </c>
    </row>
    <row r="273" spans="15:19" x14ac:dyDescent="0.25">
      <c r="O273" t="str">
        <f>IF(C273="","",SUMIFS($N$2:N273,$C$2:C273,C273,$K$2:K273,"Approved"))</f>
        <v/>
      </c>
      <c r="R273" s="13" t="str">
        <f t="shared" si="8"/>
        <v/>
      </c>
      <c r="S273" t="str">
        <f t="shared" ca="1" si="9"/>
        <v/>
      </c>
    </row>
    <row r="274" spans="15:19" x14ac:dyDescent="0.25">
      <c r="O274" t="str">
        <f>IF(C274="","",SUMIFS($N$2:N274,$C$2:C274,C274,$K$2:K274,"Approved"))</f>
        <v/>
      </c>
      <c r="R274" s="13" t="str">
        <f t="shared" si="8"/>
        <v/>
      </c>
      <c r="S274" t="str">
        <f t="shared" ca="1" si="9"/>
        <v/>
      </c>
    </row>
    <row r="275" spans="15:19" x14ac:dyDescent="0.25">
      <c r="O275" t="str">
        <f>IF(C275="","",SUMIFS($N$2:N275,$C$2:C275,C275,$K$2:K275,"Approved"))</f>
        <v/>
      </c>
      <c r="R275" s="13" t="str">
        <f t="shared" si="8"/>
        <v/>
      </c>
      <c r="S275" t="str">
        <f t="shared" ca="1" si="9"/>
        <v/>
      </c>
    </row>
    <row r="276" spans="15:19" x14ac:dyDescent="0.25">
      <c r="O276" t="str">
        <f>IF(C276="","",SUMIFS($N$2:N276,$C$2:C276,C276,$K$2:K276,"Approved"))</f>
        <v/>
      </c>
      <c r="R276" s="13" t="str">
        <f t="shared" si="8"/>
        <v/>
      </c>
      <c r="S276" t="str">
        <f t="shared" ca="1" si="9"/>
        <v/>
      </c>
    </row>
    <row r="277" spans="15:19" x14ac:dyDescent="0.25">
      <c r="O277" t="str">
        <f>IF(C277="","",SUMIFS($N$2:N277,$C$2:C277,C277,$K$2:K277,"Approved"))</f>
        <v/>
      </c>
      <c r="R277" s="13" t="str">
        <f t="shared" si="8"/>
        <v/>
      </c>
      <c r="S277" t="str">
        <f t="shared" ca="1" si="9"/>
        <v/>
      </c>
    </row>
    <row r="278" spans="15:19" x14ac:dyDescent="0.25">
      <c r="O278" t="str">
        <f>IF(C278="","",SUMIFS($N$2:N278,$C$2:C278,C278,$K$2:K278,"Approved"))</f>
        <v/>
      </c>
      <c r="R278" s="13" t="str">
        <f t="shared" si="8"/>
        <v/>
      </c>
      <c r="S278" t="str">
        <f t="shared" ca="1" si="9"/>
        <v/>
      </c>
    </row>
    <row r="279" spans="15:19" x14ac:dyDescent="0.25">
      <c r="O279" t="str">
        <f>IF(C279="","",SUMIFS($N$2:N279,$C$2:C279,C279,$K$2:K279,"Approved"))</f>
        <v/>
      </c>
      <c r="R279" s="13" t="str">
        <f t="shared" si="8"/>
        <v/>
      </c>
      <c r="S279" t="str">
        <f t="shared" ca="1" si="9"/>
        <v/>
      </c>
    </row>
    <row r="280" spans="15:19" x14ac:dyDescent="0.25">
      <c r="O280" t="str">
        <f>IF(C280="","",SUMIFS($N$2:N280,$C$2:C280,C280,$K$2:K280,"Approved"))</f>
        <v/>
      </c>
      <c r="R280" s="13" t="str">
        <f t="shared" si="8"/>
        <v/>
      </c>
      <c r="S280" t="str">
        <f t="shared" ca="1" si="9"/>
        <v/>
      </c>
    </row>
    <row r="281" spans="15:19" x14ac:dyDescent="0.25">
      <c r="O281" t="str">
        <f>IF(C281="","",SUMIFS($N$2:N281,$C$2:C281,C281,$K$2:K281,"Approved"))</f>
        <v/>
      </c>
      <c r="R281" s="13" t="str">
        <f t="shared" si="8"/>
        <v/>
      </c>
      <c r="S281" t="str">
        <f t="shared" ca="1" si="9"/>
        <v/>
      </c>
    </row>
    <row r="282" spans="15:19" x14ac:dyDescent="0.25">
      <c r="O282" t="str">
        <f>IF(C282="","",SUMIFS($N$2:N282,$C$2:C282,C282,$K$2:K282,"Approved"))</f>
        <v/>
      </c>
      <c r="R282" s="13" t="str">
        <f t="shared" si="8"/>
        <v/>
      </c>
      <c r="S282" t="str">
        <f t="shared" ca="1" si="9"/>
        <v/>
      </c>
    </row>
    <row r="283" spans="15:19" x14ac:dyDescent="0.25">
      <c r="O283" t="str">
        <f>IF(C283="","",SUMIFS($N$2:N283,$C$2:C283,C283,$K$2:K283,"Approved"))</f>
        <v/>
      </c>
      <c r="R283" s="13" t="str">
        <f t="shared" si="8"/>
        <v/>
      </c>
      <c r="S283" t="str">
        <f t="shared" ca="1" si="9"/>
        <v/>
      </c>
    </row>
    <row r="284" spans="15:19" x14ac:dyDescent="0.25">
      <c r="O284" t="str">
        <f>IF(C284="","",SUMIFS($N$2:N284,$C$2:C284,C284,$K$2:K284,"Approved"))</f>
        <v/>
      </c>
      <c r="R284" s="13" t="str">
        <f t="shared" si="8"/>
        <v/>
      </c>
      <c r="S284" t="str">
        <f t="shared" ca="1" si="9"/>
        <v/>
      </c>
    </row>
    <row r="285" spans="15:19" x14ac:dyDescent="0.25">
      <c r="O285" t="str">
        <f>IF(C285="","",SUMIFS($N$2:N285,$C$2:C285,C285,$K$2:K285,"Approved"))</f>
        <v/>
      </c>
      <c r="R285" s="13" t="str">
        <f t="shared" si="8"/>
        <v/>
      </c>
      <c r="S285" t="str">
        <f t="shared" ca="1" si="9"/>
        <v/>
      </c>
    </row>
    <row r="286" spans="15:19" x14ac:dyDescent="0.25">
      <c r="O286" t="str">
        <f>IF(C286="","",SUMIFS($N$2:N286,$C$2:C286,C286,$K$2:K286,"Approved"))</f>
        <v/>
      </c>
      <c r="R286" s="13" t="str">
        <f t="shared" si="8"/>
        <v/>
      </c>
      <c r="S286" t="str">
        <f t="shared" ca="1" si="9"/>
        <v/>
      </c>
    </row>
    <row r="287" spans="15:19" x14ac:dyDescent="0.25">
      <c r="O287" t="str">
        <f>IF(C287="","",SUMIFS($N$2:N287,$C$2:C287,C287,$K$2:K287,"Approved"))</f>
        <v/>
      </c>
      <c r="R287" s="13" t="str">
        <f t="shared" si="8"/>
        <v/>
      </c>
      <c r="S287" t="str">
        <f t="shared" ca="1" si="9"/>
        <v/>
      </c>
    </row>
    <row r="288" spans="15:19" x14ac:dyDescent="0.25">
      <c r="O288" t="str">
        <f>IF(C288="","",SUMIFS($N$2:N288,$C$2:C288,C288,$K$2:K288,"Approved"))</f>
        <v/>
      </c>
      <c r="R288" s="13" t="str">
        <f t="shared" si="8"/>
        <v/>
      </c>
      <c r="S288" t="str">
        <f t="shared" ca="1" si="9"/>
        <v/>
      </c>
    </row>
    <row r="289" spans="1:19" x14ac:dyDescent="0.25">
      <c r="O289" t="str">
        <f>IF(C289="","",SUMIFS($N$2:N289,$C$2:C289,C289,$K$2:K289,"Approved"))</f>
        <v/>
      </c>
      <c r="R289" s="13" t="str">
        <f t="shared" si="8"/>
        <v/>
      </c>
      <c r="S289" t="str">
        <f t="shared" ca="1" si="9"/>
        <v/>
      </c>
    </row>
    <row r="290" spans="1:19" x14ac:dyDescent="0.25">
      <c r="O290" t="str">
        <f>IF(C290="","",SUMIFS($N$2:N290,$C$2:C290,C290,$K$2:K290,"Approved"))</f>
        <v/>
      </c>
      <c r="R290" s="13" t="str">
        <f t="shared" si="8"/>
        <v/>
      </c>
      <c r="S290" t="str">
        <f t="shared" ca="1" si="9"/>
        <v/>
      </c>
    </row>
    <row r="291" spans="1:19" x14ac:dyDescent="0.25">
      <c r="O291" t="str">
        <f>IF(C291="","",SUMIFS($N$2:N291,$C$2:C291,C291,$K$2:K291,"Approved"))</f>
        <v/>
      </c>
      <c r="R291" s="13" t="str">
        <f t="shared" si="8"/>
        <v/>
      </c>
      <c r="S291" t="str">
        <f t="shared" ca="1" si="9"/>
        <v/>
      </c>
    </row>
    <row r="292" spans="1:19" x14ac:dyDescent="0.25">
      <c r="O292" t="str">
        <f>IF(C292="","",SUMIFS($N$2:N292,$C$2:C292,C292,$K$2:K292,"Approved"))</f>
        <v/>
      </c>
      <c r="R292" s="13" t="str">
        <f t="shared" si="8"/>
        <v/>
      </c>
      <c r="S292" t="str">
        <f t="shared" ca="1" si="9"/>
        <v/>
      </c>
    </row>
    <row r="293" spans="1:19" x14ac:dyDescent="0.25">
      <c r="O293" t="str">
        <f>IF(C293="","",SUMIFS($N$2:N293,$C$2:C293,C293,$K$2:K293,"Approved"))</f>
        <v/>
      </c>
      <c r="R293" s="13" t="str">
        <f t="shared" si="8"/>
        <v/>
      </c>
      <c r="S293" t="str">
        <f t="shared" ca="1" si="9"/>
        <v/>
      </c>
    </row>
    <row r="294" spans="1:19" x14ac:dyDescent="0.25">
      <c r="O294" t="str">
        <f>IF(C294="","",SUMIFS($N$2:N294,$C$2:C294,C294,$K$2:K294,"Approved"))</f>
        <v/>
      </c>
      <c r="R294" s="13" t="str">
        <f t="shared" si="8"/>
        <v/>
      </c>
      <c r="S294" t="str">
        <f t="shared" ca="1" si="9"/>
        <v/>
      </c>
    </row>
    <row r="295" spans="1:19" x14ac:dyDescent="0.25">
      <c r="O295" t="str">
        <f>IF(C295="","",SUMIFS($N$2:N295,$C$2:C295,C295,$K$2:K295,"Approved"))</f>
        <v/>
      </c>
      <c r="R295" s="13" t="str">
        <f t="shared" si="8"/>
        <v/>
      </c>
      <c r="S295" t="str">
        <f t="shared" ca="1" si="9"/>
        <v/>
      </c>
    </row>
    <row r="296" spans="1:19" x14ac:dyDescent="0.25">
      <c r="O296" t="str">
        <f>IF(C296="","",SUMIFS($N$2:N296,$C$2:C296,C296,$K$2:K296,"Approved"))</f>
        <v/>
      </c>
      <c r="R296" s="13" t="str">
        <f t="shared" si="8"/>
        <v/>
      </c>
      <c r="S296" t="str">
        <f t="shared" ca="1" si="9"/>
        <v/>
      </c>
    </row>
    <row r="297" spans="1:19" x14ac:dyDescent="0.25">
      <c r="O297" t="str">
        <f>IF(C297="","",SUMIFS($N$2:N297,$C$2:C297,C297,$K$2:K297,"Approved"))</f>
        <v/>
      </c>
      <c r="R297" s="13" t="str">
        <f t="shared" si="8"/>
        <v/>
      </c>
      <c r="S297" t="str">
        <f t="shared" ca="1" si="9"/>
        <v/>
      </c>
    </row>
    <row r="298" spans="1:19" x14ac:dyDescent="0.25">
      <c r="O298" t="str">
        <f>IF(C298="","",SUMIFS($N$2:N298,$C$2:C298,C298,$K$2:K298,"Approved"))</f>
        <v/>
      </c>
      <c r="R298" s="13" t="str">
        <f t="shared" si="8"/>
        <v/>
      </c>
      <c r="S298" t="str">
        <f t="shared" ca="1" si="9"/>
        <v/>
      </c>
    </row>
    <row r="301" spans="1:19" x14ac:dyDescent="0.25">
      <c r="A301" s="3" t="s">
        <v>311</v>
      </c>
    </row>
  </sheetData>
  <conditionalFormatting sqref="K2:K299">
    <cfRule type="cellIs" dxfId="22" priority="2" operator="equal">
      <formula>"Rejected"</formula>
    </cfRule>
    <cfRule type="cellIs" dxfId="21" priority="3" operator="equal">
      <formula>"Under Review"</formula>
    </cfRule>
  </conditionalFormatting>
  <conditionalFormatting sqref="S2:S299">
    <cfRule type="cellIs" dxfId="20" priority="4" operator="greaterThanOrEqual">
      <formula>14</formula>
    </cfRule>
  </conditionalFormatting>
  <dataValidations count="2">
    <dataValidation type="list" allowBlank="1" sqref="K2:K499" xr:uid="{00000000-0002-0000-0600-000000000000}">
      <formula1>"Submitted,Under Review,Approved,Pending,Rejected,Void"</formula1>
      <formula2>0</formula2>
    </dataValidation>
    <dataValidation type="list" allowBlank="1" sqref="Q2:Q499" xr:uid="{00000000-0002-0000-0600-000001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A1A1A"/>
    <pageSetUpPr fitToPage="1"/>
  </sheetPr>
  <dimension ref="A1:P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10" customWidth="1"/>
    <col min="2" max="2" width="15" customWidth="1"/>
    <col min="3" max="3" width="13" customWidth="1"/>
    <col min="4" max="4" width="12" customWidth="1"/>
    <col min="5" max="5" width="18" customWidth="1"/>
    <col min="6" max="6" width="15" customWidth="1"/>
    <col min="7" max="7" width="28" customWidth="1"/>
    <col min="8" max="9" width="14" customWidth="1"/>
    <col min="10" max="10" width="12" customWidth="1"/>
    <col min="11" max="11" width="14" customWidth="1"/>
    <col min="12" max="12" width="20" customWidth="1"/>
    <col min="13" max="13" width="26" customWidth="1"/>
    <col min="14" max="16" width="14" customWidth="1"/>
  </cols>
  <sheetData>
    <row r="1" spans="1:16" ht="31.5" customHeight="1" x14ac:dyDescent="0.25">
      <c r="A1" s="18" t="s">
        <v>312</v>
      </c>
      <c r="B1" s="18" t="s">
        <v>313</v>
      </c>
      <c r="C1" s="18" t="s">
        <v>314</v>
      </c>
      <c r="D1" s="18" t="s">
        <v>315</v>
      </c>
      <c r="E1" s="18" t="s">
        <v>316</v>
      </c>
      <c r="F1" s="18" t="s">
        <v>317</v>
      </c>
      <c r="G1" s="18" t="s">
        <v>278</v>
      </c>
      <c r="H1" s="18" t="s">
        <v>318</v>
      </c>
      <c r="I1" s="18" t="s">
        <v>319</v>
      </c>
      <c r="J1" s="18" t="s">
        <v>224</v>
      </c>
      <c r="K1" s="18" t="s">
        <v>220</v>
      </c>
      <c r="L1" s="18" t="s">
        <v>320</v>
      </c>
      <c r="M1" s="18" t="s">
        <v>226</v>
      </c>
      <c r="N1" s="18" t="s">
        <v>227</v>
      </c>
      <c r="O1" s="18" t="s">
        <v>230</v>
      </c>
      <c r="P1" s="18" t="s">
        <v>231</v>
      </c>
    </row>
    <row r="2" spans="1:16" x14ac:dyDescent="0.25">
      <c r="D2" t="str">
        <f t="shared" ref="D2:D65" si="0">IF(A2="","",IF(AND(B2&lt;&gt;"",C2&lt;&gt;""),C2-B2,""))</f>
        <v/>
      </c>
      <c r="F2" t="str">
        <f t="shared" ref="F2:F65" si="1">IF(A2="","",IF(AND(D2&lt;&gt;"",E2&lt;&gt;""),IF(D2&lt;=E2,"Yes","NO - LATE"),""))</f>
        <v/>
      </c>
      <c r="O2" s="13" t="str">
        <f t="shared" ref="O2:O65" si="2">IF(A2="","",MAX(B2+0,C2+0))</f>
        <v/>
      </c>
      <c r="P2" t="str">
        <f t="shared" ref="P2:P65" ca="1" si="3">IF(A2="","",IF(OR(K2="Approved",K2="Denied",K2="Withdrawn"),"",TODAY()-O2))</f>
        <v/>
      </c>
    </row>
    <row r="3" spans="1:16" x14ac:dyDescent="0.25">
      <c r="D3" t="str">
        <f t="shared" si="0"/>
        <v/>
      </c>
      <c r="F3" t="str">
        <f t="shared" si="1"/>
        <v/>
      </c>
      <c r="O3" s="13" t="str">
        <f t="shared" si="2"/>
        <v/>
      </c>
      <c r="P3" t="str">
        <f t="shared" ca="1" si="3"/>
        <v/>
      </c>
    </row>
    <row r="4" spans="1:16" x14ac:dyDescent="0.25">
      <c r="D4" t="str">
        <f t="shared" si="0"/>
        <v/>
      </c>
      <c r="F4" t="str">
        <f t="shared" si="1"/>
        <v/>
      </c>
      <c r="O4" s="13" t="str">
        <f t="shared" si="2"/>
        <v/>
      </c>
      <c r="P4" t="str">
        <f t="shared" ca="1" si="3"/>
        <v/>
      </c>
    </row>
    <row r="5" spans="1:16" x14ac:dyDescent="0.25">
      <c r="D5" t="str">
        <f t="shared" si="0"/>
        <v/>
      </c>
      <c r="F5" t="str">
        <f t="shared" si="1"/>
        <v/>
      </c>
      <c r="O5" s="13" t="str">
        <f t="shared" si="2"/>
        <v/>
      </c>
      <c r="P5" t="str">
        <f t="shared" ca="1" si="3"/>
        <v/>
      </c>
    </row>
    <row r="6" spans="1:16" x14ac:dyDescent="0.25">
      <c r="D6" t="str">
        <f t="shared" si="0"/>
        <v/>
      </c>
      <c r="F6" t="str">
        <f t="shared" si="1"/>
        <v/>
      </c>
      <c r="O6" s="13" t="str">
        <f t="shared" si="2"/>
        <v/>
      </c>
      <c r="P6" t="str">
        <f t="shared" ca="1" si="3"/>
        <v/>
      </c>
    </row>
    <row r="7" spans="1:16" x14ac:dyDescent="0.25">
      <c r="D7" t="str">
        <f t="shared" si="0"/>
        <v/>
      </c>
      <c r="F7" t="str">
        <f t="shared" si="1"/>
        <v/>
      </c>
      <c r="O7" s="13" t="str">
        <f t="shared" si="2"/>
        <v/>
      </c>
      <c r="P7" t="str">
        <f t="shared" ca="1" si="3"/>
        <v/>
      </c>
    </row>
    <row r="8" spans="1:16" x14ac:dyDescent="0.25">
      <c r="D8" t="str">
        <f t="shared" si="0"/>
        <v/>
      </c>
      <c r="F8" t="str">
        <f t="shared" si="1"/>
        <v/>
      </c>
      <c r="O8" s="13" t="str">
        <f t="shared" si="2"/>
        <v/>
      </c>
      <c r="P8" t="str">
        <f t="shared" ca="1" si="3"/>
        <v/>
      </c>
    </row>
    <row r="9" spans="1:16" x14ac:dyDescent="0.25">
      <c r="D9" t="str">
        <f t="shared" si="0"/>
        <v/>
      </c>
      <c r="F9" t="str">
        <f t="shared" si="1"/>
        <v/>
      </c>
      <c r="O9" s="13" t="str">
        <f t="shared" si="2"/>
        <v/>
      </c>
      <c r="P9" t="str">
        <f t="shared" ca="1" si="3"/>
        <v/>
      </c>
    </row>
    <row r="10" spans="1:16" x14ac:dyDescent="0.25">
      <c r="D10" t="str">
        <f t="shared" si="0"/>
        <v/>
      </c>
      <c r="F10" t="str">
        <f t="shared" si="1"/>
        <v/>
      </c>
      <c r="O10" s="13" t="str">
        <f t="shared" si="2"/>
        <v/>
      </c>
      <c r="P10" t="str">
        <f t="shared" ca="1" si="3"/>
        <v/>
      </c>
    </row>
    <row r="11" spans="1:16" x14ac:dyDescent="0.25">
      <c r="D11" t="str">
        <f t="shared" si="0"/>
        <v/>
      </c>
      <c r="F11" t="str">
        <f t="shared" si="1"/>
        <v/>
      </c>
      <c r="O11" s="13" t="str">
        <f t="shared" si="2"/>
        <v/>
      </c>
      <c r="P11" t="str">
        <f t="shared" ca="1" si="3"/>
        <v/>
      </c>
    </row>
    <row r="12" spans="1:16" x14ac:dyDescent="0.25">
      <c r="D12" t="str">
        <f t="shared" si="0"/>
        <v/>
      </c>
      <c r="F12" t="str">
        <f t="shared" si="1"/>
        <v/>
      </c>
      <c r="O12" s="13" t="str">
        <f t="shared" si="2"/>
        <v/>
      </c>
      <c r="P12" t="str">
        <f t="shared" ca="1" si="3"/>
        <v/>
      </c>
    </row>
    <row r="13" spans="1:16" x14ac:dyDescent="0.25">
      <c r="D13" t="str">
        <f t="shared" si="0"/>
        <v/>
      </c>
      <c r="F13" t="str">
        <f t="shared" si="1"/>
        <v/>
      </c>
      <c r="O13" s="13" t="str">
        <f t="shared" si="2"/>
        <v/>
      </c>
      <c r="P13" t="str">
        <f t="shared" ca="1" si="3"/>
        <v/>
      </c>
    </row>
    <row r="14" spans="1:16" x14ac:dyDescent="0.25">
      <c r="D14" t="str">
        <f t="shared" si="0"/>
        <v/>
      </c>
      <c r="F14" t="str">
        <f t="shared" si="1"/>
        <v/>
      </c>
      <c r="O14" s="13" t="str">
        <f t="shared" si="2"/>
        <v/>
      </c>
      <c r="P14" t="str">
        <f t="shared" ca="1" si="3"/>
        <v/>
      </c>
    </row>
    <row r="15" spans="1:16" x14ac:dyDescent="0.25">
      <c r="D15" t="str">
        <f t="shared" si="0"/>
        <v/>
      </c>
      <c r="F15" t="str">
        <f t="shared" si="1"/>
        <v/>
      </c>
      <c r="O15" s="13" t="str">
        <f t="shared" si="2"/>
        <v/>
      </c>
      <c r="P15" t="str">
        <f t="shared" ca="1" si="3"/>
        <v/>
      </c>
    </row>
    <row r="16" spans="1:16" x14ac:dyDescent="0.25">
      <c r="D16" t="str">
        <f t="shared" si="0"/>
        <v/>
      </c>
      <c r="F16" t="str">
        <f t="shared" si="1"/>
        <v/>
      </c>
      <c r="O16" s="13" t="str">
        <f t="shared" si="2"/>
        <v/>
      </c>
      <c r="P16" t="str">
        <f t="shared" ca="1" si="3"/>
        <v/>
      </c>
    </row>
    <row r="17" spans="4:16" x14ac:dyDescent="0.25">
      <c r="D17" t="str">
        <f t="shared" si="0"/>
        <v/>
      </c>
      <c r="F17" t="str">
        <f t="shared" si="1"/>
        <v/>
      </c>
      <c r="O17" s="13" t="str">
        <f t="shared" si="2"/>
        <v/>
      </c>
      <c r="P17" t="str">
        <f t="shared" ca="1" si="3"/>
        <v/>
      </c>
    </row>
    <row r="18" spans="4:16" x14ac:dyDescent="0.25">
      <c r="D18" t="str">
        <f t="shared" si="0"/>
        <v/>
      </c>
      <c r="F18" t="str">
        <f t="shared" si="1"/>
        <v/>
      </c>
      <c r="O18" s="13" t="str">
        <f t="shared" si="2"/>
        <v/>
      </c>
      <c r="P18" t="str">
        <f t="shared" ca="1" si="3"/>
        <v/>
      </c>
    </row>
    <row r="19" spans="4:16" x14ac:dyDescent="0.25">
      <c r="D19" t="str">
        <f t="shared" si="0"/>
        <v/>
      </c>
      <c r="F19" t="str">
        <f t="shared" si="1"/>
        <v/>
      </c>
      <c r="O19" s="13" t="str">
        <f t="shared" si="2"/>
        <v/>
      </c>
      <c r="P19" t="str">
        <f t="shared" ca="1" si="3"/>
        <v/>
      </c>
    </row>
    <row r="20" spans="4:16" x14ac:dyDescent="0.25">
      <c r="D20" t="str">
        <f t="shared" si="0"/>
        <v/>
      </c>
      <c r="F20" t="str">
        <f t="shared" si="1"/>
        <v/>
      </c>
      <c r="O20" s="13" t="str">
        <f t="shared" si="2"/>
        <v/>
      </c>
      <c r="P20" t="str">
        <f t="shared" ca="1" si="3"/>
        <v/>
      </c>
    </row>
    <row r="21" spans="4:16" x14ac:dyDescent="0.25">
      <c r="D21" t="str">
        <f t="shared" si="0"/>
        <v/>
      </c>
      <c r="F21" t="str">
        <f t="shared" si="1"/>
        <v/>
      </c>
      <c r="O21" s="13" t="str">
        <f t="shared" si="2"/>
        <v/>
      </c>
      <c r="P21" t="str">
        <f t="shared" ca="1" si="3"/>
        <v/>
      </c>
    </row>
    <row r="22" spans="4:16" x14ac:dyDescent="0.25">
      <c r="D22" t="str">
        <f t="shared" si="0"/>
        <v/>
      </c>
      <c r="F22" t="str">
        <f t="shared" si="1"/>
        <v/>
      </c>
      <c r="O22" s="13" t="str">
        <f t="shared" si="2"/>
        <v/>
      </c>
      <c r="P22" t="str">
        <f t="shared" ca="1" si="3"/>
        <v/>
      </c>
    </row>
    <row r="23" spans="4:16" x14ac:dyDescent="0.25">
      <c r="D23" t="str">
        <f t="shared" si="0"/>
        <v/>
      </c>
      <c r="F23" t="str">
        <f t="shared" si="1"/>
        <v/>
      </c>
      <c r="O23" s="13" t="str">
        <f t="shared" si="2"/>
        <v/>
      </c>
      <c r="P23" t="str">
        <f t="shared" ca="1" si="3"/>
        <v/>
      </c>
    </row>
    <row r="24" spans="4:16" x14ac:dyDescent="0.25">
      <c r="D24" t="str">
        <f t="shared" si="0"/>
        <v/>
      </c>
      <c r="F24" t="str">
        <f t="shared" si="1"/>
        <v/>
      </c>
      <c r="O24" s="13" t="str">
        <f t="shared" si="2"/>
        <v/>
      </c>
      <c r="P24" t="str">
        <f t="shared" ca="1" si="3"/>
        <v/>
      </c>
    </row>
    <row r="25" spans="4:16" x14ac:dyDescent="0.25">
      <c r="D25" t="str">
        <f t="shared" si="0"/>
        <v/>
      </c>
      <c r="F25" t="str">
        <f t="shared" si="1"/>
        <v/>
      </c>
      <c r="O25" s="13" t="str">
        <f t="shared" si="2"/>
        <v/>
      </c>
      <c r="P25" t="str">
        <f t="shared" ca="1" si="3"/>
        <v/>
      </c>
    </row>
    <row r="26" spans="4:16" x14ac:dyDescent="0.25">
      <c r="D26" t="str">
        <f t="shared" si="0"/>
        <v/>
      </c>
      <c r="F26" t="str">
        <f t="shared" si="1"/>
        <v/>
      </c>
      <c r="O26" s="13" t="str">
        <f t="shared" si="2"/>
        <v/>
      </c>
      <c r="P26" t="str">
        <f t="shared" ca="1" si="3"/>
        <v/>
      </c>
    </row>
    <row r="27" spans="4:16" x14ac:dyDescent="0.25">
      <c r="D27" t="str">
        <f t="shared" si="0"/>
        <v/>
      </c>
      <c r="F27" t="str">
        <f t="shared" si="1"/>
        <v/>
      </c>
      <c r="O27" s="13" t="str">
        <f t="shared" si="2"/>
        <v/>
      </c>
      <c r="P27" t="str">
        <f t="shared" ca="1" si="3"/>
        <v/>
      </c>
    </row>
    <row r="28" spans="4:16" x14ac:dyDescent="0.25">
      <c r="D28" t="str">
        <f t="shared" si="0"/>
        <v/>
      </c>
      <c r="F28" t="str">
        <f t="shared" si="1"/>
        <v/>
      </c>
      <c r="O28" s="13" t="str">
        <f t="shared" si="2"/>
        <v/>
      </c>
      <c r="P28" t="str">
        <f t="shared" ca="1" si="3"/>
        <v/>
      </c>
    </row>
    <row r="29" spans="4:16" x14ac:dyDescent="0.25">
      <c r="D29" t="str">
        <f t="shared" si="0"/>
        <v/>
      </c>
      <c r="F29" t="str">
        <f t="shared" si="1"/>
        <v/>
      </c>
      <c r="O29" s="13" t="str">
        <f t="shared" si="2"/>
        <v/>
      </c>
      <c r="P29" t="str">
        <f t="shared" ca="1" si="3"/>
        <v/>
      </c>
    </row>
    <row r="30" spans="4:16" x14ac:dyDescent="0.25">
      <c r="D30" t="str">
        <f t="shared" si="0"/>
        <v/>
      </c>
      <c r="F30" t="str">
        <f t="shared" si="1"/>
        <v/>
      </c>
      <c r="O30" s="13" t="str">
        <f t="shared" si="2"/>
        <v/>
      </c>
      <c r="P30" t="str">
        <f t="shared" ca="1" si="3"/>
        <v/>
      </c>
    </row>
    <row r="31" spans="4:16" x14ac:dyDescent="0.25">
      <c r="D31" t="str">
        <f t="shared" si="0"/>
        <v/>
      </c>
      <c r="F31" t="str">
        <f t="shared" si="1"/>
        <v/>
      </c>
      <c r="O31" s="13" t="str">
        <f t="shared" si="2"/>
        <v/>
      </c>
      <c r="P31" t="str">
        <f t="shared" ca="1" si="3"/>
        <v/>
      </c>
    </row>
    <row r="32" spans="4:16" x14ac:dyDescent="0.25">
      <c r="D32" t="str">
        <f t="shared" si="0"/>
        <v/>
      </c>
      <c r="F32" t="str">
        <f t="shared" si="1"/>
        <v/>
      </c>
      <c r="O32" s="13" t="str">
        <f t="shared" si="2"/>
        <v/>
      </c>
      <c r="P32" t="str">
        <f t="shared" ca="1" si="3"/>
        <v/>
      </c>
    </row>
    <row r="33" spans="4:16" x14ac:dyDescent="0.25">
      <c r="D33" t="str">
        <f t="shared" si="0"/>
        <v/>
      </c>
      <c r="F33" t="str">
        <f t="shared" si="1"/>
        <v/>
      </c>
      <c r="O33" s="13" t="str">
        <f t="shared" si="2"/>
        <v/>
      </c>
      <c r="P33" t="str">
        <f t="shared" ca="1" si="3"/>
        <v/>
      </c>
    </row>
    <row r="34" spans="4:16" x14ac:dyDescent="0.25">
      <c r="D34" t="str">
        <f t="shared" si="0"/>
        <v/>
      </c>
      <c r="F34" t="str">
        <f t="shared" si="1"/>
        <v/>
      </c>
      <c r="O34" s="13" t="str">
        <f t="shared" si="2"/>
        <v/>
      </c>
      <c r="P34" t="str">
        <f t="shared" ca="1" si="3"/>
        <v/>
      </c>
    </row>
    <row r="35" spans="4:16" x14ac:dyDescent="0.25">
      <c r="D35" t="str">
        <f t="shared" si="0"/>
        <v/>
      </c>
      <c r="F35" t="str">
        <f t="shared" si="1"/>
        <v/>
      </c>
      <c r="O35" s="13" t="str">
        <f t="shared" si="2"/>
        <v/>
      </c>
      <c r="P35" t="str">
        <f t="shared" ca="1" si="3"/>
        <v/>
      </c>
    </row>
    <row r="36" spans="4:16" x14ac:dyDescent="0.25">
      <c r="D36" t="str">
        <f t="shared" si="0"/>
        <v/>
      </c>
      <c r="F36" t="str">
        <f t="shared" si="1"/>
        <v/>
      </c>
      <c r="O36" s="13" t="str">
        <f t="shared" si="2"/>
        <v/>
      </c>
      <c r="P36" t="str">
        <f t="shared" ca="1" si="3"/>
        <v/>
      </c>
    </row>
    <row r="37" spans="4:16" x14ac:dyDescent="0.25">
      <c r="D37" t="str">
        <f t="shared" si="0"/>
        <v/>
      </c>
      <c r="F37" t="str">
        <f t="shared" si="1"/>
        <v/>
      </c>
      <c r="O37" s="13" t="str">
        <f t="shared" si="2"/>
        <v/>
      </c>
      <c r="P37" t="str">
        <f t="shared" ca="1" si="3"/>
        <v/>
      </c>
    </row>
    <row r="38" spans="4:16" x14ac:dyDescent="0.25">
      <c r="D38" t="str">
        <f t="shared" si="0"/>
        <v/>
      </c>
      <c r="F38" t="str">
        <f t="shared" si="1"/>
        <v/>
      </c>
      <c r="O38" s="13" t="str">
        <f t="shared" si="2"/>
        <v/>
      </c>
      <c r="P38" t="str">
        <f t="shared" ca="1" si="3"/>
        <v/>
      </c>
    </row>
    <row r="39" spans="4:16" x14ac:dyDescent="0.25">
      <c r="D39" t="str">
        <f t="shared" si="0"/>
        <v/>
      </c>
      <c r="F39" t="str">
        <f t="shared" si="1"/>
        <v/>
      </c>
      <c r="O39" s="13" t="str">
        <f t="shared" si="2"/>
        <v/>
      </c>
      <c r="P39" t="str">
        <f t="shared" ca="1" si="3"/>
        <v/>
      </c>
    </row>
    <row r="40" spans="4:16" x14ac:dyDescent="0.25">
      <c r="D40" t="str">
        <f t="shared" si="0"/>
        <v/>
      </c>
      <c r="F40" t="str">
        <f t="shared" si="1"/>
        <v/>
      </c>
      <c r="O40" s="13" t="str">
        <f t="shared" si="2"/>
        <v/>
      </c>
      <c r="P40" t="str">
        <f t="shared" ca="1" si="3"/>
        <v/>
      </c>
    </row>
    <row r="41" spans="4:16" x14ac:dyDescent="0.25">
      <c r="D41" t="str">
        <f t="shared" si="0"/>
        <v/>
      </c>
      <c r="F41" t="str">
        <f t="shared" si="1"/>
        <v/>
      </c>
      <c r="O41" s="13" t="str">
        <f t="shared" si="2"/>
        <v/>
      </c>
      <c r="P41" t="str">
        <f t="shared" ca="1" si="3"/>
        <v/>
      </c>
    </row>
    <row r="42" spans="4:16" x14ac:dyDescent="0.25">
      <c r="D42" t="str">
        <f t="shared" si="0"/>
        <v/>
      </c>
      <c r="F42" t="str">
        <f t="shared" si="1"/>
        <v/>
      </c>
      <c r="O42" s="13" t="str">
        <f t="shared" si="2"/>
        <v/>
      </c>
      <c r="P42" t="str">
        <f t="shared" ca="1" si="3"/>
        <v/>
      </c>
    </row>
    <row r="43" spans="4:16" x14ac:dyDescent="0.25">
      <c r="D43" t="str">
        <f t="shared" si="0"/>
        <v/>
      </c>
      <c r="F43" t="str">
        <f t="shared" si="1"/>
        <v/>
      </c>
      <c r="O43" s="13" t="str">
        <f t="shared" si="2"/>
        <v/>
      </c>
      <c r="P43" t="str">
        <f t="shared" ca="1" si="3"/>
        <v/>
      </c>
    </row>
    <row r="44" spans="4:16" x14ac:dyDescent="0.25">
      <c r="D44" t="str">
        <f t="shared" si="0"/>
        <v/>
      </c>
      <c r="F44" t="str">
        <f t="shared" si="1"/>
        <v/>
      </c>
      <c r="O44" s="13" t="str">
        <f t="shared" si="2"/>
        <v/>
      </c>
      <c r="P44" t="str">
        <f t="shared" ca="1" si="3"/>
        <v/>
      </c>
    </row>
    <row r="45" spans="4:16" x14ac:dyDescent="0.25">
      <c r="D45" t="str">
        <f t="shared" si="0"/>
        <v/>
      </c>
      <c r="F45" t="str">
        <f t="shared" si="1"/>
        <v/>
      </c>
      <c r="O45" s="13" t="str">
        <f t="shared" si="2"/>
        <v/>
      </c>
      <c r="P45" t="str">
        <f t="shared" ca="1" si="3"/>
        <v/>
      </c>
    </row>
    <row r="46" spans="4:16" x14ac:dyDescent="0.25">
      <c r="D46" t="str">
        <f t="shared" si="0"/>
        <v/>
      </c>
      <c r="F46" t="str">
        <f t="shared" si="1"/>
        <v/>
      </c>
      <c r="O46" s="13" t="str">
        <f t="shared" si="2"/>
        <v/>
      </c>
      <c r="P46" t="str">
        <f t="shared" ca="1" si="3"/>
        <v/>
      </c>
    </row>
    <row r="47" spans="4:16" x14ac:dyDescent="0.25">
      <c r="D47" t="str">
        <f t="shared" si="0"/>
        <v/>
      </c>
      <c r="F47" t="str">
        <f t="shared" si="1"/>
        <v/>
      </c>
      <c r="O47" s="13" t="str">
        <f t="shared" si="2"/>
        <v/>
      </c>
      <c r="P47" t="str">
        <f t="shared" ca="1" si="3"/>
        <v/>
      </c>
    </row>
    <row r="48" spans="4:16" x14ac:dyDescent="0.25">
      <c r="D48" t="str">
        <f t="shared" si="0"/>
        <v/>
      </c>
      <c r="F48" t="str">
        <f t="shared" si="1"/>
        <v/>
      </c>
      <c r="O48" s="13" t="str">
        <f t="shared" si="2"/>
        <v/>
      </c>
      <c r="P48" t="str">
        <f t="shared" ca="1" si="3"/>
        <v/>
      </c>
    </row>
    <row r="49" spans="4:16" x14ac:dyDescent="0.25">
      <c r="D49" t="str">
        <f t="shared" si="0"/>
        <v/>
      </c>
      <c r="F49" t="str">
        <f t="shared" si="1"/>
        <v/>
      </c>
      <c r="O49" s="13" t="str">
        <f t="shared" si="2"/>
        <v/>
      </c>
      <c r="P49" t="str">
        <f t="shared" ca="1" si="3"/>
        <v/>
      </c>
    </row>
    <row r="50" spans="4:16" x14ac:dyDescent="0.25">
      <c r="D50" t="str">
        <f t="shared" si="0"/>
        <v/>
      </c>
      <c r="F50" t="str">
        <f t="shared" si="1"/>
        <v/>
      </c>
      <c r="O50" s="13" t="str">
        <f t="shared" si="2"/>
        <v/>
      </c>
      <c r="P50" t="str">
        <f t="shared" ca="1" si="3"/>
        <v/>
      </c>
    </row>
    <row r="51" spans="4:16" x14ac:dyDescent="0.25">
      <c r="D51" t="str">
        <f t="shared" si="0"/>
        <v/>
      </c>
      <c r="F51" t="str">
        <f t="shared" si="1"/>
        <v/>
      </c>
      <c r="O51" s="13" t="str">
        <f t="shared" si="2"/>
        <v/>
      </c>
      <c r="P51" t="str">
        <f t="shared" ca="1" si="3"/>
        <v/>
      </c>
    </row>
    <row r="52" spans="4:16" x14ac:dyDescent="0.25">
      <c r="D52" t="str">
        <f t="shared" si="0"/>
        <v/>
      </c>
      <c r="F52" t="str">
        <f t="shared" si="1"/>
        <v/>
      </c>
      <c r="O52" s="13" t="str">
        <f t="shared" si="2"/>
        <v/>
      </c>
      <c r="P52" t="str">
        <f t="shared" ca="1" si="3"/>
        <v/>
      </c>
    </row>
    <row r="53" spans="4:16" x14ac:dyDescent="0.25">
      <c r="D53" t="str">
        <f t="shared" si="0"/>
        <v/>
      </c>
      <c r="F53" t="str">
        <f t="shared" si="1"/>
        <v/>
      </c>
      <c r="O53" s="13" t="str">
        <f t="shared" si="2"/>
        <v/>
      </c>
      <c r="P53" t="str">
        <f t="shared" ca="1" si="3"/>
        <v/>
      </c>
    </row>
    <row r="54" spans="4:16" x14ac:dyDescent="0.25">
      <c r="D54" t="str">
        <f t="shared" si="0"/>
        <v/>
      </c>
      <c r="F54" t="str">
        <f t="shared" si="1"/>
        <v/>
      </c>
      <c r="O54" s="13" t="str">
        <f t="shared" si="2"/>
        <v/>
      </c>
      <c r="P54" t="str">
        <f t="shared" ca="1" si="3"/>
        <v/>
      </c>
    </row>
    <row r="55" spans="4:16" x14ac:dyDescent="0.25">
      <c r="D55" t="str">
        <f t="shared" si="0"/>
        <v/>
      </c>
      <c r="F55" t="str">
        <f t="shared" si="1"/>
        <v/>
      </c>
      <c r="O55" s="13" t="str">
        <f t="shared" si="2"/>
        <v/>
      </c>
      <c r="P55" t="str">
        <f t="shared" ca="1" si="3"/>
        <v/>
      </c>
    </row>
    <row r="56" spans="4:16" x14ac:dyDescent="0.25">
      <c r="D56" t="str">
        <f t="shared" si="0"/>
        <v/>
      </c>
      <c r="F56" t="str">
        <f t="shared" si="1"/>
        <v/>
      </c>
      <c r="O56" s="13" t="str">
        <f t="shared" si="2"/>
        <v/>
      </c>
      <c r="P56" t="str">
        <f t="shared" ca="1" si="3"/>
        <v/>
      </c>
    </row>
    <row r="57" spans="4:16" x14ac:dyDescent="0.25">
      <c r="D57" t="str">
        <f t="shared" si="0"/>
        <v/>
      </c>
      <c r="F57" t="str">
        <f t="shared" si="1"/>
        <v/>
      </c>
      <c r="O57" s="13" t="str">
        <f t="shared" si="2"/>
        <v/>
      </c>
      <c r="P57" t="str">
        <f t="shared" ca="1" si="3"/>
        <v/>
      </c>
    </row>
    <row r="58" spans="4:16" x14ac:dyDescent="0.25">
      <c r="D58" t="str">
        <f t="shared" si="0"/>
        <v/>
      </c>
      <c r="F58" t="str">
        <f t="shared" si="1"/>
        <v/>
      </c>
      <c r="O58" s="13" t="str">
        <f t="shared" si="2"/>
        <v/>
      </c>
      <c r="P58" t="str">
        <f t="shared" ca="1" si="3"/>
        <v/>
      </c>
    </row>
    <row r="59" spans="4:16" x14ac:dyDescent="0.25">
      <c r="D59" t="str">
        <f t="shared" si="0"/>
        <v/>
      </c>
      <c r="F59" t="str">
        <f t="shared" si="1"/>
        <v/>
      </c>
      <c r="O59" s="13" t="str">
        <f t="shared" si="2"/>
        <v/>
      </c>
      <c r="P59" t="str">
        <f t="shared" ca="1" si="3"/>
        <v/>
      </c>
    </row>
    <row r="60" spans="4:16" x14ac:dyDescent="0.25">
      <c r="D60" t="str">
        <f t="shared" si="0"/>
        <v/>
      </c>
      <c r="F60" t="str">
        <f t="shared" si="1"/>
        <v/>
      </c>
      <c r="O60" s="13" t="str">
        <f t="shared" si="2"/>
        <v/>
      </c>
      <c r="P60" t="str">
        <f t="shared" ca="1" si="3"/>
        <v/>
      </c>
    </row>
    <row r="61" spans="4:16" x14ac:dyDescent="0.25">
      <c r="D61" t="str">
        <f t="shared" si="0"/>
        <v/>
      </c>
      <c r="F61" t="str">
        <f t="shared" si="1"/>
        <v/>
      </c>
      <c r="O61" s="13" t="str">
        <f t="shared" si="2"/>
        <v/>
      </c>
      <c r="P61" t="str">
        <f t="shared" ca="1" si="3"/>
        <v/>
      </c>
    </row>
    <row r="62" spans="4:16" x14ac:dyDescent="0.25">
      <c r="D62" t="str">
        <f t="shared" si="0"/>
        <v/>
      </c>
      <c r="F62" t="str">
        <f t="shared" si="1"/>
        <v/>
      </c>
      <c r="O62" s="13" t="str">
        <f t="shared" si="2"/>
        <v/>
      </c>
      <c r="P62" t="str">
        <f t="shared" ca="1" si="3"/>
        <v/>
      </c>
    </row>
    <row r="63" spans="4:16" x14ac:dyDescent="0.25">
      <c r="D63" t="str">
        <f t="shared" si="0"/>
        <v/>
      </c>
      <c r="F63" t="str">
        <f t="shared" si="1"/>
        <v/>
      </c>
      <c r="O63" s="13" t="str">
        <f t="shared" si="2"/>
        <v/>
      </c>
      <c r="P63" t="str">
        <f t="shared" ca="1" si="3"/>
        <v/>
      </c>
    </row>
    <row r="64" spans="4:16" x14ac:dyDescent="0.25">
      <c r="D64" t="str">
        <f t="shared" si="0"/>
        <v/>
      </c>
      <c r="F64" t="str">
        <f t="shared" si="1"/>
        <v/>
      </c>
      <c r="O64" s="13" t="str">
        <f t="shared" si="2"/>
        <v/>
      </c>
      <c r="P64" t="str">
        <f t="shared" ca="1" si="3"/>
        <v/>
      </c>
    </row>
    <row r="65" spans="4:16" x14ac:dyDescent="0.25">
      <c r="D65" t="str">
        <f t="shared" si="0"/>
        <v/>
      </c>
      <c r="F65" t="str">
        <f t="shared" si="1"/>
        <v/>
      </c>
      <c r="O65" s="13" t="str">
        <f t="shared" si="2"/>
        <v/>
      </c>
      <c r="P65" t="str">
        <f t="shared" ca="1" si="3"/>
        <v/>
      </c>
    </row>
    <row r="66" spans="4:16" x14ac:dyDescent="0.25">
      <c r="D66" t="str">
        <f t="shared" ref="D66:D129" si="4">IF(A66="","",IF(AND(B66&lt;&gt;"",C66&lt;&gt;""),C66-B66,""))</f>
        <v/>
      </c>
      <c r="F66" t="str">
        <f t="shared" ref="F66:F129" si="5">IF(A66="","",IF(AND(D66&lt;&gt;"",E66&lt;&gt;""),IF(D66&lt;=E66,"Yes","NO - LATE"),""))</f>
        <v/>
      </c>
      <c r="O66" s="13" t="str">
        <f t="shared" ref="O66:O129" si="6">IF(A66="","",MAX(B66+0,C66+0))</f>
        <v/>
      </c>
      <c r="P66" t="str">
        <f t="shared" ref="P66:P129" ca="1" si="7">IF(A66="","",IF(OR(K66="Approved",K66="Denied",K66="Withdrawn"),"",TODAY()-O66))</f>
        <v/>
      </c>
    </row>
    <row r="67" spans="4:16" x14ac:dyDescent="0.25">
      <c r="D67" t="str">
        <f t="shared" si="4"/>
        <v/>
      </c>
      <c r="F67" t="str">
        <f t="shared" si="5"/>
        <v/>
      </c>
      <c r="O67" s="13" t="str">
        <f t="shared" si="6"/>
        <v/>
      </c>
      <c r="P67" t="str">
        <f t="shared" ca="1" si="7"/>
        <v/>
      </c>
    </row>
    <row r="68" spans="4:16" x14ac:dyDescent="0.25">
      <c r="D68" t="str">
        <f t="shared" si="4"/>
        <v/>
      </c>
      <c r="F68" t="str">
        <f t="shared" si="5"/>
        <v/>
      </c>
      <c r="O68" s="13" t="str">
        <f t="shared" si="6"/>
        <v/>
      </c>
      <c r="P68" t="str">
        <f t="shared" ca="1" si="7"/>
        <v/>
      </c>
    </row>
    <row r="69" spans="4:16" x14ac:dyDescent="0.25">
      <c r="D69" t="str">
        <f t="shared" si="4"/>
        <v/>
      </c>
      <c r="F69" t="str">
        <f t="shared" si="5"/>
        <v/>
      </c>
      <c r="O69" s="13" t="str">
        <f t="shared" si="6"/>
        <v/>
      </c>
      <c r="P69" t="str">
        <f t="shared" ca="1" si="7"/>
        <v/>
      </c>
    </row>
    <row r="70" spans="4:16" x14ac:dyDescent="0.25">
      <c r="D70" t="str">
        <f t="shared" si="4"/>
        <v/>
      </c>
      <c r="F70" t="str">
        <f t="shared" si="5"/>
        <v/>
      </c>
      <c r="O70" s="13" t="str">
        <f t="shared" si="6"/>
        <v/>
      </c>
      <c r="P70" t="str">
        <f t="shared" ca="1" si="7"/>
        <v/>
      </c>
    </row>
    <row r="71" spans="4:16" x14ac:dyDescent="0.25">
      <c r="D71" t="str">
        <f t="shared" si="4"/>
        <v/>
      </c>
      <c r="F71" t="str">
        <f t="shared" si="5"/>
        <v/>
      </c>
      <c r="O71" s="13" t="str">
        <f t="shared" si="6"/>
        <v/>
      </c>
      <c r="P71" t="str">
        <f t="shared" ca="1" si="7"/>
        <v/>
      </c>
    </row>
    <row r="72" spans="4:16" x14ac:dyDescent="0.25">
      <c r="D72" t="str">
        <f t="shared" si="4"/>
        <v/>
      </c>
      <c r="F72" t="str">
        <f t="shared" si="5"/>
        <v/>
      </c>
      <c r="O72" s="13" t="str">
        <f t="shared" si="6"/>
        <v/>
      </c>
      <c r="P72" t="str">
        <f t="shared" ca="1" si="7"/>
        <v/>
      </c>
    </row>
    <row r="73" spans="4:16" x14ac:dyDescent="0.25">
      <c r="D73" t="str">
        <f t="shared" si="4"/>
        <v/>
      </c>
      <c r="F73" t="str">
        <f t="shared" si="5"/>
        <v/>
      </c>
      <c r="O73" s="13" t="str">
        <f t="shared" si="6"/>
        <v/>
      </c>
      <c r="P73" t="str">
        <f t="shared" ca="1" si="7"/>
        <v/>
      </c>
    </row>
    <row r="74" spans="4:16" x14ac:dyDescent="0.25">
      <c r="D74" t="str">
        <f t="shared" si="4"/>
        <v/>
      </c>
      <c r="F74" t="str">
        <f t="shared" si="5"/>
        <v/>
      </c>
      <c r="O74" s="13" t="str">
        <f t="shared" si="6"/>
        <v/>
      </c>
      <c r="P74" t="str">
        <f t="shared" ca="1" si="7"/>
        <v/>
      </c>
    </row>
    <row r="75" spans="4:16" x14ac:dyDescent="0.25">
      <c r="D75" t="str">
        <f t="shared" si="4"/>
        <v/>
      </c>
      <c r="F75" t="str">
        <f t="shared" si="5"/>
        <v/>
      </c>
      <c r="O75" s="13" t="str">
        <f t="shared" si="6"/>
        <v/>
      </c>
      <c r="P75" t="str">
        <f t="shared" ca="1" si="7"/>
        <v/>
      </c>
    </row>
    <row r="76" spans="4:16" x14ac:dyDescent="0.25">
      <c r="D76" t="str">
        <f t="shared" si="4"/>
        <v/>
      </c>
      <c r="F76" t="str">
        <f t="shared" si="5"/>
        <v/>
      </c>
      <c r="O76" s="13" t="str">
        <f t="shared" si="6"/>
        <v/>
      </c>
      <c r="P76" t="str">
        <f t="shared" ca="1" si="7"/>
        <v/>
      </c>
    </row>
    <row r="77" spans="4:16" x14ac:dyDescent="0.25">
      <c r="D77" t="str">
        <f t="shared" si="4"/>
        <v/>
      </c>
      <c r="F77" t="str">
        <f t="shared" si="5"/>
        <v/>
      </c>
      <c r="O77" s="13" t="str">
        <f t="shared" si="6"/>
        <v/>
      </c>
      <c r="P77" t="str">
        <f t="shared" ca="1" si="7"/>
        <v/>
      </c>
    </row>
    <row r="78" spans="4:16" x14ac:dyDescent="0.25">
      <c r="D78" t="str">
        <f t="shared" si="4"/>
        <v/>
      </c>
      <c r="F78" t="str">
        <f t="shared" si="5"/>
        <v/>
      </c>
      <c r="O78" s="13" t="str">
        <f t="shared" si="6"/>
        <v/>
      </c>
      <c r="P78" t="str">
        <f t="shared" ca="1" si="7"/>
        <v/>
      </c>
    </row>
    <row r="79" spans="4:16" x14ac:dyDescent="0.25">
      <c r="D79" t="str">
        <f t="shared" si="4"/>
        <v/>
      </c>
      <c r="F79" t="str">
        <f t="shared" si="5"/>
        <v/>
      </c>
      <c r="O79" s="13" t="str">
        <f t="shared" si="6"/>
        <v/>
      </c>
      <c r="P79" t="str">
        <f t="shared" ca="1" si="7"/>
        <v/>
      </c>
    </row>
    <row r="80" spans="4:16" x14ac:dyDescent="0.25">
      <c r="D80" t="str">
        <f t="shared" si="4"/>
        <v/>
      </c>
      <c r="F80" t="str">
        <f t="shared" si="5"/>
        <v/>
      </c>
      <c r="O80" s="13" t="str">
        <f t="shared" si="6"/>
        <v/>
      </c>
      <c r="P80" t="str">
        <f t="shared" ca="1" si="7"/>
        <v/>
      </c>
    </row>
    <row r="81" spans="4:16" x14ac:dyDescent="0.25">
      <c r="D81" t="str">
        <f t="shared" si="4"/>
        <v/>
      </c>
      <c r="F81" t="str">
        <f t="shared" si="5"/>
        <v/>
      </c>
      <c r="O81" s="13" t="str">
        <f t="shared" si="6"/>
        <v/>
      </c>
      <c r="P81" t="str">
        <f t="shared" ca="1" si="7"/>
        <v/>
      </c>
    </row>
    <row r="82" spans="4:16" x14ac:dyDescent="0.25">
      <c r="D82" t="str">
        <f t="shared" si="4"/>
        <v/>
      </c>
      <c r="F82" t="str">
        <f t="shared" si="5"/>
        <v/>
      </c>
      <c r="O82" s="13" t="str">
        <f t="shared" si="6"/>
        <v/>
      </c>
      <c r="P82" t="str">
        <f t="shared" ca="1" si="7"/>
        <v/>
      </c>
    </row>
    <row r="83" spans="4:16" x14ac:dyDescent="0.25">
      <c r="D83" t="str">
        <f t="shared" si="4"/>
        <v/>
      </c>
      <c r="F83" t="str">
        <f t="shared" si="5"/>
        <v/>
      </c>
      <c r="O83" s="13" t="str">
        <f t="shared" si="6"/>
        <v/>
      </c>
      <c r="P83" t="str">
        <f t="shared" ca="1" si="7"/>
        <v/>
      </c>
    </row>
    <row r="84" spans="4:16" x14ac:dyDescent="0.25">
      <c r="D84" t="str">
        <f t="shared" si="4"/>
        <v/>
      </c>
      <c r="F84" t="str">
        <f t="shared" si="5"/>
        <v/>
      </c>
      <c r="O84" s="13" t="str">
        <f t="shared" si="6"/>
        <v/>
      </c>
      <c r="P84" t="str">
        <f t="shared" ca="1" si="7"/>
        <v/>
      </c>
    </row>
    <row r="85" spans="4:16" x14ac:dyDescent="0.25">
      <c r="D85" t="str">
        <f t="shared" si="4"/>
        <v/>
      </c>
      <c r="F85" t="str">
        <f t="shared" si="5"/>
        <v/>
      </c>
      <c r="O85" s="13" t="str">
        <f t="shared" si="6"/>
        <v/>
      </c>
      <c r="P85" t="str">
        <f t="shared" ca="1" si="7"/>
        <v/>
      </c>
    </row>
    <row r="86" spans="4:16" x14ac:dyDescent="0.25">
      <c r="D86" t="str">
        <f t="shared" si="4"/>
        <v/>
      </c>
      <c r="F86" t="str">
        <f t="shared" si="5"/>
        <v/>
      </c>
      <c r="O86" s="13" t="str">
        <f t="shared" si="6"/>
        <v/>
      </c>
      <c r="P86" t="str">
        <f t="shared" ca="1" si="7"/>
        <v/>
      </c>
    </row>
    <row r="87" spans="4:16" x14ac:dyDescent="0.25">
      <c r="D87" t="str">
        <f t="shared" si="4"/>
        <v/>
      </c>
      <c r="F87" t="str">
        <f t="shared" si="5"/>
        <v/>
      </c>
      <c r="O87" s="13" t="str">
        <f t="shared" si="6"/>
        <v/>
      </c>
      <c r="P87" t="str">
        <f t="shared" ca="1" si="7"/>
        <v/>
      </c>
    </row>
    <row r="88" spans="4:16" x14ac:dyDescent="0.25">
      <c r="D88" t="str">
        <f t="shared" si="4"/>
        <v/>
      </c>
      <c r="F88" t="str">
        <f t="shared" si="5"/>
        <v/>
      </c>
      <c r="O88" s="13" t="str">
        <f t="shared" si="6"/>
        <v/>
      </c>
      <c r="P88" t="str">
        <f t="shared" ca="1" si="7"/>
        <v/>
      </c>
    </row>
    <row r="89" spans="4:16" x14ac:dyDescent="0.25">
      <c r="D89" t="str">
        <f t="shared" si="4"/>
        <v/>
      </c>
      <c r="F89" t="str">
        <f t="shared" si="5"/>
        <v/>
      </c>
      <c r="O89" s="13" t="str">
        <f t="shared" si="6"/>
        <v/>
      </c>
      <c r="P89" t="str">
        <f t="shared" ca="1" si="7"/>
        <v/>
      </c>
    </row>
    <row r="90" spans="4:16" x14ac:dyDescent="0.25">
      <c r="D90" t="str">
        <f t="shared" si="4"/>
        <v/>
      </c>
      <c r="F90" t="str">
        <f t="shared" si="5"/>
        <v/>
      </c>
      <c r="O90" s="13" t="str">
        <f t="shared" si="6"/>
        <v/>
      </c>
      <c r="P90" t="str">
        <f t="shared" ca="1" si="7"/>
        <v/>
      </c>
    </row>
    <row r="91" spans="4:16" x14ac:dyDescent="0.25">
      <c r="D91" t="str">
        <f t="shared" si="4"/>
        <v/>
      </c>
      <c r="F91" t="str">
        <f t="shared" si="5"/>
        <v/>
      </c>
      <c r="O91" s="13" t="str">
        <f t="shared" si="6"/>
        <v/>
      </c>
      <c r="P91" t="str">
        <f t="shared" ca="1" si="7"/>
        <v/>
      </c>
    </row>
    <row r="92" spans="4:16" x14ac:dyDescent="0.25">
      <c r="D92" t="str">
        <f t="shared" si="4"/>
        <v/>
      </c>
      <c r="F92" t="str">
        <f t="shared" si="5"/>
        <v/>
      </c>
      <c r="O92" s="13" t="str">
        <f t="shared" si="6"/>
        <v/>
      </c>
      <c r="P92" t="str">
        <f t="shared" ca="1" si="7"/>
        <v/>
      </c>
    </row>
    <row r="93" spans="4:16" x14ac:dyDescent="0.25">
      <c r="D93" t="str">
        <f t="shared" si="4"/>
        <v/>
      </c>
      <c r="F93" t="str">
        <f t="shared" si="5"/>
        <v/>
      </c>
      <c r="O93" s="13" t="str">
        <f t="shared" si="6"/>
        <v/>
      </c>
      <c r="P93" t="str">
        <f t="shared" ca="1" si="7"/>
        <v/>
      </c>
    </row>
    <row r="94" spans="4:16" x14ac:dyDescent="0.25">
      <c r="D94" t="str">
        <f t="shared" si="4"/>
        <v/>
      </c>
      <c r="F94" t="str">
        <f t="shared" si="5"/>
        <v/>
      </c>
      <c r="O94" s="13" t="str">
        <f t="shared" si="6"/>
        <v/>
      </c>
      <c r="P94" t="str">
        <f t="shared" ca="1" si="7"/>
        <v/>
      </c>
    </row>
    <row r="95" spans="4:16" x14ac:dyDescent="0.25">
      <c r="D95" t="str">
        <f t="shared" si="4"/>
        <v/>
      </c>
      <c r="F95" t="str">
        <f t="shared" si="5"/>
        <v/>
      </c>
      <c r="O95" s="13" t="str">
        <f t="shared" si="6"/>
        <v/>
      </c>
      <c r="P95" t="str">
        <f t="shared" ca="1" si="7"/>
        <v/>
      </c>
    </row>
    <row r="96" spans="4:16" x14ac:dyDescent="0.25">
      <c r="D96" t="str">
        <f t="shared" si="4"/>
        <v/>
      </c>
      <c r="F96" t="str">
        <f t="shared" si="5"/>
        <v/>
      </c>
      <c r="O96" s="13" t="str">
        <f t="shared" si="6"/>
        <v/>
      </c>
      <c r="P96" t="str">
        <f t="shared" ca="1" si="7"/>
        <v/>
      </c>
    </row>
    <row r="97" spans="4:16" x14ac:dyDescent="0.25">
      <c r="D97" t="str">
        <f t="shared" si="4"/>
        <v/>
      </c>
      <c r="F97" t="str">
        <f t="shared" si="5"/>
        <v/>
      </c>
      <c r="O97" s="13" t="str">
        <f t="shared" si="6"/>
        <v/>
      </c>
      <c r="P97" t="str">
        <f t="shared" ca="1" si="7"/>
        <v/>
      </c>
    </row>
    <row r="98" spans="4:16" x14ac:dyDescent="0.25">
      <c r="D98" t="str">
        <f t="shared" si="4"/>
        <v/>
      </c>
      <c r="F98" t="str">
        <f t="shared" si="5"/>
        <v/>
      </c>
      <c r="O98" s="13" t="str">
        <f t="shared" si="6"/>
        <v/>
      </c>
      <c r="P98" t="str">
        <f t="shared" ca="1" si="7"/>
        <v/>
      </c>
    </row>
    <row r="99" spans="4:16" x14ac:dyDescent="0.25">
      <c r="D99" t="str">
        <f t="shared" si="4"/>
        <v/>
      </c>
      <c r="F99" t="str">
        <f t="shared" si="5"/>
        <v/>
      </c>
      <c r="O99" s="13" t="str">
        <f t="shared" si="6"/>
        <v/>
      </c>
      <c r="P99" t="str">
        <f t="shared" ca="1" si="7"/>
        <v/>
      </c>
    </row>
    <row r="100" spans="4:16" x14ac:dyDescent="0.25">
      <c r="D100" t="str">
        <f t="shared" si="4"/>
        <v/>
      </c>
      <c r="F100" t="str">
        <f t="shared" si="5"/>
        <v/>
      </c>
      <c r="O100" s="13" t="str">
        <f t="shared" si="6"/>
        <v/>
      </c>
      <c r="P100" t="str">
        <f t="shared" ca="1" si="7"/>
        <v/>
      </c>
    </row>
    <row r="101" spans="4:16" x14ac:dyDescent="0.25">
      <c r="D101" t="str">
        <f t="shared" si="4"/>
        <v/>
      </c>
      <c r="F101" t="str">
        <f t="shared" si="5"/>
        <v/>
      </c>
      <c r="O101" s="13" t="str">
        <f t="shared" si="6"/>
        <v/>
      </c>
      <c r="P101" t="str">
        <f t="shared" ca="1" si="7"/>
        <v/>
      </c>
    </row>
    <row r="102" spans="4:16" x14ac:dyDescent="0.25">
      <c r="D102" t="str">
        <f t="shared" si="4"/>
        <v/>
      </c>
      <c r="F102" t="str">
        <f t="shared" si="5"/>
        <v/>
      </c>
      <c r="O102" s="13" t="str">
        <f t="shared" si="6"/>
        <v/>
      </c>
      <c r="P102" t="str">
        <f t="shared" ca="1" si="7"/>
        <v/>
      </c>
    </row>
    <row r="103" spans="4:16" x14ac:dyDescent="0.25">
      <c r="D103" t="str">
        <f t="shared" si="4"/>
        <v/>
      </c>
      <c r="F103" t="str">
        <f t="shared" si="5"/>
        <v/>
      </c>
      <c r="O103" s="13" t="str">
        <f t="shared" si="6"/>
        <v/>
      </c>
      <c r="P103" t="str">
        <f t="shared" ca="1" si="7"/>
        <v/>
      </c>
    </row>
    <row r="104" spans="4:16" x14ac:dyDescent="0.25">
      <c r="D104" t="str">
        <f t="shared" si="4"/>
        <v/>
      </c>
      <c r="F104" t="str">
        <f t="shared" si="5"/>
        <v/>
      </c>
      <c r="O104" s="13" t="str">
        <f t="shared" si="6"/>
        <v/>
      </c>
      <c r="P104" t="str">
        <f t="shared" ca="1" si="7"/>
        <v/>
      </c>
    </row>
    <row r="105" spans="4:16" x14ac:dyDescent="0.25">
      <c r="D105" t="str">
        <f t="shared" si="4"/>
        <v/>
      </c>
      <c r="F105" t="str">
        <f t="shared" si="5"/>
        <v/>
      </c>
      <c r="O105" s="13" t="str">
        <f t="shared" si="6"/>
        <v/>
      </c>
      <c r="P105" t="str">
        <f t="shared" ca="1" si="7"/>
        <v/>
      </c>
    </row>
    <row r="106" spans="4:16" x14ac:dyDescent="0.25">
      <c r="D106" t="str">
        <f t="shared" si="4"/>
        <v/>
      </c>
      <c r="F106" t="str">
        <f t="shared" si="5"/>
        <v/>
      </c>
      <c r="O106" s="13" t="str">
        <f t="shared" si="6"/>
        <v/>
      </c>
      <c r="P106" t="str">
        <f t="shared" ca="1" si="7"/>
        <v/>
      </c>
    </row>
    <row r="107" spans="4:16" x14ac:dyDescent="0.25">
      <c r="D107" t="str">
        <f t="shared" si="4"/>
        <v/>
      </c>
      <c r="F107" t="str">
        <f t="shared" si="5"/>
        <v/>
      </c>
      <c r="O107" s="13" t="str">
        <f t="shared" si="6"/>
        <v/>
      </c>
      <c r="P107" t="str">
        <f t="shared" ca="1" si="7"/>
        <v/>
      </c>
    </row>
    <row r="108" spans="4:16" x14ac:dyDescent="0.25">
      <c r="D108" t="str">
        <f t="shared" si="4"/>
        <v/>
      </c>
      <c r="F108" t="str">
        <f t="shared" si="5"/>
        <v/>
      </c>
      <c r="O108" s="13" t="str">
        <f t="shared" si="6"/>
        <v/>
      </c>
      <c r="P108" t="str">
        <f t="shared" ca="1" si="7"/>
        <v/>
      </c>
    </row>
    <row r="109" spans="4:16" x14ac:dyDescent="0.25">
      <c r="D109" t="str">
        <f t="shared" si="4"/>
        <v/>
      </c>
      <c r="F109" t="str">
        <f t="shared" si="5"/>
        <v/>
      </c>
      <c r="O109" s="13" t="str">
        <f t="shared" si="6"/>
        <v/>
      </c>
      <c r="P109" t="str">
        <f t="shared" ca="1" si="7"/>
        <v/>
      </c>
    </row>
    <row r="110" spans="4:16" x14ac:dyDescent="0.25">
      <c r="D110" t="str">
        <f t="shared" si="4"/>
        <v/>
      </c>
      <c r="F110" t="str">
        <f t="shared" si="5"/>
        <v/>
      </c>
      <c r="O110" s="13" t="str">
        <f t="shared" si="6"/>
        <v/>
      </c>
      <c r="P110" t="str">
        <f t="shared" ca="1" si="7"/>
        <v/>
      </c>
    </row>
    <row r="111" spans="4:16" x14ac:dyDescent="0.25">
      <c r="D111" t="str">
        <f t="shared" si="4"/>
        <v/>
      </c>
      <c r="F111" t="str">
        <f t="shared" si="5"/>
        <v/>
      </c>
      <c r="O111" s="13" t="str">
        <f t="shared" si="6"/>
        <v/>
      </c>
      <c r="P111" t="str">
        <f t="shared" ca="1" si="7"/>
        <v/>
      </c>
    </row>
    <row r="112" spans="4:16" x14ac:dyDescent="0.25">
      <c r="D112" t="str">
        <f t="shared" si="4"/>
        <v/>
      </c>
      <c r="F112" t="str">
        <f t="shared" si="5"/>
        <v/>
      </c>
      <c r="O112" s="13" t="str">
        <f t="shared" si="6"/>
        <v/>
      </c>
      <c r="P112" t="str">
        <f t="shared" ca="1" si="7"/>
        <v/>
      </c>
    </row>
    <row r="113" spans="4:16" x14ac:dyDescent="0.25">
      <c r="D113" t="str">
        <f t="shared" si="4"/>
        <v/>
      </c>
      <c r="F113" t="str">
        <f t="shared" si="5"/>
        <v/>
      </c>
      <c r="O113" s="13" t="str">
        <f t="shared" si="6"/>
        <v/>
      </c>
      <c r="P113" t="str">
        <f t="shared" ca="1" si="7"/>
        <v/>
      </c>
    </row>
    <row r="114" spans="4:16" x14ac:dyDescent="0.25">
      <c r="D114" t="str">
        <f t="shared" si="4"/>
        <v/>
      </c>
      <c r="F114" t="str">
        <f t="shared" si="5"/>
        <v/>
      </c>
      <c r="O114" s="13" t="str">
        <f t="shared" si="6"/>
        <v/>
      </c>
      <c r="P114" t="str">
        <f t="shared" ca="1" si="7"/>
        <v/>
      </c>
    </row>
    <row r="115" spans="4:16" x14ac:dyDescent="0.25">
      <c r="D115" t="str">
        <f t="shared" si="4"/>
        <v/>
      </c>
      <c r="F115" t="str">
        <f t="shared" si="5"/>
        <v/>
      </c>
      <c r="O115" s="13" t="str">
        <f t="shared" si="6"/>
        <v/>
      </c>
      <c r="P115" t="str">
        <f t="shared" ca="1" si="7"/>
        <v/>
      </c>
    </row>
    <row r="116" spans="4:16" x14ac:dyDescent="0.25">
      <c r="D116" t="str">
        <f t="shared" si="4"/>
        <v/>
      </c>
      <c r="F116" t="str">
        <f t="shared" si="5"/>
        <v/>
      </c>
      <c r="O116" s="13" t="str">
        <f t="shared" si="6"/>
        <v/>
      </c>
      <c r="P116" t="str">
        <f t="shared" ca="1" si="7"/>
        <v/>
      </c>
    </row>
    <row r="117" spans="4:16" x14ac:dyDescent="0.25">
      <c r="D117" t="str">
        <f t="shared" si="4"/>
        <v/>
      </c>
      <c r="F117" t="str">
        <f t="shared" si="5"/>
        <v/>
      </c>
      <c r="O117" s="13" t="str">
        <f t="shared" si="6"/>
        <v/>
      </c>
      <c r="P117" t="str">
        <f t="shared" ca="1" si="7"/>
        <v/>
      </c>
    </row>
    <row r="118" spans="4:16" x14ac:dyDescent="0.25">
      <c r="D118" t="str">
        <f t="shared" si="4"/>
        <v/>
      </c>
      <c r="F118" t="str">
        <f t="shared" si="5"/>
        <v/>
      </c>
      <c r="O118" s="13" t="str">
        <f t="shared" si="6"/>
        <v/>
      </c>
      <c r="P118" t="str">
        <f t="shared" ca="1" si="7"/>
        <v/>
      </c>
    </row>
    <row r="119" spans="4:16" x14ac:dyDescent="0.25">
      <c r="D119" t="str">
        <f t="shared" si="4"/>
        <v/>
      </c>
      <c r="F119" t="str">
        <f t="shared" si="5"/>
        <v/>
      </c>
      <c r="O119" s="13" t="str">
        <f t="shared" si="6"/>
        <v/>
      </c>
      <c r="P119" t="str">
        <f t="shared" ca="1" si="7"/>
        <v/>
      </c>
    </row>
    <row r="120" spans="4:16" x14ac:dyDescent="0.25">
      <c r="D120" t="str">
        <f t="shared" si="4"/>
        <v/>
      </c>
      <c r="F120" t="str">
        <f t="shared" si="5"/>
        <v/>
      </c>
      <c r="O120" s="13" t="str">
        <f t="shared" si="6"/>
        <v/>
      </c>
      <c r="P120" t="str">
        <f t="shared" ca="1" si="7"/>
        <v/>
      </c>
    </row>
    <row r="121" spans="4:16" x14ac:dyDescent="0.25">
      <c r="D121" t="str">
        <f t="shared" si="4"/>
        <v/>
      </c>
      <c r="F121" t="str">
        <f t="shared" si="5"/>
        <v/>
      </c>
      <c r="O121" s="13" t="str">
        <f t="shared" si="6"/>
        <v/>
      </c>
      <c r="P121" t="str">
        <f t="shared" ca="1" si="7"/>
        <v/>
      </c>
    </row>
    <row r="122" spans="4:16" x14ac:dyDescent="0.25">
      <c r="D122" t="str">
        <f t="shared" si="4"/>
        <v/>
      </c>
      <c r="F122" t="str">
        <f t="shared" si="5"/>
        <v/>
      </c>
      <c r="O122" s="13" t="str">
        <f t="shared" si="6"/>
        <v/>
      </c>
      <c r="P122" t="str">
        <f t="shared" ca="1" si="7"/>
        <v/>
      </c>
    </row>
    <row r="123" spans="4:16" x14ac:dyDescent="0.25">
      <c r="D123" t="str">
        <f t="shared" si="4"/>
        <v/>
      </c>
      <c r="F123" t="str">
        <f t="shared" si="5"/>
        <v/>
      </c>
      <c r="O123" s="13" t="str">
        <f t="shared" si="6"/>
        <v/>
      </c>
      <c r="P123" t="str">
        <f t="shared" ca="1" si="7"/>
        <v/>
      </c>
    </row>
    <row r="124" spans="4:16" x14ac:dyDescent="0.25">
      <c r="D124" t="str">
        <f t="shared" si="4"/>
        <v/>
      </c>
      <c r="F124" t="str">
        <f t="shared" si="5"/>
        <v/>
      </c>
      <c r="O124" s="13" t="str">
        <f t="shared" si="6"/>
        <v/>
      </c>
      <c r="P124" t="str">
        <f t="shared" ca="1" si="7"/>
        <v/>
      </c>
    </row>
    <row r="125" spans="4:16" x14ac:dyDescent="0.25">
      <c r="D125" t="str">
        <f t="shared" si="4"/>
        <v/>
      </c>
      <c r="F125" t="str">
        <f t="shared" si="5"/>
        <v/>
      </c>
      <c r="O125" s="13" t="str">
        <f t="shared" si="6"/>
        <v/>
      </c>
      <c r="P125" t="str">
        <f t="shared" ca="1" si="7"/>
        <v/>
      </c>
    </row>
    <row r="126" spans="4:16" x14ac:dyDescent="0.25">
      <c r="D126" t="str">
        <f t="shared" si="4"/>
        <v/>
      </c>
      <c r="F126" t="str">
        <f t="shared" si="5"/>
        <v/>
      </c>
      <c r="O126" s="13" t="str">
        <f t="shared" si="6"/>
        <v/>
      </c>
      <c r="P126" t="str">
        <f t="shared" ca="1" si="7"/>
        <v/>
      </c>
    </row>
    <row r="127" spans="4:16" x14ac:dyDescent="0.25">
      <c r="D127" t="str">
        <f t="shared" si="4"/>
        <v/>
      </c>
      <c r="F127" t="str">
        <f t="shared" si="5"/>
        <v/>
      </c>
      <c r="O127" s="13" t="str">
        <f t="shared" si="6"/>
        <v/>
      </c>
      <c r="P127" t="str">
        <f t="shared" ca="1" si="7"/>
        <v/>
      </c>
    </row>
    <row r="128" spans="4:16" x14ac:dyDescent="0.25">
      <c r="D128" t="str">
        <f t="shared" si="4"/>
        <v/>
      </c>
      <c r="F128" t="str">
        <f t="shared" si="5"/>
        <v/>
      </c>
      <c r="O128" s="13" t="str">
        <f t="shared" si="6"/>
        <v/>
      </c>
      <c r="P128" t="str">
        <f t="shared" ca="1" si="7"/>
        <v/>
      </c>
    </row>
    <row r="129" spans="4:16" x14ac:dyDescent="0.25">
      <c r="D129" t="str">
        <f t="shared" si="4"/>
        <v/>
      </c>
      <c r="F129" t="str">
        <f t="shared" si="5"/>
        <v/>
      </c>
      <c r="O129" s="13" t="str">
        <f t="shared" si="6"/>
        <v/>
      </c>
      <c r="P129" t="str">
        <f t="shared" ca="1" si="7"/>
        <v/>
      </c>
    </row>
    <row r="130" spans="4:16" x14ac:dyDescent="0.25">
      <c r="D130" t="str">
        <f t="shared" ref="D130:D193" si="8">IF(A130="","",IF(AND(B130&lt;&gt;"",C130&lt;&gt;""),C130-B130,""))</f>
        <v/>
      </c>
      <c r="F130" t="str">
        <f t="shared" ref="F130:F193" si="9">IF(A130="","",IF(AND(D130&lt;&gt;"",E130&lt;&gt;""),IF(D130&lt;=E130,"Yes","NO - LATE"),""))</f>
        <v/>
      </c>
      <c r="O130" s="13" t="str">
        <f t="shared" ref="O130:O193" si="10">IF(A130="","",MAX(B130+0,C130+0))</f>
        <v/>
      </c>
      <c r="P130" t="str">
        <f t="shared" ref="P130:P193" ca="1" si="11">IF(A130="","",IF(OR(K130="Approved",K130="Denied",K130="Withdrawn"),"",TODAY()-O130))</f>
        <v/>
      </c>
    </row>
    <row r="131" spans="4:16" x14ac:dyDescent="0.25">
      <c r="D131" t="str">
        <f t="shared" si="8"/>
        <v/>
      </c>
      <c r="F131" t="str">
        <f t="shared" si="9"/>
        <v/>
      </c>
      <c r="O131" s="13" t="str">
        <f t="shared" si="10"/>
        <v/>
      </c>
      <c r="P131" t="str">
        <f t="shared" ca="1" si="11"/>
        <v/>
      </c>
    </row>
    <row r="132" spans="4:16" x14ac:dyDescent="0.25">
      <c r="D132" t="str">
        <f t="shared" si="8"/>
        <v/>
      </c>
      <c r="F132" t="str">
        <f t="shared" si="9"/>
        <v/>
      </c>
      <c r="O132" s="13" t="str">
        <f t="shared" si="10"/>
        <v/>
      </c>
      <c r="P132" t="str">
        <f t="shared" ca="1" si="11"/>
        <v/>
      </c>
    </row>
    <row r="133" spans="4:16" x14ac:dyDescent="0.25">
      <c r="D133" t="str">
        <f t="shared" si="8"/>
        <v/>
      </c>
      <c r="F133" t="str">
        <f t="shared" si="9"/>
        <v/>
      </c>
      <c r="O133" s="13" t="str">
        <f t="shared" si="10"/>
        <v/>
      </c>
      <c r="P133" t="str">
        <f t="shared" ca="1" si="11"/>
        <v/>
      </c>
    </row>
    <row r="134" spans="4:16" x14ac:dyDescent="0.25">
      <c r="D134" t="str">
        <f t="shared" si="8"/>
        <v/>
      </c>
      <c r="F134" t="str">
        <f t="shared" si="9"/>
        <v/>
      </c>
      <c r="O134" s="13" t="str">
        <f t="shared" si="10"/>
        <v/>
      </c>
      <c r="P134" t="str">
        <f t="shared" ca="1" si="11"/>
        <v/>
      </c>
    </row>
    <row r="135" spans="4:16" x14ac:dyDescent="0.25">
      <c r="D135" t="str">
        <f t="shared" si="8"/>
        <v/>
      </c>
      <c r="F135" t="str">
        <f t="shared" si="9"/>
        <v/>
      </c>
      <c r="O135" s="13" t="str">
        <f t="shared" si="10"/>
        <v/>
      </c>
      <c r="P135" t="str">
        <f t="shared" ca="1" si="11"/>
        <v/>
      </c>
    </row>
    <row r="136" spans="4:16" x14ac:dyDescent="0.25">
      <c r="D136" t="str">
        <f t="shared" si="8"/>
        <v/>
      </c>
      <c r="F136" t="str">
        <f t="shared" si="9"/>
        <v/>
      </c>
      <c r="O136" s="13" t="str">
        <f t="shared" si="10"/>
        <v/>
      </c>
      <c r="P136" t="str">
        <f t="shared" ca="1" si="11"/>
        <v/>
      </c>
    </row>
    <row r="137" spans="4:16" x14ac:dyDescent="0.25">
      <c r="D137" t="str">
        <f t="shared" si="8"/>
        <v/>
      </c>
      <c r="F137" t="str">
        <f t="shared" si="9"/>
        <v/>
      </c>
      <c r="O137" s="13" t="str">
        <f t="shared" si="10"/>
        <v/>
      </c>
      <c r="P137" t="str">
        <f t="shared" ca="1" si="11"/>
        <v/>
      </c>
    </row>
    <row r="138" spans="4:16" x14ac:dyDescent="0.25">
      <c r="D138" t="str">
        <f t="shared" si="8"/>
        <v/>
      </c>
      <c r="F138" t="str">
        <f t="shared" si="9"/>
        <v/>
      </c>
      <c r="O138" s="13" t="str">
        <f t="shared" si="10"/>
        <v/>
      </c>
      <c r="P138" t="str">
        <f t="shared" ca="1" si="11"/>
        <v/>
      </c>
    </row>
    <row r="139" spans="4:16" x14ac:dyDescent="0.25">
      <c r="D139" t="str">
        <f t="shared" si="8"/>
        <v/>
      </c>
      <c r="F139" t="str">
        <f t="shared" si="9"/>
        <v/>
      </c>
      <c r="O139" s="13" t="str">
        <f t="shared" si="10"/>
        <v/>
      </c>
      <c r="P139" t="str">
        <f t="shared" ca="1" si="11"/>
        <v/>
      </c>
    </row>
    <row r="140" spans="4:16" x14ac:dyDescent="0.25">
      <c r="D140" t="str">
        <f t="shared" si="8"/>
        <v/>
      </c>
      <c r="F140" t="str">
        <f t="shared" si="9"/>
        <v/>
      </c>
      <c r="O140" s="13" t="str">
        <f t="shared" si="10"/>
        <v/>
      </c>
      <c r="P140" t="str">
        <f t="shared" ca="1" si="11"/>
        <v/>
      </c>
    </row>
    <row r="141" spans="4:16" x14ac:dyDescent="0.25">
      <c r="D141" t="str">
        <f t="shared" si="8"/>
        <v/>
      </c>
      <c r="F141" t="str">
        <f t="shared" si="9"/>
        <v/>
      </c>
      <c r="O141" s="13" t="str">
        <f t="shared" si="10"/>
        <v/>
      </c>
      <c r="P141" t="str">
        <f t="shared" ca="1" si="11"/>
        <v/>
      </c>
    </row>
    <row r="142" spans="4:16" x14ac:dyDescent="0.25">
      <c r="D142" t="str">
        <f t="shared" si="8"/>
        <v/>
      </c>
      <c r="F142" t="str">
        <f t="shared" si="9"/>
        <v/>
      </c>
      <c r="O142" s="13" t="str">
        <f t="shared" si="10"/>
        <v/>
      </c>
      <c r="P142" t="str">
        <f t="shared" ca="1" si="11"/>
        <v/>
      </c>
    </row>
    <row r="143" spans="4:16" x14ac:dyDescent="0.25">
      <c r="D143" t="str">
        <f t="shared" si="8"/>
        <v/>
      </c>
      <c r="F143" t="str">
        <f t="shared" si="9"/>
        <v/>
      </c>
      <c r="O143" s="13" t="str">
        <f t="shared" si="10"/>
        <v/>
      </c>
      <c r="P143" t="str">
        <f t="shared" ca="1" si="11"/>
        <v/>
      </c>
    </row>
    <row r="144" spans="4:16" x14ac:dyDescent="0.25">
      <c r="D144" t="str">
        <f t="shared" si="8"/>
        <v/>
      </c>
      <c r="F144" t="str">
        <f t="shared" si="9"/>
        <v/>
      </c>
      <c r="O144" s="13" t="str">
        <f t="shared" si="10"/>
        <v/>
      </c>
      <c r="P144" t="str">
        <f t="shared" ca="1" si="11"/>
        <v/>
      </c>
    </row>
    <row r="145" spans="4:16" x14ac:dyDescent="0.25">
      <c r="D145" t="str">
        <f t="shared" si="8"/>
        <v/>
      </c>
      <c r="F145" t="str">
        <f t="shared" si="9"/>
        <v/>
      </c>
      <c r="O145" s="13" t="str">
        <f t="shared" si="10"/>
        <v/>
      </c>
      <c r="P145" t="str">
        <f t="shared" ca="1" si="11"/>
        <v/>
      </c>
    </row>
    <row r="146" spans="4:16" x14ac:dyDescent="0.25">
      <c r="D146" t="str">
        <f t="shared" si="8"/>
        <v/>
      </c>
      <c r="F146" t="str">
        <f t="shared" si="9"/>
        <v/>
      </c>
      <c r="O146" s="13" t="str">
        <f t="shared" si="10"/>
        <v/>
      </c>
      <c r="P146" t="str">
        <f t="shared" ca="1" si="11"/>
        <v/>
      </c>
    </row>
    <row r="147" spans="4:16" x14ac:dyDescent="0.25">
      <c r="D147" t="str">
        <f t="shared" si="8"/>
        <v/>
      </c>
      <c r="F147" t="str">
        <f t="shared" si="9"/>
        <v/>
      </c>
      <c r="O147" s="13" t="str">
        <f t="shared" si="10"/>
        <v/>
      </c>
      <c r="P147" t="str">
        <f t="shared" ca="1" si="11"/>
        <v/>
      </c>
    </row>
    <row r="148" spans="4:16" x14ac:dyDescent="0.25">
      <c r="D148" t="str">
        <f t="shared" si="8"/>
        <v/>
      </c>
      <c r="F148" t="str">
        <f t="shared" si="9"/>
        <v/>
      </c>
      <c r="O148" s="13" t="str">
        <f t="shared" si="10"/>
        <v/>
      </c>
      <c r="P148" t="str">
        <f t="shared" ca="1" si="11"/>
        <v/>
      </c>
    </row>
    <row r="149" spans="4:16" x14ac:dyDescent="0.25">
      <c r="D149" t="str">
        <f t="shared" si="8"/>
        <v/>
      </c>
      <c r="F149" t="str">
        <f t="shared" si="9"/>
        <v/>
      </c>
      <c r="O149" s="13" t="str">
        <f t="shared" si="10"/>
        <v/>
      </c>
      <c r="P149" t="str">
        <f t="shared" ca="1" si="11"/>
        <v/>
      </c>
    </row>
    <row r="150" spans="4:16" x14ac:dyDescent="0.25">
      <c r="D150" t="str">
        <f t="shared" si="8"/>
        <v/>
      </c>
      <c r="F150" t="str">
        <f t="shared" si="9"/>
        <v/>
      </c>
      <c r="O150" s="13" t="str">
        <f t="shared" si="10"/>
        <v/>
      </c>
      <c r="P150" t="str">
        <f t="shared" ca="1" si="11"/>
        <v/>
      </c>
    </row>
    <row r="151" spans="4:16" x14ac:dyDescent="0.25">
      <c r="D151" t="str">
        <f t="shared" si="8"/>
        <v/>
      </c>
      <c r="F151" t="str">
        <f t="shared" si="9"/>
        <v/>
      </c>
      <c r="O151" s="13" t="str">
        <f t="shared" si="10"/>
        <v/>
      </c>
      <c r="P151" t="str">
        <f t="shared" ca="1" si="11"/>
        <v/>
      </c>
    </row>
    <row r="152" spans="4:16" x14ac:dyDescent="0.25">
      <c r="D152" t="str">
        <f t="shared" si="8"/>
        <v/>
      </c>
      <c r="F152" t="str">
        <f t="shared" si="9"/>
        <v/>
      </c>
      <c r="O152" s="13" t="str">
        <f t="shared" si="10"/>
        <v/>
      </c>
      <c r="P152" t="str">
        <f t="shared" ca="1" si="11"/>
        <v/>
      </c>
    </row>
    <row r="153" spans="4:16" x14ac:dyDescent="0.25">
      <c r="D153" t="str">
        <f t="shared" si="8"/>
        <v/>
      </c>
      <c r="F153" t="str">
        <f t="shared" si="9"/>
        <v/>
      </c>
      <c r="O153" s="13" t="str">
        <f t="shared" si="10"/>
        <v/>
      </c>
      <c r="P153" t="str">
        <f t="shared" ca="1" si="11"/>
        <v/>
      </c>
    </row>
    <row r="154" spans="4:16" x14ac:dyDescent="0.25">
      <c r="D154" t="str">
        <f t="shared" si="8"/>
        <v/>
      </c>
      <c r="F154" t="str">
        <f t="shared" si="9"/>
        <v/>
      </c>
      <c r="O154" s="13" t="str">
        <f t="shared" si="10"/>
        <v/>
      </c>
      <c r="P154" t="str">
        <f t="shared" ca="1" si="11"/>
        <v/>
      </c>
    </row>
    <row r="155" spans="4:16" x14ac:dyDescent="0.25">
      <c r="D155" t="str">
        <f t="shared" si="8"/>
        <v/>
      </c>
      <c r="F155" t="str">
        <f t="shared" si="9"/>
        <v/>
      </c>
      <c r="O155" s="13" t="str">
        <f t="shared" si="10"/>
        <v/>
      </c>
      <c r="P155" t="str">
        <f t="shared" ca="1" si="11"/>
        <v/>
      </c>
    </row>
    <row r="156" spans="4:16" x14ac:dyDescent="0.25">
      <c r="D156" t="str">
        <f t="shared" si="8"/>
        <v/>
      </c>
      <c r="F156" t="str">
        <f t="shared" si="9"/>
        <v/>
      </c>
      <c r="O156" s="13" t="str">
        <f t="shared" si="10"/>
        <v/>
      </c>
      <c r="P156" t="str">
        <f t="shared" ca="1" si="11"/>
        <v/>
      </c>
    </row>
    <row r="157" spans="4:16" x14ac:dyDescent="0.25">
      <c r="D157" t="str">
        <f t="shared" si="8"/>
        <v/>
      </c>
      <c r="F157" t="str">
        <f t="shared" si="9"/>
        <v/>
      </c>
      <c r="O157" s="13" t="str">
        <f t="shared" si="10"/>
        <v/>
      </c>
      <c r="P157" t="str">
        <f t="shared" ca="1" si="11"/>
        <v/>
      </c>
    </row>
    <row r="158" spans="4:16" x14ac:dyDescent="0.25">
      <c r="D158" t="str">
        <f t="shared" si="8"/>
        <v/>
      </c>
      <c r="F158" t="str">
        <f t="shared" si="9"/>
        <v/>
      </c>
      <c r="O158" s="13" t="str">
        <f t="shared" si="10"/>
        <v/>
      </c>
      <c r="P158" t="str">
        <f t="shared" ca="1" si="11"/>
        <v/>
      </c>
    </row>
    <row r="159" spans="4:16" x14ac:dyDescent="0.25">
      <c r="D159" t="str">
        <f t="shared" si="8"/>
        <v/>
      </c>
      <c r="F159" t="str">
        <f t="shared" si="9"/>
        <v/>
      </c>
      <c r="O159" s="13" t="str">
        <f t="shared" si="10"/>
        <v/>
      </c>
      <c r="P159" t="str">
        <f t="shared" ca="1" si="11"/>
        <v/>
      </c>
    </row>
    <row r="160" spans="4:16" x14ac:dyDescent="0.25">
      <c r="D160" t="str">
        <f t="shared" si="8"/>
        <v/>
      </c>
      <c r="F160" t="str">
        <f t="shared" si="9"/>
        <v/>
      </c>
      <c r="O160" s="13" t="str">
        <f t="shared" si="10"/>
        <v/>
      </c>
      <c r="P160" t="str">
        <f t="shared" ca="1" si="11"/>
        <v/>
      </c>
    </row>
    <row r="161" spans="4:16" x14ac:dyDescent="0.25">
      <c r="D161" t="str">
        <f t="shared" si="8"/>
        <v/>
      </c>
      <c r="F161" t="str">
        <f t="shared" si="9"/>
        <v/>
      </c>
      <c r="O161" s="13" t="str">
        <f t="shared" si="10"/>
        <v/>
      </c>
      <c r="P161" t="str">
        <f t="shared" ca="1" si="11"/>
        <v/>
      </c>
    </row>
    <row r="162" spans="4:16" x14ac:dyDescent="0.25">
      <c r="D162" t="str">
        <f t="shared" si="8"/>
        <v/>
      </c>
      <c r="F162" t="str">
        <f t="shared" si="9"/>
        <v/>
      </c>
      <c r="O162" s="13" t="str">
        <f t="shared" si="10"/>
        <v/>
      </c>
      <c r="P162" t="str">
        <f t="shared" ca="1" si="11"/>
        <v/>
      </c>
    </row>
    <row r="163" spans="4:16" x14ac:dyDescent="0.25">
      <c r="D163" t="str">
        <f t="shared" si="8"/>
        <v/>
      </c>
      <c r="F163" t="str">
        <f t="shared" si="9"/>
        <v/>
      </c>
      <c r="O163" s="13" t="str">
        <f t="shared" si="10"/>
        <v/>
      </c>
      <c r="P163" t="str">
        <f t="shared" ca="1" si="11"/>
        <v/>
      </c>
    </row>
    <row r="164" spans="4:16" x14ac:dyDescent="0.25">
      <c r="D164" t="str">
        <f t="shared" si="8"/>
        <v/>
      </c>
      <c r="F164" t="str">
        <f t="shared" si="9"/>
        <v/>
      </c>
      <c r="O164" s="13" t="str">
        <f t="shared" si="10"/>
        <v/>
      </c>
      <c r="P164" t="str">
        <f t="shared" ca="1" si="11"/>
        <v/>
      </c>
    </row>
    <row r="165" spans="4:16" x14ac:dyDescent="0.25">
      <c r="D165" t="str">
        <f t="shared" si="8"/>
        <v/>
      </c>
      <c r="F165" t="str">
        <f t="shared" si="9"/>
        <v/>
      </c>
      <c r="O165" s="13" t="str">
        <f t="shared" si="10"/>
        <v/>
      </c>
      <c r="P165" t="str">
        <f t="shared" ca="1" si="11"/>
        <v/>
      </c>
    </row>
    <row r="166" spans="4:16" x14ac:dyDescent="0.25">
      <c r="D166" t="str">
        <f t="shared" si="8"/>
        <v/>
      </c>
      <c r="F166" t="str">
        <f t="shared" si="9"/>
        <v/>
      </c>
      <c r="O166" s="13" t="str">
        <f t="shared" si="10"/>
        <v/>
      </c>
      <c r="P166" t="str">
        <f t="shared" ca="1" si="11"/>
        <v/>
      </c>
    </row>
    <row r="167" spans="4:16" x14ac:dyDescent="0.25">
      <c r="D167" t="str">
        <f t="shared" si="8"/>
        <v/>
      </c>
      <c r="F167" t="str">
        <f t="shared" si="9"/>
        <v/>
      </c>
      <c r="O167" s="13" t="str">
        <f t="shared" si="10"/>
        <v/>
      </c>
      <c r="P167" t="str">
        <f t="shared" ca="1" si="11"/>
        <v/>
      </c>
    </row>
    <row r="168" spans="4:16" x14ac:dyDescent="0.25">
      <c r="D168" t="str">
        <f t="shared" si="8"/>
        <v/>
      </c>
      <c r="F168" t="str">
        <f t="shared" si="9"/>
        <v/>
      </c>
      <c r="O168" s="13" t="str">
        <f t="shared" si="10"/>
        <v/>
      </c>
      <c r="P168" t="str">
        <f t="shared" ca="1" si="11"/>
        <v/>
      </c>
    </row>
    <row r="169" spans="4:16" x14ac:dyDescent="0.25">
      <c r="D169" t="str">
        <f t="shared" si="8"/>
        <v/>
      </c>
      <c r="F169" t="str">
        <f t="shared" si="9"/>
        <v/>
      </c>
      <c r="O169" s="13" t="str">
        <f t="shared" si="10"/>
        <v/>
      </c>
      <c r="P169" t="str">
        <f t="shared" ca="1" si="11"/>
        <v/>
      </c>
    </row>
    <row r="170" spans="4:16" x14ac:dyDescent="0.25">
      <c r="D170" t="str">
        <f t="shared" si="8"/>
        <v/>
      </c>
      <c r="F170" t="str">
        <f t="shared" si="9"/>
        <v/>
      </c>
      <c r="O170" s="13" t="str">
        <f t="shared" si="10"/>
        <v/>
      </c>
      <c r="P170" t="str">
        <f t="shared" ca="1" si="11"/>
        <v/>
      </c>
    </row>
    <row r="171" spans="4:16" x14ac:dyDescent="0.25">
      <c r="D171" t="str">
        <f t="shared" si="8"/>
        <v/>
      </c>
      <c r="F171" t="str">
        <f t="shared" si="9"/>
        <v/>
      </c>
      <c r="O171" s="13" t="str">
        <f t="shared" si="10"/>
        <v/>
      </c>
      <c r="P171" t="str">
        <f t="shared" ca="1" si="11"/>
        <v/>
      </c>
    </row>
    <row r="172" spans="4:16" x14ac:dyDescent="0.25">
      <c r="D172" t="str">
        <f t="shared" si="8"/>
        <v/>
      </c>
      <c r="F172" t="str">
        <f t="shared" si="9"/>
        <v/>
      </c>
      <c r="O172" s="13" t="str">
        <f t="shared" si="10"/>
        <v/>
      </c>
      <c r="P172" t="str">
        <f t="shared" ca="1" si="11"/>
        <v/>
      </c>
    </row>
    <row r="173" spans="4:16" x14ac:dyDescent="0.25">
      <c r="D173" t="str">
        <f t="shared" si="8"/>
        <v/>
      </c>
      <c r="F173" t="str">
        <f t="shared" si="9"/>
        <v/>
      </c>
      <c r="O173" s="13" t="str">
        <f t="shared" si="10"/>
        <v/>
      </c>
      <c r="P173" t="str">
        <f t="shared" ca="1" si="11"/>
        <v/>
      </c>
    </row>
    <row r="174" spans="4:16" x14ac:dyDescent="0.25">
      <c r="D174" t="str">
        <f t="shared" si="8"/>
        <v/>
      </c>
      <c r="F174" t="str">
        <f t="shared" si="9"/>
        <v/>
      </c>
      <c r="O174" s="13" t="str">
        <f t="shared" si="10"/>
        <v/>
      </c>
      <c r="P174" t="str">
        <f t="shared" ca="1" si="11"/>
        <v/>
      </c>
    </row>
    <row r="175" spans="4:16" x14ac:dyDescent="0.25">
      <c r="D175" t="str">
        <f t="shared" si="8"/>
        <v/>
      </c>
      <c r="F175" t="str">
        <f t="shared" si="9"/>
        <v/>
      </c>
      <c r="O175" s="13" t="str">
        <f t="shared" si="10"/>
        <v/>
      </c>
      <c r="P175" t="str">
        <f t="shared" ca="1" si="11"/>
        <v/>
      </c>
    </row>
    <row r="176" spans="4:16" x14ac:dyDescent="0.25">
      <c r="D176" t="str">
        <f t="shared" si="8"/>
        <v/>
      </c>
      <c r="F176" t="str">
        <f t="shared" si="9"/>
        <v/>
      </c>
      <c r="O176" s="13" t="str">
        <f t="shared" si="10"/>
        <v/>
      </c>
      <c r="P176" t="str">
        <f t="shared" ca="1" si="11"/>
        <v/>
      </c>
    </row>
    <row r="177" spans="4:16" x14ac:dyDescent="0.25">
      <c r="D177" t="str">
        <f t="shared" si="8"/>
        <v/>
      </c>
      <c r="F177" t="str">
        <f t="shared" si="9"/>
        <v/>
      </c>
      <c r="O177" s="13" t="str">
        <f t="shared" si="10"/>
        <v/>
      </c>
      <c r="P177" t="str">
        <f t="shared" ca="1" si="11"/>
        <v/>
      </c>
    </row>
    <row r="178" spans="4:16" x14ac:dyDescent="0.25">
      <c r="D178" t="str">
        <f t="shared" si="8"/>
        <v/>
      </c>
      <c r="F178" t="str">
        <f t="shared" si="9"/>
        <v/>
      </c>
      <c r="O178" s="13" t="str">
        <f t="shared" si="10"/>
        <v/>
      </c>
      <c r="P178" t="str">
        <f t="shared" ca="1" si="11"/>
        <v/>
      </c>
    </row>
    <row r="179" spans="4:16" x14ac:dyDescent="0.25">
      <c r="D179" t="str">
        <f t="shared" si="8"/>
        <v/>
      </c>
      <c r="F179" t="str">
        <f t="shared" si="9"/>
        <v/>
      </c>
      <c r="O179" s="13" t="str">
        <f t="shared" si="10"/>
        <v/>
      </c>
      <c r="P179" t="str">
        <f t="shared" ca="1" si="11"/>
        <v/>
      </c>
    </row>
    <row r="180" spans="4:16" x14ac:dyDescent="0.25">
      <c r="D180" t="str">
        <f t="shared" si="8"/>
        <v/>
      </c>
      <c r="F180" t="str">
        <f t="shared" si="9"/>
        <v/>
      </c>
      <c r="O180" s="13" t="str">
        <f t="shared" si="10"/>
        <v/>
      </c>
      <c r="P180" t="str">
        <f t="shared" ca="1" si="11"/>
        <v/>
      </c>
    </row>
    <row r="181" spans="4:16" x14ac:dyDescent="0.25">
      <c r="D181" t="str">
        <f t="shared" si="8"/>
        <v/>
      </c>
      <c r="F181" t="str">
        <f t="shared" si="9"/>
        <v/>
      </c>
      <c r="O181" s="13" t="str">
        <f t="shared" si="10"/>
        <v/>
      </c>
      <c r="P181" t="str">
        <f t="shared" ca="1" si="11"/>
        <v/>
      </c>
    </row>
    <row r="182" spans="4:16" x14ac:dyDescent="0.25">
      <c r="D182" t="str">
        <f t="shared" si="8"/>
        <v/>
      </c>
      <c r="F182" t="str">
        <f t="shared" si="9"/>
        <v/>
      </c>
      <c r="O182" s="13" t="str">
        <f t="shared" si="10"/>
        <v/>
      </c>
      <c r="P182" t="str">
        <f t="shared" ca="1" si="11"/>
        <v/>
      </c>
    </row>
    <row r="183" spans="4:16" x14ac:dyDescent="0.25">
      <c r="D183" t="str">
        <f t="shared" si="8"/>
        <v/>
      </c>
      <c r="F183" t="str">
        <f t="shared" si="9"/>
        <v/>
      </c>
      <c r="O183" s="13" t="str">
        <f t="shared" si="10"/>
        <v/>
      </c>
      <c r="P183" t="str">
        <f t="shared" ca="1" si="11"/>
        <v/>
      </c>
    </row>
    <row r="184" spans="4:16" x14ac:dyDescent="0.25">
      <c r="D184" t="str">
        <f t="shared" si="8"/>
        <v/>
      </c>
      <c r="F184" t="str">
        <f t="shared" si="9"/>
        <v/>
      </c>
      <c r="O184" s="13" t="str">
        <f t="shared" si="10"/>
        <v/>
      </c>
      <c r="P184" t="str">
        <f t="shared" ca="1" si="11"/>
        <v/>
      </c>
    </row>
    <row r="185" spans="4:16" x14ac:dyDescent="0.25">
      <c r="D185" t="str">
        <f t="shared" si="8"/>
        <v/>
      </c>
      <c r="F185" t="str">
        <f t="shared" si="9"/>
        <v/>
      </c>
      <c r="O185" s="13" t="str">
        <f t="shared" si="10"/>
        <v/>
      </c>
      <c r="P185" t="str">
        <f t="shared" ca="1" si="11"/>
        <v/>
      </c>
    </row>
    <row r="186" spans="4:16" x14ac:dyDescent="0.25">
      <c r="D186" t="str">
        <f t="shared" si="8"/>
        <v/>
      </c>
      <c r="F186" t="str">
        <f t="shared" si="9"/>
        <v/>
      </c>
      <c r="O186" s="13" t="str">
        <f t="shared" si="10"/>
        <v/>
      </c>
      <c r="P186" t="str">
        <f t="shared" ca="1" si="11"/>
        <v/>
      </c>
    </row>
    <row r="187" spans="4:16" x14ac:dyDescent="0.25">
      <c r="D187" t="str">
        <f t="shared" si="8"/>
        <v/>
      </c>
      <c r="F187" t="str">
        <f t="shared" si="9"/>
        <v/>
      </c>
      <c r="O187" s="13" t="str">
        <f t="shared" si="10"/>
        <v/>
      </c>
      <c r="P187" t="str">
        <f t="shared" ca="1" si="11"/>
        <v/>
      </c>
    </row>
    <row r="188" spans="4:16" x14ac:dyDescent="0.25">
      <c r="D188" t="str">
        <f t="shared" si="8"/>
        <v/>
      </c>
      <c r="F188" t="str">
        <f t="shared" si="9"/>
        <v/>
      </c>
      <c r="O188" s="13" t="str">
        <f t="shared" si="10"/>
        <v/>
      </c>
      <c r="P188" t="str">
        <f t="shared" ca="1" si="11"/>
        <v/>
      </c>
    </row>
    <row r="189" spans="4:16" x14ac:dyDescent="0.25">
      <c r="D189" t="str">
        <f t="shared" si="8"/>
        <v/>
      </c>
      <c r="F189" t="str">
        <f t="shared" si="9"/>
        <v/>
      </c>
      <c r="O189" s="13" t="str">
        <f t="shared" si="10"/>
        <v/>
      </c>
      <c r="P189" t="str">
        <f t="shared" ca="1" si="11"/>
        <v/>
      </c>
    </row>
    <row r="190" spans="4:16" x14ac:dyDescent="0.25">
      <c r="D190" t="str">
        <f t="shared" si="8"/>
        <v/>
      </c>
      <c r="F190" t="str">
        <f t="shared" si="9"/>
        <v/>
      </c>
      <c r="O190" s="13" t="str">
        <f t="shared" si="10"/>
        <v/>
      </c>
      <c r="P190" t="str">
        <f t="shared" ca="1" si="11"/>
        <v/>
      </c>
    </row>
    <row r="191" spans="4:16" x14ac:dyDescent="0.25">
      <c r="D191" t="str">
        <f t="shared" si="8"/>
        <v/>
      </c>
      <c r="F191" t="str">
        <f t="shared" si="9"/>
        <v/>
      </c>
      <c r="O191" s="13" t="str">
        <f t="shared" si="10"/>
        <v/>
      </c>
      <c r="P191" t="str">
        <f t="shared" ca="1" si="11"/>
        <v/>
      </c>
    </row>
    <row r="192" spans="4:16" x14ac:dyDescent="0.25">
      <c r="D192" t="str">
        <f t="shared" si="8"/>
        <v/>
      </c>
      <c r="F192" t="str">
        <f t="shared" si="9"/>
        <v/>
      </c>
      <c r="O192" s="13" t="str">
        <f t="shared" si="10"/>
        <v/>
      </c>
      <c r="P192" t="str">
        <f t="shared" ca="1" si="11"/>
        <v/>
      </c>
    </row>
    <row r="193" spans="4:16" x14ac:dyDescent="0.25">
      <c r="D193" t="str">
        <f t="shared" si="8"/>
        <v/>
      </c>
      <c r="F193" t="str">
        <f t="shared" si="9"/>
        <v/>
      </c>
      <c r="O193" s="13" t="str">
        <f t="shared" si="10"/>
        <v/>
      </c>
      <c r="P193" t="str">
        <f t="shared" ca="1" si="11"/>
        <v/>
      </c>
    </row>
    <row r="194" spans="4:16" x14ac:dyDescent="0.25">
      <c r="D194" t="str">
        <f t="shared" ref="D194:D257" si="12">IF(A194="","",IF(AND(B194&lt;&gt;"",C194&lt;&gt;""),C194-B194,""))</f>
        <v/>
      </c>
      <c r="F194" t="str">
        <f t="shared" ref="F194:F257" si="13">IF(A194="","",IF(AND(D194&lt;&gt;"",E194&lt;&gt;""),IF(D194&lt;=E194,"Yes","NO - LATE"),""))</f>
        <v/>
      </c>
      <c r="O194" s="13" t="str">
        <f t="shared" ref="O194:O257" si="14">IF(A194="","",MAX(B194+0,C194+0))</f>
        <v/>
      </c>
      <c r="P194" t="str">
        <f t="shared" ref="P194:P257" ca="1" si="15">IF(A194="","",IF(OR(K194="Approved",K194="Denied",K194="Withdrawn"),"",TODAY()-O194))</f>
        <v/>
      </c>
    </row>
    <row r="195" spans="4:16" x14ac:dyDescent="0.25">
      <c r="D195" t="str">
        <f t="shared" si="12"/>
        <v/>
      </c>
      <c r="F195" t="str">
        <f t="shared" si="13"/>
        <v/>
      </c>
      <c r="O195" s="13" t="str">
        <f t="shared" si="14"/>
        <v/>
      </c>
      <c r="P195" t="str">
        <f t="shared" ca="1" si="15"/>
        <v/>
      </c>
    </row>
    <row r="196" spans="4:16" x14ac:dyDescent="0.25">
      <c r="D196" t="str">
        <f t="shared" si="12"/>
        <v/>
      </c>
      <c r="F196" t="str">
        <f t="shared" si="13"/>
        <v/>
      </c>
      <c r="O196" s="13" t="str">
        <f t="shared" si="14"/>
        <v/>
      </c>
      <c r="P196" t="str">
        <f t="shared" ca="1" si="15"/>
        <v/>
      </c>
    </row>
    <row r="197" spans="4:16" x14ac:dyDescent="0.25">
      <c r="D197" t="str">
        <f t="shared" si="12"/>
        <v/>
      </c>
      <c r="F197" t="str">
        <f t="shared" si="13"/>
        <v/>
      </c>
      <c r="O197" s="13" t="str">
        <f t="shared" si="14"/>
        <v/>
      </c>
      <c r="P197" t="str">
        <f t="shared" ca="1" si="15"/>
        <v/>
      </c>
    </row>
    <row r="198" spans="4:16" x14ac:dyDescent="0.25">
      <c r="D198" t="str">
        <f t="shared" si="12"/>
        <v/>
      </c>
      <c r="F198" t="str">
        <f t="shared" si="13"/>
        <v/>
      </c>
      <c r="O198" s="13" t="str">
        <f t="shared" si="14"/>
        <v/>
      </c>
      <c r="P198" t="str">
        <f t="shared" ca="1" si="15"/>
        <v/>
      </c>
    </row>
    <row r="199" spans="4:16" x14ac:dyDescent="0.25">
      <c r="D199" t="str">
        <f t="shared" si="12"/>
        <v/>
      </c>
      <c r="F199" t="str">
        <f t="shared" si="13"/>
        <v/>
      </c>
      <c r="O199" s="13" t="str">
        <f t="shared" si="14"/>
        <v/>
      </c>
      <c r="P199" t="str">
        <f t="shared" ca="1" si="15"/>
        <v/>
      </c>
    </row>
    <row r="200" spans="4:16" x14ac:dyDescent="0.25">
      <c r="D200" t="str">
        <f t="shared" si="12"/>
        <v/>
      </c>
      <c r="F200" t="str">
        <f t="shared" si="13"/>
        <v/>
      </c>
      <c r="O200" s="13" t="str">
        <f t="shared" si="14"/>
        <v/>
      </c>
      <c r="P200" t="str">
        <f t="shared" ca="1" si="15"/>
        <v/>
      </c>
    </row>
    <row r="201" spans="4:16" x14ac:dyDescent="0.25">
      <c r="D201" t="str">
        <f t="shared" si="12"/>
        <v/>
      </c>
      <c r="F201" t="str">
        <f t="shared" si="13"/>
        <v/>
      </c>
      <c r="O201" s="13" t="str">
        <f t="shared" si="14"/>
        <v/>
      </c>
      <c r="P201" t="str">
        <f t="shared" ca="1" si="15"/>
        <v/>
      </c>
    </row>
    <row r="202" spans="4:16" x14ac:dyDescent="0.25">
      <c r="D202" t="str">
        <f t="shared" si="12"/>
        <v/>
      </c>
      <c r="F202" t="str">
        <f t="shared" si="13"/>
        <v/>
      </c>
      <c r="O202" s="13" t="str">
        <f t="shared" si="14"/>
        <v/>
      </c>
      <c r="P202" t="str">
        <f t="shared" ca="1" si="15"/>
        <v/>
      </c>
    </row>
    <row r="203" spans="4:16" x14ac:dyDescent="0.25">
      <c r="D203" t="str">
        <f t="shared" si="12"/>
        <v/>
      </c>
      <c r="F203" t="str">
        <f t="shared" si="13"/>
        <v/>
      </c>
      <c r="O203" s="13" t="str">
        <f t="shared" si="14"/>
        <v/>
      </c>
      <c r="P203" t="str">
        <f t="shared" ca="1" si="15"/>
        <v/>
      </c>
    </row>
    <row r="204" spans="4:16" x14ac:dyDescent="0.25">
      <c r="D204" t="str">
        <f t="shared" si="12"/>
        <v/>
      </c>
      <c r="F204" t="str">
        <f t="shared" si="13"/>
        <v/>
      </c>
      <c r="O204" s="13" t="str">
        <f t="shared" si="14"/>
        <v/>
      </c>
      <c r="P204" t="str">
        <f t="shared" ca="1" si="15"/>
        <v/>
      </c>
    </row>
    <row r="205" spans="4:16" x14ac:dyDescent="0.25">
      <c r="D205" t="str">
        <f t="shared" si="12"/>
        <v/>
      </c>
      <c r="F205" t="str">
        <f t="shared" si="13"/>
        <v/>
      </c>
      <c r="O205" s="13" t="str">
        <f t="shared" si="14"/>
        <v/>
      </c>
      <c r="P205" t="str">
        <f t="shared" ca="1" si="15"/>
        <v/>
      </c>
    </row>
    <row r="206" spans="4:16" x14ac:dyDescent="0.25">
      <c r="D206" t="str">
        <f t="shared" si="12"/>
        <v/>
      </c>
      <c r="F206" t="str">
        <f t="shared" si="13"/>
        <v/>
      </c>
      <c r="O206" s="13" t="str">
        <f t="shared" si="14"/>
        <v/>
      </c>
      <c r="P206" t="str">
        <f t="shared" ca="1" si="15"/>
        <v/>
      </c>
    </row>
    <row r="207" spans="4:16" x14ac:dyDescent="0.25">
      <c r="D207" t="str">
        <f t="shared" si="12"/>
        <v/>
      </c>
      <c r="F207" t="str">
        <f t="shared" si="13"/>
        <v/>
      </c>
      <c r="O207" s="13" t="str">
        <f t="shared" si="14"/>
        <v/>
      </c>
      <c r="P207" t="str">
        <f t="shared" ca="1" si="15"/>
        <v/>
      </c>
    </row>
    <row r="208" spans="4:16" x14ac:dyDescent="0.25">
      <c r="D208" t="str">
        <f t="shared" si="12"/>
        <v/>
      </c>
      <c r="F208" t="str">
        <f t="shared" si="13"/>
        <v/>
      </c>
      <c r="O208" s="13" t="str">
        <f t="shared" si="14"/>
        <v/>
      </c>
      <c r="P208" t="str">
        <f t="shared" ca="1" si="15"/>
        <v/>
      </c>
    </row>
    <row r="209" spans="4:16" x14ac:dyDescent="0.25">
      <c r="D209" t="str">
        <f t="shared" si="12"/>
        <v/>
      </c>
      <c r="F209" t="str">
        <f t="shared" si="13"/>
        <v/>
      </c>
      <c r="O209" s="13" t="str">
        <f t="shared" si="14"/>
        <v/>
      </c>
      <c r="P209" t="str">
        <f t="shared" ca="1" si="15"/>
        <v/>
      </c>
    </row>
    <row r="210" spans="4:16" x14ac:dyDescent="0.25">
      <c r="D210" t="str">
        <f t="shared" si="12"/>
        <v/>
      </c>
      <c r="F210" t="str">
        <f t="shared" si="13"/>
        <v/>
      </c>
      <c r="O210" s="13" t="str">
        <f t="shared" si="14"/>
        <v/>
      </c>
      <c r="P210" t="str">
        <f t="shared" ca="1" si="15"/>
        <v/>
      </c>
    </row>
    <row r="211" spans="4:16" x14ac:dyDescent="0.25">
      <c r="D211" t="str">
        <f t="shared" si="12"/>
        <v/>
      </c>
      <c r="F211" t="str">
        <f t="shared" si="13"/>
        <v/>
      </c>
      <c r="O211" s="13" t="str">
        <f t="shared" si="14"/>
        <v/>
      </c>
      <c r="P211" t="str">
        <f t="shared" ca="1" si="15"/>
        <v/>
      </c>
    </row>
    <row r="212" spans="4:16" x14ac:dyDescent="0.25">
      <c r="D212" t="str">
        <f t="shared" si="12"/>
        <v/>
      </c>
      <c r="F212" t="str">
        <f t="shared" si="13"/>
        <v/>
      </c>
      <c r="O212" s="13" t="str">
        <f t="shared" si="14"/>
        <v/>
      </c>
      <c r="P212" t="str">
        <f t="shared" ca="1" si="15"/>
        <v/>
      </c>
    </row>
    <row r="213" spans="4:16" x14ac:dyDescent="0.25">
      <c r="D213" t="str">
        <f t="shared" si="12"/>
        <v/>
      </c>
      <c r="F213" t="str">
        <f t="shared" si="13"/>
        <v/>
      </c>
      <c r="O213" s="13" t="str">
        <f t="shared" si="14"/>
        <v/>
      </c>
      <c r="P213" t="str">
        <f t="shared" ca="1" si="15"/>
        <v/>
      </c>
    </row>
    <row r="214" spans="4:16" x14ac:dyDescent="0.25">
      <c r="D214" t="str">
        <f t="shared" si="12"/>
        <v/>
      </c>
      <c r="F214" t="str">
        <f t="shared" si="13"/>
        <v/>
      </c>
      <c r="O214" s="13" t="str">
        <f t="shared" si="14"/>
        <v/>
      </c>
      <c r="P214" t="str">
        <f t="shared" ca="1" si="15"/>
        <v/>
      </c>
    </row>
    <row r="215" spans="4:16" x14ac:dyDescent="0.25">
      <c r="D215" t="str">
        <f t="shared" si="12"/>
        <v/>
      </c>
      <c r="F215" t="str">
        <f t="shared" si="13"/>
        <v/>
      </c>
      <c r="O215" s="13" t="str">
        <f t="shared" si="14"/>
        <v/>
      </c>
      <c r="P215" t="str">
        <f t="shared" ca="1" si="15"/>
        <v/>
      </c>
    </row>
    <row r="216" spans="4:16" x14ac:dyDescent="0.25">
      <c r="D216" t="str">
        <f t="shared" si="12"/>
        <v/>
      </c>
      <c r="F216" t="str">
        <f t="shared" si="13"/>
        <v/>
      </c>
      <c r="O216" s="13" t="str">
        <f t="shared" si="14"/>
        <v/>
      </c>
      <c r="P216" t="str">
        <f t="shared" ca="1" si="15"/>
        <v/>
      </c>
    </row>
    <row r="217" spans="4:16" x14ac:dyDescent="0.25">
      <c r="D217" t="str">
        <f t="shared" si="12"/>
        <v/>
      </c>
      <c r="F217" t="str">
        <f t="shared" si="13"/>
        <v/>
      </c>
      <c r="O217" s="13" t="str">
        <f t="shared" si="14"/>
        <v/>
      </c>
      <c r="P217" t="str">
        <f t="shared" ca="1" si="15"/>
        <v/>
      </c>
    </row>
    <row r="218" spans="4:16" x14ac:dyDescent="0.25">
      <c r="D218" t="str">
        <f t="shared" si="12"/>
        <v/>
      </c>
      <c r="F218" t="str">
        <f t="shared" si="13"/>
        <v/>
      </c>
      <c r="O218" s="13" t="str">
        <f t="shared" si="14"/>
        <v/>
      </c>
      <c r="P218" t="str">
        <f t="shared" ca="1" si="15"/>
        <v/>
      </c>
    </row>
    <row r="219" spans="4:16" x14ac:dyDescent="0.25">
      <c r="D219" t="str">
        <f t="shared" si="12"/>
        <v/>
      </c>
      <c r="F219" t="str">
        <f t="shared" si="13"/>
        <v/>
      </c>
      <c r="O219" s="13" t="str">
        <f t="shared" si="14"/>
        <v/>
      </c>
      <c r="P219" t="str">
        <f t="shared" ca="1" si="15"/>
        <v/>
      </c>
    </row>
    <row r="220" spans="4:16" x14ac:dyDescent="0.25">
      <c r="D220" t="str">
        <f t="shared" si="12"/>
        <v/>
      </c>
      <c r="F220" t="str">
        <f t="shared" si="13"/>
        <v/>
      </c>
      <c r="O220" s="13" t="str">
        <f t="shared" si="14"/>
        <v/>
      </c>
      <c r="P220" t="str">
        <f t="shared" ca="1" si="15"/>
        <v/>
      </c>
    </row>
    <row r="221" spans="4:16" x14ac:dyDescent="0.25">
      <c r="D221" t="str">
        <f t="shared" si="12"/>
        <v/>
      </c>
      <c r="F221" t="str">
        <f t="shared" si="13"/>
        <v/>
      </c>
      <c r="O221" s="13" t="str">
        <f t="shared" si="14"/>
        <v/>
      </c>
      <c r="P221" t="str">
        <f t="shared" ca="1" si="15"/>
        <v/>
      </c>
    </row>
    <row r="222" spans="4:16" x14ac:dyDescent="0.25">
      <c r="D222" t="str">
        <f t="shared" si="12"/>
        <v/>
      </c>
      <c r="F222" t="str">
        <f t="shared" si="13"/>
        <v/>
      </c>
      <c r="O222" s="13" t="str">
        <f t="shared" si="14"/>
        <v/>
      </c>
      <c r="P222" t="str">
        <f t="shared" ca="1" si="15"/>
        <v/>
      </c>
    </row>
    <row r="223" spans="4:16" x14ac:dyDescent="0.25">
      <c r="D223" t="str">
        <f t="shared" si="12"/>
        <v/>
      </c>
      <c r="F223" t="str">
        <f t="shared" si="13"/>
        <v/>
      </c>
      <c r="O223" s="13" t="str">
        <f t="shared" si="14"/>
        <v/>
      </c>
      <c r="P223" t="str">
        <f t="shared" ca="1" si="15"/>
        <v/>
      </c>
    </row>
    <row r="224" spans="4:16" x14ac:dyDescent="0.25">
      <c r="D224" t="str">
        <f t="shared" si="12"/>
        <v/>
      </c>
      <c r="F224" t="str">
        <f t="shared" si="13"/>
        <v/>
      </c>
      <c r="O224" s="13" t="str">
        <f t="shared" si="14"/>
        <v/>
      </c>
      <c r="P224" t="str">
        <f t="shared" ca="1" si="15"/>
        <v/>
      </c>
    </row>
    <row r="225" spans="4:16" x14ac:dyDescent="0.25">
      <c r="D225" t="str">
        <f t="shared" si="12"/>
        <v/>
      </c>
      <c r="F225" t="str">
        <f t="shared" si="13"/>
        <v/>
      </c>
      <c r="O225" s="13" t="str">
        <f t="shared" si="14"/>
        <v/>
      </c>
      <c r="P225" t="str">
        <f t="shared" ca="1" si="15"/>
        <v/>
      </c>
    </row>
    <row r="226" spans="4:16" x14ac:dyDescent="0.25">
      <c r="D226" t="str">
        <f t="shared" si="12"/>
        <v/>
      </c>
      <c r="F226" t="str">
        <f t="shared" si="13"/>
        <v/>
      </c>
      <c r="O226" s="13" t="str">
        <f t="shared" si="14"/>
        <v/>
      </c>
      <c r="P226" t="str">
        <f t="shared" ca="1" si="15"/>
        <v/>
      </c>
    </row>
    <row r="227" spans="4:16" x14ac:dyDescent="0.25">
      <c r="D227" t="str">
        <f t="shared" si="12"/>
        <v/>
      </c>
      <c r="F227" t="str">
        <f t="shared" si="13"/>
        <v/>
      </c>
      <c r="O227" s="13" t="str">
        <f t="shared" si="14"/>
        <v/>
      </c>
      <c r="P227" t="str">
        <f t="shared" ca="1" si="15"/>
        <v/>
      </c>
    </row>
    <row r="228" spans="4:16" x14ac:dyDescent="0.25">
      <c r="D228" t="str">
        <f t="shared" si="12"/>
        <v/>
      </c>
      <c r="F228" t="str">
        <f t="shared" si="13"/>
        <v/>
      </c>
      <c r="O228" s="13" t="str">
        <f t="shared" si="14"/>
        <v/>
      </c>
      <c r="P228" t="str">
        <f t="shared" ca="1" si="15"/>
        <v/>
      </c>
    </row>
    <row r="229" spans="4:16" x14ac:dyDescent="0.25">
      <c r="D229" t="str">
        <f t="shared" si="12"/>
        <v/>
      </c>
      <c r="F229" t="str">
        <f t="shared" si="13"/>
        <v/>
      </c>
      <c r="O229" s="13" t="str">
        <f t="shared" si="14"/>
        <v/>
      </c>
      <c r="P229" t="str">
        <f t="shared" ca="1" si="15"/>
        <v/>
      </c>
    </row>
    <row r="230" spans="4:16" x14ac:dyDescent="0.25">
      <c r="D230" t="str">
        <f t="shared" si="12"/>
        <v/>
      </c>
      <c r="F230" t="str">
        <f t="shared" si="13"/>
        <v/>
      </c>
      <c r="O230" s="13" t="str">
        <f t="shared" si="14"/>
        <v/>
      </c>
      <c r="P230" t="str">
        <f t="shared" ca="1" si="15"/>
        <v/>
      </c>
    </row>
    <row r="231" spans="4:16" x14ac:dyDescent="0.25">
      <c r="D231" t="str">
        <f t="shared" si="12"/>
        <v/>
      </c>
      <c r="F231" t="str">
        <f t="shared" si="13"/>
        <v/>
      </c>
      <c r="O231" s="13" t="str">
        <f t="shared" si="14"/>
        <v/>
      </c>
      <c r="P231" t="str">
        <f t="shared" ca="1" si="15"/>
        <v/>
      </c>
    </row>
    <row r="232" spans="4:16" x14ac:dyDescent="0.25">
      <c r="D232" t="str">
        <f t="shared" si="12"/>
        <v/>
      </c>
      <c r="F232" t="str">
        <f t="shared" si="13"/>
        <v/>
      </c>
      <c r="O232" s="13" t="str">
        <f t="shared" si="14"/>
        <v/>
      </c>
      <c r="P232" t="str">
        <f t="shared" ca="1" si="15"/>
        <v/>
      </c>
    </row>
    <row r="233" spans="4:16" x14ac:dyDescent="0.25">
      <c r="D233" t="str">
        <f t="shared" si="12"/>
        <v/>
      </c>
      <c r="F233" t="str">
        <f t="shared" si="13"/>
        <v/>
      </c>
      <c r="O233" s="13" t="str">
        <f t="shared" si="14"/>
        <v/>
      </c>
      <c r="P233" t="str">
        <f t="shared" ca="1" si="15"/>
        <v/>
      </c>
    </row>
    <row r="234" spans="4:16" x14ac:dyDescent="0.25">
      <c r="D234" t="str">
        <f t="shared" si="12"/>
        <v/>
      </c>
      <c r="F234" t="str">
        <f t="shared" si="13"/>
        <v/>
      </c>
      <c r="O234" s="13" t="str">
        <f t="shared" si="14"/>
        <v/>
      </c>
      <c r="P234" t="str">
        <f t="shared" ca="1" si="15"/>
        <v/>
      </c>
    </row>
    <row r="235" spans="4:16" x14ac:dyDescent="0.25">
      <c r="D235" t="str">
        <f t="shared" si="12"/>
        <v/>
      </c>
      <c r="F235" t="str">
        <f t="shared" si="13"/>
        <v/>
      </c>
      <c r="O235" s="13" t="str">
        <f t="shared" si="14"/>
        <v/>
      </c>
      <c r="P235" t="str">
        <f t="shared" ca="1" si="15"/>
        <v/>
      </c>
    </row>
    <row r="236" spans="4:16" x14ac:dyDescent="0.25">
      <c r="D236" t="str">
        <f t="shared" si="12"/>
        <v/>
      </c>
      <c r="F236" t="str">
        <f t="shared" si="13"/>
        <v/>
      </c>
      <c r="O236" s="13" t="str">
        <f t="shared" si="14"/>
        <v/>
      </c>
      <c r="P236" t="str">
        <f t="shared" ca="1" si="15"/>
        <v/>
      </c>
    </row>
    <row r="237" spans="4:16" x14ac:dyDescent="0.25">
      <c r="D237" t="str">
        <f t="shared" si="12"/>
        <v/>
      </c>
      <c r="F237" t="str">
        <f t="shared" si="13"/>
        <v/>
      </c>
      <c r="O237" s="13" t="str">
        <f t="shared" si="14"/>
        <v/>
      </c>
      <c r="P237" t="str">
        <f t="shared" ca="1" si="15"/>
        <v/>
      </c>
    </row>
    <row r="238" spans="4:16" x14ac:dyDescent="0.25">
      <c r="D238" t="str">
        <f t="shared" si="12"/>
        <v/>
      </c>
      <c r="F238" t="str">
        <f t="shared" si="13"/>
        <v/>
      </c>
      <c r="O238" s="13" t="str">
        <f t="shared" si="14"/>
        <v/>
      </c>
      <c r="P238" t="str">
        <f t="shared" ca="1" si="15"/>
        <v/>
      </c>
    </row>
    <row r="239" spans="4:16" x14ac:dyDescent="0.25">
      <c r="D239" t="str">
        <f t="shared" si="12"/>
        <v/>
      </c>
      <c r="F239" t="str">
        <f t="shared" si="13"/>
        <v/>
      </c>
      <c r="O239" s="13" t="str">
        <f t="shared" si="14"/>
        <v/>
      </c>
      <c r="P239" t="str">
        <f t="shared" ca="1" si="15"/>
        <v/>
      </c>
    </row>
    <row r="240" spans="4:16" x14ac:dyDescent="0.25">
      <c r="D240" t="str">
        <f t="shared" si="12"/>
        <v/>
      </c>
      <c r="F240" t="str">
        <f t="shared" si="13"/>
        <v/>
      </c>
      <c r="O240" s="13" t="str">
        <f t="shared" si="14"/>
        <v/>
      </c>
      <c r="P240" t="str">
        <f t="shared" ca="1" si="15"/>
        <v/>
      </c>
    </row>
    <row r="241" spans="4:16" x14ac:dyDescent="0.25">
      <c r="D241" t="str">
        <f t="shared" si="12"/>
        <v/>
      </c>
      <c r="F241" t="str">
        <f t="shared" si="13"/>
        <v/>
      </c>
      <c r="O241" s="13" t="str">
        <f t="shared" si="14"/>
        <v/>
      </c>
      <c r="P241" t="str">
        <f t="shared" ca="1" si="15"/>
        <v/>
      </c>
    </row>
    <row r="242" spans="4:16" x14ac:dyDescent="0.25">
      <c r="D242" t="str">
        <f t="shared" si="12"/>
        <v/>
      </c>
      <c r="F242" t="str">
        <f t="shared" si="13"/>
        <v/>
      </c>
      <c r="O242" s="13" t="str">
        <f t="shared" si="14"/>
        <v/>
      </c>
      <c r="P242" t="str">
        <f t="shared" ca="1" si="15"/>
        <v/>
      </c>
    </row>
    <row r="243" spans="4:16" x14ac:dyDescent="0.25">
      <c r="D243" t="str">
        <f t="shared" si="12"/>
        <v/>
      </c>
      <c r="F243" t="str">
        <f t="shared" si="13"/>
        <v/>
      </c>
      <c r="O243" s="13" t="str">
        <f t="shared" si="14"/>
        <v/>
      </c>
      <c r="P243" t="str">
        <f t="shared" ca="1" si="15"/>
        <v/>
      </c>
    </row>
    <row r="244" spans="4:16" x14ac:dyDescent="0.25">
      <c r="D244" t="str">
        <f t="shared" si="12"/>
        <v/>
      </c>
      <c r="F244" t="str">
        <f t="shared" si="13"/>
        <v/>
      </c>
      <c r="O244" s="13" t="str">
        <f t="shared" si="14"/>
        <v/>
      </c>
      <c r="P244" t="str">
        <f t="shared" ca="1" si="15"/>
        <v/>
      </c>
    </row>
    <row r="245" spans="4:16" x14ac:dyDescent="0.25">
      <c r="D245" t="str">
        <f t="shared" si="12"/>
        <v/>
      </c>
      <c r="F245" t="str">
        <f t="shared" si="13"/>
        <v/>
      </c>
      <c r="O245" s="13" t="str">
        <f t="shared" si="14"/>
        <v/>
      </c>
      <c r="P245" t="str">
        <f t="shared" ca="1" si="15"/>
        <v/>
      </c>
    </row>
    <row r="246" spans="4:16" x14ac:dyDescent="0.25">
      <c r="D246" t="str">
        <f t="shared" si="12"/>
        <v/>
      </c>
      <c r="F246" t="str">
        <f t="shared" si="13"/>
        <v/>
      </c>
      <c r="O246" s="13" t="str">
        <f t="shared" si="14"/>
        <v/>
      </c>
      <c r="P246" t="str">
        <f t="shared" ca="1" si="15"/>
        <v/>
      </c>
    </row>
    <row r="247" spans="4:16" x14ac:dyDescent="0.25">
      <c r="D247" t="str">
        <f t="shared" si="12"/>
        <v/>
      </c>
      <c r="F247" t="str">
        <f t="shared" si="13"/>
        <v/>
      </c>
      <c r="O247" s="13" t="str">
        <f t="shared" si="14"/>
        <v/>
      </c>
      <c r="P247" t="str">
        <f t="shared" ca="1" si="15"/>
        <v/>
      </c>
    </row>
    <row r="248" spans="4:16" x14ac:dyDescent="0.25">
      <c r="D248" t="str">
        <f t="shared" si="12"/>
        <v/>
      </c>
      <c r="F248" t="str">
        <f t="shared" si="13"/>
        <v/>
      </c>
      <c r="O248" s="13" t="str">
        <f t="shared" si="14"/>
        <v/>
      </c>
      <c r="P248" t="str">
        <f t="shared" ca="1" si="15"/>
        <v/>
      </c>
    </row>
    <row r="249" spans="4:16" x14ac:dyDescent="0.25">
      <c r="D249" t="str">
        <f t="shared" si="12"/>
        <v/>
      </c>
      <c r="F249" t="str">
        <f t="shared" si="13"/>
        <v/>
      </c>
      <c r="O249" s="13" t="str">
        <f t="shared" si="14"/>
        <v/>
      </c>
      <c r="P249" t="str">
        <f t="shared" ca="1" si="15"/>
        <v/>
      </c>
    </row>
    <row r="250" spans="4:16" x14ac:dyDescent="0.25">
      <c r="D250" t="str">
        <f t="shared" si="12"/>
        <v/>
      </c>
      <c r="F250" t="str">
        <f t="shared" si="13"/>
        <v/>
      </c>
      <c r="O250" s="13" t="str">
        <f t="shared" si="14"/>
        <v/>
      </c>
      <c r="P250" t="str">
        <f t="shared" ca="1" si="15"/>
        <v/>
      </c>
    </row>
    <row r="251" spans="4:16" x14ac:dyDescent="0.25">
      <c r="D251" t="str">
        <f t="shared" si="12"/>
        <v/>
      </c>
      <c r="F251" t="str">
        <f t="shared" si="13"/>
        <v/>
      </c>
      <c r="O251" s="13" t="str">
        <f t="shared" si="14"/>
        <v/>
      </c>
      <c r="P251" t="str">
        <f t="shared" ca="1" si="15"/>
        <v/>
      </c>
    </row>
    <row r="252" spans="4:16" x14ac:dyDescent="0.25">
      <c r="D252" t="str">
        <f t="shared" si="12"/>
        <v/>
      </c>
      <c r="F252" t="str">
        <f t="shared" si="13"/>
        <v/>
      </c>
      <c r="O252" s="13" t="str">
        <f t="shared" si="14"/>
        <v/>
      </c>
      <c r="P252" t="str">
        <f t="shared" ca="1" si="15"/>
        <v/>
      </c>
    </row>
    <row r="253" spans="4:16" x14ac:dyDescent="0.25">
      <c r="D253" t="str">
        <f t="shared" si="12"/>
        <v/>
      </c>
      <c r="F253" t="str">
        <f t="shared" si="13"/>
        <v/>
      </c>
      <c r="O253" s="13" t="str">
        <f t="shared" si="14"/>
        <v/>
      </c>
      <c r="P253" t="str">
        <f t="shared" ca="1" si="15"/>
        <v/>
      </c>
    </row>
    <row r="254" spans="4:16" x14ac:dyDescent="0.25">
      <c r="D254" t="str">
        <f t="shared" si="12"/>
        <v/>
      </c>
      <c r="F254" t="str">
        <f t="shared" si="13"/>
        <v/>
      </c>
      <c r="O254" s="13" t="str">
        <f t="shared" si="14"/>
        <v/>
      </c>
      <c r="P254" t="str">
        <f t="shared" ca="1" si="15"/>
        <v/>
      </c>
    </row>
    <row r="255" spans="4:16" x14ac:dyDescent="0.25">
      <c r="D255" t="str">
        <f t="shared" si="12"/>
        <v/>
      </c>
      <c r="F255" t="str">
        <f t="shared" si="13"/>
        <v/>
      </c>
      <c r="O255" s="13" t="str">
        <f t="shared" si="14"/>
        <v/>
      </c>
      <c r="P255" t="str">
        <f t="shared" ca="1" si="15"/>
        <v/>
      </c>
    </row>
    <row r="256" spans="4:16" x14ac:dyDescent="0.25">
      <c r="D256" t="str">
        <f t="shared" si="12"/>
        <v/>
      </c>
      <c r="F256" t="str">
        <f t="shared" si="13"/>
        <v/>
      </c>
      <c r="O256" s="13" t="str">
        <f t="shared" si="14"/>
        <v/>
      </c>
      <c r="P256" t="str">
        <f t="shared" ca="1" si="15"/>
        <v/>
      </c>
    </row>
    <row r="257" spans="4:16" x14ac:dyDescent="0.25">
      <c r="D257" t="str">
        <f t="shared" si="12"/>
        <v/>
      </c>
      <c r="F257" t="str">
        <f t="shared" si="13"/>
        <v/>
      </c>
      <c r="O257" s="13" t="str">
        <f t="shared" si="14"/>
        <v/>
      </c>
      <c r="P257" t="str">
        <f t="shared" ca="1" si="15"/>
        <v/>
      </c>
    </row>
    <row r="258" spans="4:16" x14ac:dyDescent="0.25">
      <c r="D258" t="str">
        <f t="shared" ref="D258:D298" si="16">IF(A258="","",IF(AND(B258&lt;&gt;"",C258&lt;&gt;""),C258-B258,""))</f>
        <v/>
      </c>
      <c r="F258" t="str">
        <f t="shared" ref="F258:F298" si="17">IF(A258="","",IF(AND(D258&lt;&gt;"",E258&lt;&gt;""),IF(D258&lt;=E258,"Yes","NO - LATE"),""))</f>
        <v/>
      </c>
      <c r="O258" s="13" t="str">
        <f t="shared" ref="O258:O298" si="18">IF(A258="","",MAX(B258+0,C258+0))</f>
        <v/>
      </c>
      <c r="P258" t="str">
        <f t="shared" ref="P258:P298" ca="1" si="19">IF(A258="","",IF(OR(K258="Approved",K258="Denied",K258="Withdrawn"),"",TODAY()-O258))</f>
        <v/>
      </c>
    </row>
    <row r="259" spans="4:16" x14ac:dyDescent="0.25">
      <c r="D259" t="str">
        <f t="shared" si="16"/>
        <v/>
      </c>
      <c r="F259" t="str">
        <f t="shared" si="17"/>
        <v/>
      </c>
      <c r="O259" s="13" t="str">
        <f t="shared" si="18"/>
        <v/>
      </c>
      <c r="P259" t="str">
        <f t="shared" ca="1" si="19"/>
        <v/>
      </c>
    </row>
    <row r="260" spans="4:16" x14ac:dyDescent="0.25">
      <c r="D260" t="str">
        <f t="shared" si="16"/>
        <v/>
      </c>
      <c r="F260" t="str">
        <f t="shared" si="17"/>
        <v/>
      </c>
      <c r="O260" s="13" t="str">
        <f t="shared" si="18"/>
        <v/>
      </c>
      <c r="P260" t="str">
        <f t="shared" ca="1" si="19"/>
        <v/>
      </c>
    </row>
    <row r="261" spans="4:16" x14ac:dyDescent="0.25">
      <c r="D261" t="str">
        <f t="shared" si="16"/>
        <v/>
      </c>
      <c r="F261" t="str">
        <f t="shared" si="17"/>
        <v/>
      </c>
      <c r="O261" s="13" t="str">
        <f t="shared" si="18"/>
        <v/>
      </c>
      <c r="P261" t="str">
        <f t="shared" ca="1" si="19"/>
        <v/>
      </c>
    </row>
    <row r="262" spans="4:16" x14ac:dyDescent="0.25">
      <c r="D262" t="str">
        <f t="shared" si="16"/>
        <v/>
      </c>
      <c r="F262" t="str">
        <f t="shared" si="17"/>
        <v/>
      </c>
      <c r="O262" s="13" t="str">
        <f t="shared" si="18"/>
        <v/>
      </c>
      <c r="P262" t="str">
        <f t="shared" ca="1" si="19"/>
        <v/>
      </c>
    </row>
    <row r="263" spans="4:16" x14ac:dyDescent="0.25">
      <c r="D263" t="str">
        <f t="shared" si="16"/>
        <v/>
      </c>
      <c r="F263" t="str">
        <f t="shared" si="17"/>
        <v/>
      </c>
      <c r="O263" s="13" t="str">
        <f t="shared" si="18"/>
        <v/>
      </c>
      <c r="P263" t="str">
        <f t="shared" ca="1" si="19"/>
        <v/>
      </c>
    </row>
    <row r="264" spans="4:16" x14ac:dyDescent="0.25">
      <c r="D264" t="str">
        <f t="shared" si="16"/>
        <v/>
      </c>
      <c r="F264" t="str">
        <f t="shared" si="17"/>
        <v/>
      </c>
      <c r="O264" s="13" t="str">
        <f t="shared" si="18"/>
        <v/>
      </c>
      <c r="P264" t="str">
        <f t="shared" ca="1" si="19"/>
        <v/>
      </c>
    </row>
    <row r="265" spans="4:16" x14ac:dyDescent="0.25">
      <c r="D265" t="str">
        <f t="shared" si="16"/>
        <v/>
      </c>
      <c r="F265" t="str">
        <f t="shared" si="17"/>
        <v/>
      </c>
      <c r="O265" s="13" t="str">
        <f t="shared" si="18"/>
        <v/>
      </c>
      <c r="P265" t="str">
        <f t="shared" ca="1" si="19"/>
        <v/>
      </c>
    </row>
    <row r="266" spans="4:16" x14ac:dyDescent="0.25">
      <c r="D266" t="str">
        <f t="shared" si="16"/>
        <v/>
      </c>
      <c r="F266" t="str">
        <f t="shared" si="17"/>
        <v/>
      </c>
      <c r="O266" s="13" t="str">
        <f t="shared" si="18"/>
        <v/>
      </c>
      <c r="P266" t="str">
        <f t="shared" ca="1" si="19"/>
        <v/>
      </c>
    </row>
    <row r="267" spans="4:16" x14ac:dyDescent="0.25">
      <c r="D267" t="str">
        <f t="shared" si="16"/>
        <v/>
      </c>
      <c r="F267" t="str">
        <f t="shared" si="17"/>
        <v/>
      </c>
      <c r="O267" s="13" t="str">
        <f t="shared" si="18"/>
        <v/>
      </c>
      <c r="P267" t="str">
        <f t="shared" ca="1" si="19"/>
        <v/>
      </c>
    </row>
    <row r="268" spans="4:16" x14ac:dyDescent="0.25">
      <c r="D268" t="str">
        <f t="shared" si="16"/>
        <v/>
      </c>
      <c r="F268" t="str">
        <f t="shared" si="17"/>
        <v/>
      </c>
      <c r="O268" s="13" t="str">
        <f t="shared" si="18"/>
        <v/>
      </c>
      <c r="P268" t="str">
        <f t="shared" ca="1" si="19"/>
        <v/>
      </c>
    </row>
    <row r="269" spans="4:16" x14ac:dyDescent="0.25">
      <c r="D269" t="str">
        <f t="shared" si="16"/>
        <v/>
      </c>
      <c r="F269" t="str">
        <f t="shared" si="17"/>
        <v/>
      </c>
      <c r="O269" s="13" t="str">
        <f t="shared" si="18"/>
        <v/>
      </c>
      <c r="P269" t="str">
        <f t="shared" ca="1" si="19"/>
        <v/>
      </c>
    </row>
    <row r="270" spans="4:16" x14ac:dyDescent="0.25">
      <c r="D270" t="str">
        <f t="shared" si="16"/>
        <v/>
      </c>
      <c r="F270" t="str">
        <f t="shared" si="17"/>
        <v/>
      </c>
      <c r="O270" s="13" t="str">
        <f t="shared" si="18"/>
        <v/>
      </c>
      <c r="P270" t="str">
        <f t="shared" ca="1" si="19"/>
        <v/>
      </c>
    </row>
    <row r="271" spans="4:16" x14ac:dyDescent="0.25">
      <c r="D271" t="str">
        <f t="shared" si="16"/>
        <v/>
      </c>
      <c r="F271" t="str">
        <f t="shared" si="17"/>
        <v/>
      </c>
      <c r="O271" s="13" t="str">
        <f t="shared" si="18"/>
        <v/>
      </c>
      <c r="P271" t="str">
        <f t="shared" ca="1" si="19"/>
        <v/>
      </c>
    </row>
    <row r="272" spans="4:16" x14ac:dyDescent="0.25">
      <c r="D272" t="str">
        <f t="shared" si="16"/>
        <v/>
      </c>
      <c r="F272" t="str">
        <f t="shared" si="17"/>
        <v/>
      </c>
      <c r="O272" s="13" t="str">
        <f t="shared" si="18"/>
        <v/>
      </c>
      <c r="P272" t="str">
        <f t="shared" ca="1" si="19"/>
        <v/>
      </c>
    </row>
    <row r="273" spans="4:16" x14ac:dyDescent="0.25">
      <c r="D273" t="str">
        <f t="shared" si="16"/>
        <v/>
      </c>
      <c r="F273" t="str">
        <f t="shared" si="17"/>
        <v/>
      </c>
      <c r="O273" s="13" t="str">
        <f t="shared" si="18"/>
        <v/>
      </c>
      <c r="P273" t="str">
        <f t="shared" ca="1" si="19"/>
        <v/>
      </c>
    </row>
    <row r="274" spans="4:16" x14ac:dyDescent="0.25">
      <c r="D274" t="str">
        <f t="shared" si="16"/>
        <v/>
      </c>
      <c r="F274" t="str">
        <f t="shared" si="17"/>
        <v/>
      </c>
      <c r="O274" s="13" t="str">
        <f t="shared" si="18"/>
        <v/>
      </c>
      <c r="P274" t="str">
        <f t="shared" ca="1" si="19"/>
        <v/>
      </c>
    </row>
    <row r="275" spans="4:16" x14ac:dyDescent="0.25">
      <c r="D275" t="str">
        <f t="shared" si="16"/>
        <v/>
      </c>
      <c r="F275" t="str">
        <f t="shared" si="17"/>
        <v/>
      </c>
      <c r="O275" s="13" t="str">
        <f t="shared" si="18"/>
        <v/>
      </c>
      <c r="P275" t="str">
        <f t="shared" ca="1" si="19"/>
        <v/>
      </c>
    </row>
    <row r="276" spans="4:16" x14ac:dyDescent="0.25">
      <c r="D276" t="str">
        <f t="shared" si="16"/>
        <v/>
      </c>
      <c r="F276" t="str">
        <f t="shared" si="17"/>
        <v/>
      </c>
      <c r="O276" s="13" t="str">
        <f t="shared" si="18"/>
        <v/>
      </c>
      <c r="P276" t="str">
        <f t="shared" ca="1" si="19"/>
        <v/>
      </c>
    </row>
    <row r="277" spans="4:16" x14ac:dyDescent="0.25">
      <c r="D277" t="str">
        <f t="shared" si="16"/>
        <v/>
      </c>
      <c r="F277" t="str">
        <f t="shared" si="17"/>
        <v/>
      </c>
      <c r="O277" s="13" t="str">
        <f t="shared" si="18"/>
        <v/>
      </c>
      <c r="P277" t="str">
        <f t="shared" ca="1" si="19"/>
        <v/>
      </c>
    </row>
    <row r="278" spans="4:16" x14ac:dyDescent="0.25">
      <c r="D278" t="str">
        <f t="shared" si="16"/>
        <v/>
      </c>
      <c r="F278" t="str">
        <f t="shared" si="17"/>
        <v/>
      </c>
      <c r="O278" s="13" t="str">
        <f t="shared" si="18"/>
        <v/>
      </c>
      <c r="P278" t="str">
        <f t="shared" ca="1" si="19"/>
        <v/>
      </c>
    </row>
    <row r="279" spans="4:16" x14ac:dyDescent="0.25">
      <c r="D279" t="str">
        <f t="shared" si="16"/>
        <v/>
      </c>
      <c r="F279" t="str">
        <f t="shared" si="17"/>
        <v/>
      </c>
      <c r="O279" s="13" t="str">
        <f t="shared" si="18"/>
        <v/>
      </c>
      <c r="P279" t="str">
        <f t="shared" ca="1" si="19"/>
        <v/>
      </c>
    </row>
    <row r="280" spans="4:16" x14ac:dyDescent="0.25">
      <c r="D280" t="str">
        <f t="shared" si="16"/>
        <v/>
      </c>
      <c r="F280" t="str">
        <f t="shared" si="17"/>
        <v/>
      </c>
      <c r="O280" s="13" t="str">
        <f t="shared" si="18"/>
        <v/>
      </c>
      <c r="P280" t="str">
        <f t="shared" ca="1" si="19"/>
        <v/>
      </c>
    </row>
    <row r="281" spans="4:16" x14ac:dyDescent="0.25">
      <c r="D281" t="str">
        <f t="shared" si="16"/>
        <v/>
      </c>
      <c r="F281" t="str">
        <f t="shared" si="17"/>
        <v/>
      </c>
      <c r="O281" s="13" t="str">
        <f t="shared" si="18"/>
        <v/>
      </c>
      <c r="P281" t="str">
        <f t="shared" ca="1" si="19"/>
        <v/>
      </c>
    </row>
    <row r="282" spans="4:16" x14ac:dyDescent="0.25">
      <c r="D282" t="str">
        <f t="shared" si="16"/>
        <v/>
      </c>
      <c r="F282" t="str">
        <f t="shared" si="17"/>
        <v/>
      </c>
      <c r="O282" s="13" t="str">
        <f t="shared" si="18"/>
        <v/>
      </c>
      <c r="P282" t="str">
        <f t="shared" ca="1" si="19"/>
        <v/>
      </c>
    </row>
    <row r="283" spans="4:16" x14ac:dyDescent="0.25">
      <c r="D283" t="str">
        <f t="shared" si="16"/>
        <v/>
      </c>
      <c r="F283" t="str">
        <f t="shared" si="17"/>
        <v/>
      </c>
      <c r="O283" s="13" t="str">
        <f t="shared" si="18"/>
        <v/>
      </c>
      <c r="P283" t="str">
        <f t="shared" ca="1" si="19"/>
        <v/>
      </c>
    </row>
    <row r="284" spans="4:16" x14ac:dyDescent="0.25">
      <c r="D284" t="str">
        <f t="shared" si="16"/>
        <v/>
      </c>
      <c r="F284" t="str">
        <f t="shared" si="17"/>
        <v/>
      </c>
      <c r="O284" s="13" t="str">
        <f t="shared" si="18"/>
        <v/>
      </c>
      <c r="P284" t="str">
        <f t="shared" ca="1" si="19"/>
        <v/>
      </c>
    </row>
    <row r="285" spans="4:16" x14ac:dyDescent="0.25">
      <c r="D285" t="str">
        <f t="shared" si="16"/>
        <v/>
      </c>
      <c r="F285" t="str">
        <f t="shared" si="17"/>
        <v/>
      </c>
      <c r="O285" s="13" t="str">
        <f t="shared" si="18"/>
        <v/>
      </c>
      <c r="P285" t="str">
        <f t="shared" ca="1" si="19"/>
        <v/>
      </c>
    </row>
    <row r="286" spans="4:16" x14ac:dyDescent="0.25">
      <c r="D286" t="str">
        <f t="shared" si="16"/>
        <v/>
      </c>
      <c r="F286" t="str">
        <f t="shared" si="17"/>
        <v/>
      </c>
      <c r="O286" s="13" t="str">
        <f t="shared" si="18"/>
        <v/>
      </c>
      <c r="P286" t="str">
        <f t="shared" ca="1" si="19"/>
        <v/>
      </c>
    </row>
    <row r="287" spans="4:16" x14ac:dyDescent="0.25">
      <c r="D287" t="str">
        <f t="shared" si="16"/>
        <v/>
      </c>
      <c r="F287" t="str">
        <f t="shared" si="17"/>
        <v/>
      </c>
      <c r="O287" s="13" t="str">
        <f t="shared" si="18"/>
        <v/>
      </c>
      <c r="P287" t="str">
        <f t="shared" ca="1" si="19"/>
        <v/>
      </c>
    </row>
    <row r="288" spans="4:16" x14ac:dyDescent="0.25">
      <c r="D288" t="str">
        <f t="shared" si="16"/>
        <v/>
      </c>
      <c r="F288" t="str">
        <f t="shared" si="17"/>
        <v/>
      </c>
      <c r="O288" s="13" t="str">
        <f t="shared" si="18"/>
        <v/>
      </c>
      <c r="P288" t="str">
        <f t="shared" ca="1" si="19"/>
        <v/>
      </c>
    </row>
    <row r="289" spans="1:16" x14ac:dyDescent="0.25">
      <c r="D289" t="str">
        <f t="shared" si="16"/>
        <v/>
      </c>
      <c r="F289" t="str">
        <f t="shared" si="17"/>
        <v/>
      </c>
      <c r="O289" s="13" t="str">
        <f t="shared" si="18"/>
        <v/>
      </c>
      <c r="P289" t="str">
        <f t="shared" ca="1" si="19"/>
        <v/>
      </c>
    </row>
    <row r="290" spans="1:16" x14ac:dyDescent="0.25">
      <c r="D290" t="str">
        <f t="shared" si="16"/>
        <v/>
      </c>
      <c r="F290" t="str">
        <f t="shared" si="17"/>
        <v/>
      </c>
      <c r="O290" s="13" t="str">
        <f t="shared" si="18"/>
        <v/>
      </c>
      <c r="P290" t="str">
        <f t="shared" ca="1" si="19"/>
        <v/>
      </c>
    </row>
    <row r="291" spans="1:16" x14ac:dyDescent="0.25">
      <c r="D291" t="str">
        <f t="shared" si="16"/>
        <v/>
      </c>
      <c r="F291" t="str">
        <f t="shared" si="17"/>
        <v/>
      </c>
      <c r="O291" s="13" t="str">
        <f t="shared" si="18"/>
        <v/>
      </c>
      <c r="P291" t="str">
        <f t="shared" ca="1" si="19"/>
        <v/>
      </c>
    </row>
    <row r="292" spans="1:16" x14ac:dyDescent="0.25">
      <c r="D292" t="str">
        <f t="shared" si="16"/>
        <v/>
      </c>
      <c r="F292" t="str">
        <f t="shared" si="17"/>
        <v/>
      </c>
      <c r="O292" s="13" t="str">
        <f t="shared" si="18"/>
        <v/>
      </c>
      <c r="P292" t="str">
        <f t="shared" ca="1" si="19"/>
        <v/>
      </c>
    </row>
    <row r="293" spans="1:16" x14ac:dyDescent="0.25">
      <c r="D293" t="str">
        <f t="shared" si="16"/>
        <v/>
      </c>
      <c r="F293" t="str">
        <f t="shared" si="17"/>
        <v/>
      </c>
      <c r="O293" s="13" t="str">
        <f t="shared" si="18"/>
        <v/>
      </c>
      <c r="P293" t="str">
        <f t="shared" ca="1" si="19"/>
        <v/>
      </c>
    </row>
    <row r="294" spans="1:16" x14ac:dyDescent="0.25">
      <c r="D294" t="str">
        <f t="shared" si="16"/>
        <v/>
      </c>
      <c r="F294" t="str">
        <f t="shared" si="17"/>
        <v/>
      </c>
      <c r="O294" s="13" t="str">
        <f t="shared" si="18"/>
        <v/>
      </c>
      <c r="P294" t="str">
        <f t="shared" ca="1" si="19"/>
        <v/>
      </c>
    </row>
    <row r="295" spans="1:16" x14ac:dyDescent="0.25">
      <c r="D295" t="str">
        <f t="shared" si="16"/>
        <v/>
      </c>
      <c r="F295" t="str">
        <f t="shared" si="17"/>
        <v/>
      </c>
      <c r="O295" s="13" t="str">
        <f t="shared" si="18"/>
        <v/>
      </c>
      <c r="P295" t="str">
        <f t="shared" ca="1" si="19"/>
        <v/>
      </c>
    </row>
    <row r="296" spans="1:16" x14ac:dyDescent="0.25">
      <c r="D296" t="str">
        <f t="shared" si="16"/>
        <v/>
      </c>
      <c r="F296" t="str">
        <f t="shared" si="17"/>
        <v/>
      </c>
      <c r="O296" s="13" t="str">
        <f t="shared" si="18"/>
        <v/>
      </c>
      <c r="P296" t="str">
        <f t="shared" ca="1" si="19"/>
        <v/>
      </c>
    </row>
    <row r="297" spans="1:16" x14ac:dyDescent="0.25">
      <c r="D297" t="str">
        <f t="shared" si="16"/>
        <v/>
      </c>
      <c r="F297" t="str">
        <f t="shared" si="17"/>
        <v/>
      </c>
      <c r="O297" s="13" t="str">
        <f t="shared" si="18"/>
        <v/>
      </c>
      <c r="P297" t="str">
        <f t="shared" ca="1" si="19"/>
        <v/>
      </c>
    </row>
    <row r="298" spans="1:16" x14ac:dyDescent="0.25">
      <c r="D298" t="str">
        <f t="shared" si="16"/>
        <v/>
      </c>
      <c r="F298" t="str">
        <f t="shared" si="17"/>
        <v/>
      </c>
      <c r="O298" s="13" t="str">
        <f t="shared" si="18"/>
        <v/>
      </c>
      <c r="P298" t="str">
        <f t="shared" ca="1" si="19"/>
        <v/>
      </c>
    </row>
    <row r="301" spans="1:16" x14ac:dyDescent="0.25">
      <c r="A301" s="3" t="s">
        <v>321</v>
      </c>
    </row>
  </sheetData>
  <conditionalFormatting sqref="F2:F299">
    <cfRule type="cellIs" dxfId="19" priority="2" operator="equal">
      <formula>"NO - LATE"</formula>
    </cfRule>
  </conditionalFormatting>
  <conditionalFormatting sqref="P2:P299">
    <cfRule type="cellIs" dxfId="18" priority="3" operator="greaterThanOrEqual">
      <formula>14</formula>
    </cfRule>
  </conditionalFormatting>
  <dataValidations count="2">
    <dataValidation type="list" allowBlank="1" sqref="K2:K499" xr:uid="{00000000-0002-0000-0700-000000000000}">
      <formula1>"Open,Submitted,Under Review,Approved,Denied,Withdrawn"</formula1>
      <formula2>0</formula2>
    </dataValidation>
    <dataValidation type="list" allowBlank="1" sqref="N2:N499" xr:uid="{00000000-0002-0000-0700-000001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A1A1A"/>
    <pageSetUpPr fitToPage="1"/>
  </sheetPr>
  <dimension ref="A1:O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9" customWidth="1"/>
    <col min="2" max="2" width="14" customWidth="1"/>
    <col min="3" max="3" width="16" customWidth="1"/>
    <col min="4" max="4" width="28" customWidth="1"/>
    <col min="5" max="5" width="13" customWidth="1"/>
    <col min="6" max="8" width="10" customWidth="1"/>
    <col min="9" max="9" width="28" customWidth="1"/>
    <col min="10" max="10" width="14" customWidth="1"/>
    <col min="11" max="13" width="12" customWidth="1"/>
    <col min="14" max="14" width="13" customWidth="1"/>
    <col min="15" max="15" width="14" customWidth="1"/>
  </cols>
  <sheetData>
    <row r="1" spans="1:15" ht="31.5" customHeight="1" x14ac:dyDescent="0.25">
      <c r="A1" s="18" t="s">
        <v>322</v>
      </c>
      <c r="B1" s="18" t="s">
        <v>323</v>
      </c>
      <c r="C1" s="18" t="s">
        <v>324</v>
      </c>
      <c r="D1" s="18" t="s">
        <v>278</v>
      </c>
      <c r="E1" s="18" t="s">
        <v>325</v>
      </c>
      <c r="F1" s="18" t="s">
        <v>326</v>
      </c>
      <c r="G1" s="18" t="s">
        <v>327</v>
      </c>
      <c r="H1" s="18" t="s">
        <v>328</v>
      </c>
      <c r="I1" s="18" t="s">
        <v>329</v>
      </c>
      <c r="J1" s="18" t="s">
        <v>12</v>
      </c>
      <c r="K1" s="18" t="s">
        <v>224</v>
      </c>
      <c r="L1" s="18" t="s">
        <v>292</v>
      </c>
      <c r="M1" s="18" t="s">
        <v>220</v>
      </c>
      <c r="N1" s="18" t="s">
        <v>36</v>
      </c>
      <c r="O1" s="18" t="s">
        <v>330</v>
      </c>
    </row>
    <row r="2" spans="1:15" x14ac:dyDescent="0.25">
      <c r="G2" t="str">
        <f t="shared" ref="G2:G65" si="0">IF(A2="","",IF(AND(E2&lt;&gt;"",F2&lt;&gt;""),E2*F2,""))</f>
        <v/>
      </c>
      <c r="H2" t="str">
        <f t="shared" ref="H2:H65" si="1">IF(G2="","",IF(G2&gt;=15,"High",IF(G2&gt;=8,"Medium","Low")))</f>
        <v/>
      </c>
      <c r="O2" t="str">
        <f t="shared" ref="O2:O65" ca="1" si="2">IF(A2="","",IF(OR(M2="Closed",N2=""),"",TODAY()-N2))</f>
        <v/>
      </c>
    </row>
    <row r="3" spans="1:15" x14ac:dyDescent="0.25">
      <c r="G3" t="str">
        <f t="shared" si="0"/>
        <v/>
      </c>
      <c r="H3" t="str">
        <f t="shared" si="1"/>
        <v/>
      </c>
      <c r="O3" t="str">
        <f t="shared" ca="1" si="2"/>
        <v/>
      </c>
    </row>
    <row r="4" spans="1:15" x14ac:dyDescent="0.25">
      <c r="G4" t="str">
        <f t="shared" si="0"/>
        <v/>
      </c>
      <c r="H4" t="str">
        <f t="shared" si="1"/>
        <v/>
      </c>
      <c r="O4" t="str">
        <f t="shared" ca="1" si="2"/>
        <v/>
      </c>
    </row>
    <row r="5" spans="1:15" x14ac:dyDescent="0.25">
      <c r="G5" t="str">
        <f t="shared" si="0"/>
        <v/>
      </c>
      <c r="H5" t="str">
        <f t="shared" si="1"/>
        <v/>
      </c>
      <c r="O5" t="str">
        <f t="shared" ca="1" si="2"/>
        <v/>
      </c>
    </row>
    <row r="6" spans="1:15" x14ac:dyDescent="0.25">
      <c r="G6" t="str">
        <f t="shared" si="0"/>
        <v/>
      </c>
      <c r="H6" t="str">
        <f t="shared" si="1"/>
        <v/>
      </c>
      <c r="O6" t="str">
        <f t="shared" ca="1" si="2"/>
        <v/>
      </c>
    </row>
    <row r="7" spans="1:15" x14ac:dyDescent="0.25">
      <c r="G7" t="str">
        <f t="shared" si="0"/>
        <v/>
      </c>
      <c r="H7" t="str">
        <f t="shared" si="1"/>
        <v/>
      </c>
      <c r="O7" t="str">
        <f t="shared" ca="1" si="2"/>
        <v/>
      </c>
    </row>
    <row r="8" spans="1:15" x14ac:dyDescent="0.25">
      <c r="G8" t="str">
        <f t="shared" si="0"/>
        <v/>
      </c>
      <c r="H8" t="str">
        <f t="shared" si="1"/>
        <v/>
      </c>
      <c r="O8" t="str">
        <f t="shared" ca="1" si="2"/>
        <v/>
      </c>
    </row>
    <row r="9" spans="1:15" x14ac:dyDescent="0.25">
      <c r="G9" t="str">
        <f t="shared" si="0"/>
        <v/>
      </c>
      <c r="H9" t="str">
        <f t="shared" si="1"/>
        <v/>
      </c>
      <c r="O9" t="str">
        <f t="shared" ca="1" si="2"/>
        <v/>
      </c>
    </row>
    <row r="10" spans="1:15" x14ac:dyDescent="0.25">
      <c r="G10" t="str">
        <f t="shared" si="0"/>
        <v/>
      </c>
      <c r="H10" t="str">
        <f t="shared" si="1"/>
        <v/>
      </c>
      <c r="O10" t="str">
        <f t="shared" ca="1" si="2"/>
        <v/>
      </c>
    </row>
    <row r="11" spans="1:15" x14ac:dyDescent="0.25">
      <c r="G11" t="str">
        <f t="shared" si="0"/>
        <v/>
      </c>
      <c r="H11" t="str">
        <f t="shared" si="1"/>
        <v/>
      </c>
      <c r="O11" t="str">
        <f t="shared" ca="1" si="2"/>
        <v/>
      </c>
    </row>
    <row r="12" spans="1:15" x14ac:dyDescent="0.25">
      <c r="G12" t="str">
        <f t="shared" si="0"/>
        <v/>
      </c>
      <c r="H12" t="str">
        <f t="shared" si="1"/>
        <v/>
      </c>
      <c r="O12" t="str">
        <f t="shared" ca="1" si="2"/>
        <v/>
      </c>
    </row>
    <row r="13" spans="1:15" x14ac:dyDescent="0.25">
      <c r="G13" t="str">
        <f t="shared" si="0"/>
        <v/>
      </c>
      <c r="H13" t="str">
        <f t="shared" si="1"/>
        <v/>
      </c>
      <c r="O13" t="str">
        <f t="shared" ca="1" si="2"/>
        <v/>
      </c>
    </row>
    <row r="14" spans="1:15" x14ac:dyDescent="0.25">
      <c r="G14" t="str">
        <f t="shared" si="0"/>
        <v/>
      </c>
      <c r="H14" t="str">
        <f t="shared" si="1"/>
        <v/>
      </c>
      <c r="O14" t="str">
        <f t="shared" ca="1" si="2"/>
        <v/>
      </c>
    </row>
    <row r="15" spans="1:15" x14ac:dyDescent="0.25">
      <c r="G15" t="str">
        <f t="shared" si="0"/>
        <v/>
      </c>
      <c r="H15" t="str">
        <f t="shared" si="1"/>
        <v/>
      </c>
      <c r="O15" t="str">
        <f t="shared" ca="1" si="2"/>
        <v/>
      </c>
    </row>
    <row r="16" spans="1:15" x14ac:dyDescent="0.25">
      <c r="G16" t="str">
        <f t="shared" si="0"/>
        <v/>
      </c>
      <c r="H16" t="str">
        <f t="shared" si="1"/>
        <v/>
      </c>
      <c r="O16" t="str">
        <f t="shared" ca="1" si="2"/>
        <v/>
      </c>
    </row>
    <row r="17" spans="7:15" x14ac:dyDescent="0.25">
      <c r="G17" t="str">
        <f t="shared" si="0"/>
        <v/>
      </c>
      <c r="H17" t="str">
        <f t="shared" si="1"/>
        <v/>
      </c>
      <c r="O17" t="str">
        <f t="shared" ca="1" si="2"/>
        <v/>
      </c>
    </row>
    <row r="18" spans="7:15" x14ac:dyDescent="0.25">
      <c r="G18" t="str">
        <f t="shared" si="0"/>
        <v/>
      </c>
      <c r="H18" t="str">
        <f t="shared" si="1"/>
        <v/>
      </c>
      <c r="O18" t="str">
        <f t="shared" ca="1" si="2"/>
        <v/>
      </c>
    </row>
    <row r="19" spans="7:15" x14ac:dyDescent="0.25">
      <c r="G19" t="str">
        <f t="shared" si="0"/>
        <v/>
      </c>
      <c r="H19" t="str">
        <f t="shared" si="1"/>
        <v/>
      </c>
      <c r="O19" t="str">
        <f t="shared" ca="1" si="2"/>
        <v/>
      </c>
    </row>
    <row r="20" spans="7:15" x14ac:dyDescent="0.25">
      <c r="G20" t="str">
        <f t="shared" si="0"/>
        <v/>
      </c>
      <c r="H20" t="str">
        <f t="shared" si="1"/>
        <v/>
      </c>
      <c r="O20" t="str">
        <f t="shared" ca="1" si="2"/>
        <v/>
      </c>
    </row>
    <row r="21" spans="7:15" x14ac:dyDescent="0.25">
      <c r="G21" t="str">
        <f t="shared" si="0"/>
        <v/>
      </c>
      <c r="H21" t="str">
        <f t="shared" si="1"/>
        <v/>
      </c>
      <c r="O21" t="str">
        <f t="shared" ca="1" si="2"/>
        <v/>
      </c>
    </row>
    <row r="22" spans="7:15" x14ac:dyDescent="0.25">
      <c r="G22" t="str">
        <f t="shared" si="0"/>
        <v/>
      </c>
      <c r="H22" t="str">
        <f t="shared" si="1"/>
        <v/>
      </c>
      <c r="O22" t="str">
        <f t="shared" ca="1" si="2"/>
        <v/>
      </c>
    </row>
    <row r="23" spans="7:15" x14ac:dyDescent="0.25">
      <c r="G23" t="str">
        <f t="shared" si="0"/>
        <v/>
      </c>
      <c r="H23" t="str">
        <f t="shared" si="1"/>
        <v/>
      </c>
      <c r="O23" t="str">
        <f t="shared" ca="1" si="2"/>
        <v/>
      </c>
    </row>
    <row r="24" spans="7:15" x14ac:dyDescent="0.25">
      <c r="G24" t="str">
        <f t="shared" si="0"/>
        <v/>
      </c>
      <c r="H24" t="str">
        <f t="shared" si="1"/>
        <v/>
      </c>
      <c r="O24" t="str">
        <f t="shared" ca="1" si="2"/>
        <v/>
      </c>
    </row>
    <row r="25" spans="7:15" x14ac:dyDescent="0.25">
      <c r="G25" t="str">
        <f t="shared" si="0"/>
        <v/>
      </c>
      <c r="H25" t="str">
        <f t="shared" si="1"/>
        <v/>
      </c>
      <c r="O25" t="str">
        <f t="shared" ca="1" si="2"/>
        <v/>
      </c>
    </row>
    <row r="26" spans="7:15" x14ac:dyDescent="0.25">
      <c r="G26" t="str">
        <f t="shared" si="0"/>
        <v/>
      </c>
      <c r="H26" t="str">
        <f t="shared" si="1"/>
        <v/>
      </c>
      <c r="O26" t="str">
        <f t="shared" ca="1" si="2"/>
        <v/>
      </c>
    </row>
    <row r="27" spans="7:15" x14ac:dyDescent="0.25">
      <c r="G27" t="str">
        <f t="shared" si="0"/>
        <v/>
      </c>
      <c r="H27" t="str">
        <f t="shared" si="1"/>
        <v/>
      </c>
      <c r="O27" t="str">
        <f t="shared" ca="1" si="2"/>
        <v/>
      </c>
    </row>
    <row r="28" spans="7:15" x14ac:dyDescent="0.25">
      <c r="G28" t="str">
        <f t="shared" si="0"/>
        <v/>
      </c>
      <c r="H28" t="str">
        <f t="shared" si="1"/>
        <v/>
      </c>
      <c r="O28" t="str">
        <f t="shared" ca="1" si="2"/>
        <v/>
      </c>
    </row>
    <row r="29" spans="7:15" x14ac:dyDescent="0.25">
      <c r="G29" t="str">
        <f t="shared" si="0"/>
        <v/>
      </c>
      <c r="H29" t="str">
        <f t="shared" si="1"/>
        <v/>
      </c>
      <c r="O29" t="str">
        <f t="shared" ca="1" si="2"/>
        <v/>
      </c>
    </row>
    <row r="30" spans="7:15" x14ac:dyDescent="0.25">
      <c r="G30" t="str">
        <f t="shared" si="0"/>
        <v/>
      </c>
      <c r="H30" t="str">
        <f t="shared" si="1"/>
        <v/>
      </c>
      <c r="O30" t="str">
        <f t="shared" ca="1" si="2"/>
        <v/>
      </c>
    </row>
    <row r="31" spans="7:15" x14ac:dyDescent="0.25">
      <c r="G31" t="str">
        <f t="shared" si="0"/>
        <v/>
      </c>
      <c r="H31" t="str">
        <f t="shared" si="1"/>
        <v/>
      </c>
      <c r="O31" t="str">
        <f t="shared" ca="1" si="2"/>
        <v/>
      </c>
    </row>
    <row r="32" spans="7:15" x14ac:dyDescent="0.25">
      <c r="G32" t="str">
        <f t="shared" si="0"/>
        <v/>
      </c>
      <c r="H32" t="str">
        <f t="shared" si="1"/>
        <v/>
      </c>
      <c r="O32" t="str">
        <f t="shared" ca="1" si="2"/>
        <v/>
      </c>
    </row>
    <row r="33" spans="7:15" x14ac:dyDescent="0.25">
      <c r="G33" t="str">
        <f t="shared" si="0"/>
        <v/>
      </c>
      <c r="H33" t="str">
        <f t="shared" si="1"/>
        <v/>
      </c>
      <c r="O33" t="str">
        <f t="shared" ca="1" si="2"/>
        <v/>
      </c>
    </row>
    <row r="34" spans="7:15" x14ac:dyDescent="0.25">
      <c r="G34" t="str">
        <f t="shared" si="0"/>
        <v/>
      </c>
      <c r="H34" t="str">
        <f t="shared" si="1"/>
        <v/>
      </c>
      <c r="O34" t="str">
        <f t="shared" ca="1" si="2"/>
        <v/>
      </c>
    </row>
    <row r="35" spans="7:15" x14ac:dyDescent="0.25">
      <c r="G35" t="str">
        <f t="shared" si="0"/>
        <v/>
      </c>
      <c r="H35" t="str">
        <f t="shared" si="1"/>
        <v/>
      </c>
      <c r="O35" t="str">
        <f t="shared" ca="1" si="2"/>
        <v/>
      </c>
    </row>
    <row r="36" spans="7:15" x14ac:dyDescent="0.25">
      <c r="G36" t="str">
        <f t="shared" si="0"/>
        <v/>
      </c>
      <c r="H36" t="str">
        <f t="shared" si="1"/>
        <v/>
      </c>
      <c r="O36" t="str">
        <f t="shared" ca="1" si="2"/>
        <v/>
      </c>
    </row>
    <row r="37" spans="7:15" x14ac:dyDescent="0.25">
      <c r="G37" t="str">
        <f t="shared" si="0"/>
        <v/>
      </c>
      <c r="H37" t="str">
        <f t="shared" si="1"/>
        <v/>
      </c>
      <c r="O37" t="str">
        <f t="shared" ca="1" si="2"/>
        <v/>
      </c>
    </row>
    <row r="38" spans="7:15" x14ac:dyDescent="0.25">
      <c r="G38" t="str">
        <f t="shared" si="0"/>
        <v/>
      </c>
      <c r="H38" t="str">
        <f t="shared" si="1"/>
        <v/>
      </c>
      <c r="O38" t="str">
        <f t="shared" ca="1" si="2"/>
        <v/>
      </c>
    </row>
    <row r="39" spans="7:15" x14ac:dyDescent="0.25">
      <c r="G39" t="str">
        <f t="shared" si="0"/>
        <v/>
      </c>
      <c r="H39" t="str">
        <f t="shared" si="1"/>
        <v/>
      </c>
      <c r="O39" t="str">
        <f t="shared" ca="1" si="2"/>
        <v/>
      </c>
    </row>
    <row r="40" spans="7:15" x14ac:dyDescent="0.25">
      <c r="G40" t="str">
        <f t="shared" si="0"/>
        <v/>
      </c>
      <c r="H40" t="str">
        <f t="shared" si="1"/>
        <v/>
      </c>
      <c r="O40" t="str">
        <f t="shared" ca="1" si="2"/>
        <v/>
      </c>
    </row>
    <row r="41" spans="7:15" x14ac:dyDescent="0.25">
      <c r="G41" t="str">
        <f t="shared" si="0"/>
        <v/>
      </c>
      <c r="H41" t="str">
        <f t="shared" si="1"/>
        <v/>
      </c>
      <c r="O41" t="str">
        <f t="shared" ca="1" si="2"/>
        <v/>
      </c>
    </row>
    <row r="42" spans="7:15" x14ac:dyDescent="0.25">
      <c r="G42" t="str">
        <f t="shared" si="0"/>
        <v/>
      </c>
      <c r="H42" t="str">
        <f t="shared" si="1"/>
        <v/>
      </c>
      <c r="O42" t="str">
        <f t="shared" ca="1" si="2"/>
        <v/>
      </c>
    </row>
    <row r="43" spans="7:15" x14ac:dyDescent="0.25">
      <c r="G43" t="str">
        <f t="shared" si="0"/>
        <v/>
      </c>
      <c r="H43" t="str">
        <f t="shared" si="1"/>
        <v/>
      </c>
      <c r="O43" t="str">
        <f t="shared" ca="1" si="2"/>
        <v/>
      </c>
    </row>
    <row r="44" spans="7:15" x14ac:dyDescent="0.25">
      <c r="G44" t="str">
        <f t="shared" si="0"/>
        <v/>
      </c>
      <c r="H44" t="str">
        <f t="shared" si="1"/>
        <v/>
      </c>
      <c r="O44" t="str">
        <f t="shared" ca="1" si="2"/>
        <v/>
      </c>
    </row>
    <row r="45" spans="7:15" x14ac:dyDescent="0.25">
      <c r="G45" t="str">
        <f t="shared" si="0"/>
        <v/>
      </c>
      <c r="H45" t="str">
        <f t="shared" si="1"/>
        <v/>
      </c>
      <c r="O45" t="str">
        <f t="shared" ca="1" si="2"/>
        <v/>
      </c>
    </row>
    <row r="46" spans="7:15" x14ac:dyDescent="0.25">
      <c r="G46" t="str">
        <f t="shared" si="0"/>
        <v/>
      </c>
      <c r="H46" t="str">
        <f t="shared" si="1"/>
        <v/>
      </c>
      <c r="O46" t="str">
        <f t="shared" ca="1" si="2"/>
        <v/>
      </c>
    </row>
    <row r="47" spans="7:15" x14ac:dyDescent="0.25">
      <c r="G47" t="str">
        <f t="shared" si="0"/>
        <v/>
      </c>
      <c r="H47" t="str">
        <f t="shared" si="1"/>
        <v/>
      </c>
      <c r="O47" t="str">
        <f t="shared" ca="1" si="2"/>
        <v/>
      </c>
    </row>
    <row r="48" spans="7:15" x14ac:dyDescent="0.25">
      <c r="G48" t="str">
        <f t="shared" si="0"/>
        <v/>
      </c>
      <c r="H48" t="str">
        <f t="shared" si="1"/>
        <v/>
      </c>
      <c r="O48" t="str">
        <f t="shared" ca="1" si="2"/>
        <v/>
      </c>
    </row>
    <row r="49" spans="7:15" x14ac:dyDescent="0.25">
      <c r="G49" t="str">
        <f t="shared" si="0"/>
        <v/>
      </c>
      <c r="H49" t="str">
        <f t="shared" si="1"/>
        <v/>
      </c>
      <c r="O49" t="str">
        <f t="shared" ca="1" si="2"/>
        <v/>
      </c>
    </row>
    <row r="50" spans="7:15" x14ac:dyDescent="0.25">
      <c r="G50" t="str">
        <f t="shared" si="0"/>
        <v/>
      </c>
      <c r="H50" t="str">
        <f t="shared" si="1"/>
        <v/>
      </c>
      <c r="O50" t="str">
        <f t="shared" ca="1" si="2"/>
        <v/>
      </c>
    </row>
    <row r="51" spans="7:15" x14ac:dyDescent="0.25">
      <c r="G51" t="str">
        <f t="shared" si="0"/>
        <v/>
      </c>
      <c r="H51" t="str">
        <f t="shared" si="1"/>
        <v/>
      </c>
      <c r="O51" t="str">
        <f t="shared" ca="1" si="2"/>
        <v/>
      </c>
    </row>
    <row r="52" spans="7:15" x14ac:dyDescent="0.25">
      <c r="G52" t="str">
        <f t="shared" si="0"/>
        <v/>
      </c>
      <c r="H52" t="str">
        <f t="shared" si="1"/>
        <v/>
      </c>
      <c r="O52" t="str">
        <f t="shared" ca="1" si="2"/>
        <v/>
      </c>
    </row>
    <row r="53" spans="7:15" x14ac:dyDescent="0.25">
      <c r="G53" t="str">
        <f t="shared" si="0"/>
        <v/>
      </c>
      <c r="H53" t="str">
        <f t="shared" si="1"/>
        <v/>
      </c>
      <c r="O53" t="str">
        <f t="shared" ca="1" si="2"/>
        <v/>
      </c>
    </row>
    <row r="54" spans="7:15" x14ac:dyDescent="0.25">
      <c r="G54" t="str">
        <f t="shared" si="0"/>
        <v/>
      </c>
      <c r="H54" t="str">
        <f t="shared" si="1"/>
        <v/>
      </c>
      <c r="O54" t="str">
        <f t="shared" ca="1" si="2"/>
        <v/>
      </c>
    </row>
    <row r="55" spans="7:15" x14ac:dyDescent="0.25">
      <c r="G55" t="str">
        <f t="shared" si="0"/>
        <v/>
      </c>
      <c r="H55" t="str">
        <f t="shared" si="1"/>
        <v/>
      </c>
      <c r="O55" t="str">
        <f t="shared" ca="1" si="2"/>
        <v/>
      </c>
    </row>
    <row r="56" spans="7:15" x14ac:dyDescent="0.25">
      <c r="G56" t="str">
        <f t="shared" si="0"/>
        <v/>
      </c>
      <c r="H56" t="str">
        <f t="shared" si="1"/>
        <v/>
      </c>
      <c r="O56" t="str">
        <f t="shared" ca="1" si="2"/>
        <v/>
      </c>
    </row>
    <row r="57" spans="7:15" x14ac:dyDescent="0.25">
      <c r="G57" t="str">
        <f t="shared" si="0"/>
        <v/>
      </c>
      <c r="H57" t="str">
        <f t="shared" si="1"/>
        <v/>
      </c>
      <c r="O57" t="str">
        <f t="shared" ca="1" si="2"/>
        <v/>
      </c>
    </row>
    <row r="58" spans="7:15" x14ac:dyDescent="0.25">
      <c r="G58" t="str">
        <f t="shared" si="0"/>
        <v/>
      </c>
      <c r="H58" t="str">
        <f t="shared" si="1"/>
        <v/>
      </c>
      <c r="O58" t="str">
        <f t="shared" ca="1" si="2"/>
        <v/>
      </c>
    </row>
    <row r="59" spans="7:15" x14ac:dyDescent="0.25">
      <c r="G59" t="str">
        <f t="shared" si="0"/>
        <v/>
      </c>
      <c r="H59" t="str">
        <f t="shared" si="1"/>
        <v/>
      </c>
      <c r="O59" t="str">
        <f t="shared" ca="1" si="2"/>
        <v/>
      </c>
    </row>
    <row r="60" spans="7:15" x14ac:dyDescent="0.25">
      <c r="G60" t="str">
        <f t="shared" si="0"/>
        <v/>
      </c>
      <c r="H60" t="str">
        <f t="shared" si="1"/>
        <v/>
      </c>
      <c r="O60" t="str">
        <f t="shared" ca="1" si="2"/>
        <v/>
      </c>
    </row>
    <row r="61" spans="7:15" x14ac:dyDescent="0.25">
      <c r="G61" t="str">
        <f t="shared" si="0"/>
        <v/>
      </c>
      <c r="H61" t="str">
        <f t="shared" si="1"/>
        <v/>
      </c>
      <c r="O61" t="str">
        <f t="shared" ca="1" si="2"/>
        <v/>
      </c>
    </row>
    <row r="62" spans="7:15" x14ac:dyDescent="0.25">
      <c r="G62" t="str">
        <f t="shared" si="0"/>
        <v/>
      </c>
      <c r="H62" t="str">
        <f t="shared" si="1"/>
        <v/>
      </c>
      <c r="O62" t="str">
        <f t="shared" ca="1" si="2"/>
        <v/>
      </c>
    </row>
    <row r="63" spans="7:15" x14ac:dyDescent="0.25">
      <c r="G63" t="str">
        <f t="shared" si="0"/>
        <v/>
      </c>
      <c r="H63" t="str">
        <f t="shared" si="1"/>
        <v/>
      </c>
      <c r="O63" t="str">
        <f t="shared" ca="1" si="2"/>
        <v/>
      </c>
    </row>
    <row r="64" spans="7:15" x14ac:dyDescent="0.25">
      <c r="G64" t="str">
        <f t="shared" si="0"/>
        <v/>
      </c>
      <c r="H64" t="str">
        <f t="shared" si="1"/>
        <v/>
      </c>
      <c r="O64" t="str">
        <f t="shared" ca="1" si="2"/>
        <v/>
      </c>
    </row>
    <row r="65" spans="7:15" x14ac:dyDescent="0.25">
      <c r="G65" t="str">
        <f t="shared" si="0"/>
        <v/>
      </c>
      <c r="H65" t="str">
        <f t="shared" si="1"/>
        <v/>
      </c>
      <c r="O65" t="str">
        <f t="shared" ca="1" si="2"/>
        <v/>
      </c>
    </row>
    <row r="66" spans="7:15" x14ac:dyDescent="0.25">
      <c r="G66" t="str">
        <f t="shared" ref="G66:G129" si="3">IF(A66="","",IF(AND(E66&lt;&gt;"",F66&lt;&gt;""),E66*F66,""))</f>
        <v/>
      </c>
      <c r="H66" t="str">
        <f t="shared" ref="H66:H129" si="4">IF(G66="","",IF(G66&gt;=15,"High",IF(G66&gt;=8,"Medium","Low")))</f>
        <v/>
      </c>
      <c r="O66" t="str">
        <f t="shared" ref="O66:O129" ca="1" si="5">IF(A66="","",IF(OR(M66="Closed",N66=""),"",TODAY()-N66))</f>
        <v/>
      </c>
    </row>
    <row r="67" spans="7:15" x14ac:dyDescent="0.25">
      <c r="G67" t="str">
        <f t="shared" si="3"/>
        <v/>
      </c>
      <c r="H67" t="str">
        <f t="shared" si="4"/>
        <v/>
      </c>
      <c r="O67" t="str">
        <f t="shared" ca="1" si="5"/>
        <v/>
      </c>
    </row>
    <row r="68" spans="7:15" x14ac:dyDescent="0.25">
      <c r="G68" t="str">
        <f t="shared" si="3"/>
        <v/>
      </c>
      <c r="H68" t="str">
        <f t="shared" si="4"/>
        <v/>
      </c>
      <c r="O68" t="str">
        <f t="shared" ca="1" si="5"/>
        <v/>
      </c>
    </row>
    <row r="69" spans="7:15" x14ac:dyDescent="0.25">
      <c r="G69" t="str">
        <f t="shared" si="3"/>
        <v/>
      </c>
      <c r="H69" t="str">
        <f t="shared" si="4"/>
        <v/>
      </c>
      <c r="O69" t="str">
        <f t="shared" ca="1" si="5"/>
        <v/>
      </c>
    </row>
    <row r="70" spans="7:15" x14ac:dyDescent="0.25">
      <c r="G70" t="str">
        <f t="shared" si="3"/>
        <v/>
      </c>
      <c r="H70" t="str">
        <f t="shared" si="4"/>
        <v/>
      </c>
      <c r="O70" t="str">
        <f t="shared" ca="1" si="5"/>
        <v/>
      </c>
    </row>
    <row r="71" spans="7:15" x14ac:dyDescent="0.25">
      <c r="G71" t="str">
        <f t="shared" si="3"/>
        <v/>
      </c>
      <c r="H71" t="str">
        <f t="shared" si="4"/>
        <v/>
      </c>
      <c r="O71" t="str">
        <f t="shared" ca="1" si="5"/>
        <v/>
      </c>
    </row>
    <row r="72" spans="7:15" x14ac:dyDescent="0.25">
      <c r="G72" t="str">
        <f t="shared" si="3"/>
        <v/>
      </c>
      <c r="H72" t="str">
        <f t="shared" si="4"/>
        <v/>
      </c>
      <c r="O72" t="str">
        <f t="shared" ca="1" si="5"/>
        <v/>
      </c>
    </row>
    <row r="73" spans="7:15" x14ac:dyDescent="0.25">
      <c r="G73" t="str">
        <f t="shared" si="3"/>
        <v/>
      </c>
      <c r="H73" t="str">
        <f t="shared" si="4"/>
        <v/>
      </c>
      <c r="O73" t="str">
        <f t="shared" ca="1" si="5"/>
        <v/>
      </c>
    </row>
    <row r="74" spans="7:15" x14ac:dyDescent="0.25">
      <c r="G74" t="str">
        <f t="shared" si="3"/>
        <v/>
      </c>
      <c r="H74" t="str">
        <f t="shared" si="4"/>
        <v/>
      </c>
      <c r="O74" t="str">
        <f t="shared" ca="1" si="5"/>
        <v/>
      </c>
    </row>
    <row r="75" spans="7:15" x14ac:dyDescent="0.25">
      <c r="G75" t="str">
        <f t="shared" si="3"/>
        <v/>
      </c>
      <c r="H75" t="str">
        <f t="shared" si="4"/>
        <v/>
      </c>
      <c r="O75" t="str">
        <f t="shared" ca="1" si="5"/>
        <v/>
      </c>
    </row>
    <row r="76" spans="7:15" x14ac:dyDescent="0.25">
      <c r="G76" t="str">
        <f t="shared" si="3"/>
        <v/>
      </c>
      <c r="H76" t="str">
        <f t="shared" si="4"/>
        <v/>
      </c>
      <c r="O76" t="str">
        <f t="shared" ca="1" si="5"/>
        <v/>
      </c>
    </row>
    <row r="77" spans="7:15" x14ac:dyDescent="0.25">
      <c r="G77" t="str">
        <f t="shared" si="3"/>
        <v/>
      </c>
      <c r="H77" t="str">
        <f t="shared" si="4"/>
        <v/>
      </c>
      <c r="O77" t="str">
        <f t="shared" ca="1" si="5"/>
        <v/>
      </c>
    </row>
    <row r="78" spans="7:15" x14ac:dyDescent="0.25">
      <c r="G78" t="str">
        <f t="shared" si="3"/>
        <v/>
      </c>
      <c r="H78" t="str">
        <f t="shared" si="4"/>
        <v/>
      </c>
      <c r="O78" t="str">
        <f t="shared" ca="1" si="5"/>
        <v/>
      </c>
    </row>
    <row r="79" spans="7:15" x14ac:dyDescent="0.25">
      <c r="G79" t="str">
        <f t="shared" si="3"/>
        <v/>
      </c>
      <c r="H79" t="str">
        <f t="shared" si="4"/>
        <v/>
      </c>
      <c r="O79" t="str">
        <f t="shared" ca="1" si="5"/>
        <v/>
      </c>
    </row>
    <row r="80" spans="7:15" x14ac:dyDescent="0.25">
      <c r="G80" t="str">
        <f t="shared" si="3"/>
        <v/>
      </c>
      <c r="H80" t="str">
        <f t="shared" si="4"/>
        <v/>
      </c>
      <c r="O80" t="str">
        <f t="shared" ca="1" si="5"/>
        <v/>
      </c>
    </row>
    <row r="81" spans="7:15" x14ac:dyDescent="0.25">
      <c r="G81" t="str">
        <f t="shared" si="3"/>
        <v/>
      </c>
      <c r="H81" t="str">
        <f t="shared" si="4"/>
        <v/>
      </c>
      <c r="O81" t="str">
        <f t="shared" ca="1" si="5"/>
        <v/>
      </c>
    </row>
    <row r="82" spans="7:15" x14ac:dyDescent="0.25">
      <c r="G82" t="str">
        <f t="shared" si="3"/>
        <v/>
      </c>
      <c r="H82" t="str">
        <f t="shared" si="4"/>
        <v/>
      </c>
      <c r="O82" t="str">
        <f t="shared" ca="1" si="5"/>
        <v/>
      </c>
    </row>
    <row r="83" spans="7:15" x14ac:dyDescent="0.25">
      <c r="G83" t="str">
        <f t="shared" si="3"/>
        <v/>
      </c>
      <c r="H83" t="str">
        <f t="shared" si="4"/>
        <v/>
      </c>
      <c r="O83" t="str">
        <f t="shared" ca="1" si="5"/>
        <v/>
      </c>
    </row>
    <row r="84" spans="7:15" x14ac:dyDescent="0.25">
      <c r="G84" t="str">
        <f t="shared" si="3"/>
        <v/>
      </c>
      <c r="H84" t="str">
        <f t="shared" si="4"/>
        <v/>
      </c>
      <c r="O84" t="str">
        <f t="shared" ca="1" si="5"/>
        <v/>
      </c>
    </row>
    <row r="85" spans="7:15" x14ac:dyDescent="0.25">
      <c r="G85" t="str">
        <f t="shared" si="3"/>
        <v/>
      </c>
      <c r="H85" t="str">
        <f t="shared" si="4"/>
        <v/>
      </c>
      <c r="O85" t="str">
        <f t="shared" ca="1" si="5"/>
        <v/>
      </c>
    </row>
    <row r="86" spans="7:15" x14ac:dyDescent="0.25">
      <c r="G86" t="str">
        <f t="shared" si="3"/>
        <v/>
      </c>
      <c r="H86" t="str">
        <f t="shared" si="4"/>
        <v/>
      </c>
      <c r="O86" t="str">
        <f t="shared" ca="1" si="5"/>
        <v/>
      </c>
    </row>
    <row r="87" spans="7:15" x14ac:dyDescent="0.25">
      <c r="G87" t="str">
        <f t="shared" si="3"/>
        <v/>
      </c>
      <c r="H87" t="str">
        <f t="shared" si="4"/>
        <v/>
      </c>
      <c r="O87" t="str">
        <f t="shared" ca="1" si="5"/>
        <v/>
      </c>
    </row>
    <row r="88" spans="7:15" x14ac:dyDescent="0.25">
      <c r="G88" t="str">
        <f t="shared" si="3"/>
        <v/>
      </c>
      <c r="H88" t="str">
        <f t="shared" si="4"/>
        <v/>
      </c>
      <c r="O88" t="str">
        <f t="shared" ca="1" si="5"/>
        <v/>
      </c>
    </row>
    <row r="89" spans="7:15" x14ac:dyDescent="0.25">
      <c r="G89" t="str">
        <f t="shared" si="3"/>
        <v/>
      </c>
      <c r="H89" t="str">
        <f t="shared" si="4"/>
        <v/>
      </c>
      <c r="O89" t="str">
        <f t="shared" ca="1" si="5"/>
        <v/>
      </c>
    </row>
    <row r="90" spans="7:15" x14ac:dyDescent="0.25">
      <c r="G90" t="str">
        <f t="shared" si="3"/>
        <v/>
      </c>
      <c r="H90" t="str">
        <f t="shared" si="4"/>
        <v/>
      </c>
      <c r="O90" t="str">
        <f t="shared" ca="1" si="5"/>
        <v/>
      </c>
    </row>
    <row r="91" spans="7:15" x14ac:dyDescent="0.25">
      <c r="G91" t="str">
        <f t="shared" si="3"/>
        <v/>
      </c>
      <c r="H91" t="str">
        <f t="shared" si="4"/>
        <v/>
      </c>
      <c r="O91" t="str">
        <f t="shared" ca="1" si="5"/>
        <v/>
      </c>
    </row>
    <row r="92" spans="7:15" x14ac:dyDescent="0.25">
      <c r="G92" t="str">
        <f t="shared" si="3"/>
        <v/>
      </c>
      <c r="H92" t="str">
        <f t="shared" si="4"/>
        <v/>
      </c>
      <c r="O92" t="str">
        <f t="shared" ca="1" si="5"/>
        <v/>
      </c>
    </row>
    <row r="93" spans="7:15" x14ac:dyDescent="0.25">
      <c r="G93" t="str">
        <f t="shared" si="3"/>
        <v/>
      </c>
      <c r="H93" t="str">
        <f t="shared" si="4"/>
        <v/>
      </c>
      <c r="O93" t="str">
        <f t="shared" ca="1" si="5"/>
        <v/>
      </c>
    </row>
    <row r="94" spans="7:15" x14ac:dyDescent="0.25">
      <c r="G94" t="str">
        <f t="shared" si="3"/>
        <v/>
      </c>
      <c r="H94" t="str">
        <f t="shared" si="4"/>
        <v/>
      </c>
      <c r="O94" t="str">
        <f t="shared" ca="1" si="5"/>
        <v/>
      </c>
    </row>
    <row r="95" spans="7:15" x14ac:dyDescent="0.25">
      <c r="G95" t="str">
        <f t="shared" si="3"/>
        <v/>
      </c>
      <c r="H95" t="str">
        <f t="shared" si="4"/>
        <v/>
      </c>
      <c r="O95" t="str">
        <f t="shared" ca="1" si="5"/>
        <v/>
      </c>
    </row>
    <row r="96" spans="7:15" x14ac:dyDescent="0.25">
      <c r="G96" t="str">
        <f t="shared" si="3"/>
        <v/>
      </c>
      <c r="H96" t="str">
        <f t="shared" si="4"/>
        <v/>
      </c>
      <c r="O96" t="str">
        <f t="shared" ca="1" si="5"/>
        <v/>
      </c>
    </row>
    <row r="97" spans="7:15" x14ac:dyDescent="0.25">
      <c r="G97" t="str">
        <f t="shared" si="3"/>
        <v/>
      </c>
      <c r="H97" t="str">
        <f t="shared" si="4"/>
        <v/>
      </c>
      <c r="O97" t="str">
        <f t="shared" ca="1" si="5"/>
        <v/>
      </c>
    </row>
    <row r="98" spans="7:15" x14ac:dyDescent="0.25">
      <c r="G98" t="str">
        <f t="shared" si="3"/>
        <v/>
      </c>
      <c r="H98" t="str">
        <f t="shared" si="4"/>
        <v/>
      </c>
      <c r="O98" t="str">
        <f t="shared" ca="1" si="5"/>
        <v/>
      </c>
    </row>
    <row r="99" spans="7:15" x14ac:dyDescent="0.25">
      <c r="G99" t="str">
        <f t="shared" si="3"/>
        <v/>
      </c>
      <c r="H99" t="str">
        <f t="shared" si="4"/>
        <v/>
      </c>
      <c r="O99" t="str">
        <f t="shared" ca="1" si="5"/>
        <v/>
      </c>
    </row>
    <row r="100" spans="7:15" x14ac:dyDescent="0.25">
      <c r="G100" t="str">
        <f t="shared" si="3"/>
        <v/>
      </c>
      <c r="H100" t="str">
        <f t="shared" si="4"/>
        <v/>
      </c>
      <c r="O100" t="str">
        <f t="shared" ca="1" si="5"/>
        <v/>
      </c>
    </row>
    <row r="101" spans="7:15" x14ac:dyDescent="0.25">
      <c r="G101" t="str">
        <f t="shared" si="3"/>
        <v/>
      </c>
      <c r="H101" t="str">
        <f t="shared" si="4"/>
        <v/>
      </c>
      <c r="O101" t="str">
        <f t="shared" ca="1" si="5"/>
        <v/>
      </c>
    </row>
    <row r="102" spans="7:15" x14ac:dyDescent="0.25">
      <c r="G102" t="str">
        <f t="shared" si="3"/>
        <v/>
      </c>
      <c r="H102" t="str">
        <f t="shared" si="4"/>
        <v/>
      </c>
      <c r="O102" t="str">
        <f t="shared" ca="1" si="5"/>
        <v/>
      </c>
    </row>
    <row r="103" spans="7:15" x14ac:dyDescent="0.25">
      <c r="G103" t="str">
        <f t="shared" si="3"/>
        <v/>
      </c>
      <c r="H103" t="str">
        <f t="shared" si="4"/>
        <v/>
      </c>
      <c r="O103" t="str">
        <f t="shared" ca="1" si="5"/>
        <v/>
      </c>
    </row>
    <row r="104" spans="7:15" x14ac:dyDescent="0.25">
      <c r="G104" t="str">
        <f t="shared" si="3"/>
        <v/>
      </c>
      <c r="H104" t="str">
        <f t="shared" si="4"/>
        <v/>
      </c>
      <c r="O104" t="str">
        <f t="shared" ca="1" si="5"/>
        <v/>
      </c>
    </row>
    <row r="105" spans="7:15" x14ac:dyDescent="0.25">
      <c r="G105" t="str">
        <f t="shared" si="3"/>
        <v/>
      </c>
      <c r="H105" t="str">
        <f t="shared" si="4"/>
        <v/>
      </c>
      <c r="O105" t="str">
        <f t="shared" ca="1" si="5"/>
        <v/>
      </c>
    </row>
    <row r="106" spans="7:15" x14ac:dyDescent="0.25">
      <c r="G106" t="str">
        <f t="shared" si="3"/>
        <v/>
      </c>
      <c r="H106" t="str">
        <f t="shared" si="4"/>
        <v/>
      </c>
      <c r="O106" t="str">
        <f t="shared" ca="1" si="5"/>
        <v/>
      </c>
    </row>
    <row r="107" spans="7:15" x14ac:dyDescent="0.25">
      <c r="G107" t="str">
        <f t="shared" si="3"/>
        <v/>
      </c>
      <c r="H107" t="str">
        <f t="shared" si="4"/>
        <v/>
      </c>
      <c r="O107" t="str">
        <f t="shared" ca="1" si="5"/>
        <v/>
      </c>
    </row>
    <row r="108" spans="7:15" x14ac:dyDescent="0.25">
      <c r="G108" t="str">
        <f t="shared" si="3"/>
        <v/>
      </c>
      <c r="H108" t="str">
        <f t="shared" si="4"/>
        <v/>
      </c>
      <c r="O108" t="str">
        <f t="shared" ca="1" si="5"/>
        <v/>
      </c>
    </row>
    <row r="109" spans="7:15" x14ac:dyDescent="0.25">
      <c r="G109" t="str">
        <f t="shared" si="3"/>
        <v/>
      </c>
      <c r="H109" t="str">
        <f t="shared" si="4"/>
        <v/>
      </c>
      <c r="O109" t="str">
        <f t="shared" ca="1" si="5"/>
        <v/>
      </c>
    </row>
    <row r="110" spans="7:15" x14ac:dyDescent="0.25">
      <c r="G110" t="str">
        <f t="shared" si="3"/>
        <v/>
      </c>
      <c r="H110" t="str">
        <f t="shared" si="4"/>
        <v/>
      </c>
      <c r="O110" t="str">
        <f t="shared" ca="1" si="5"/>
        <v/>
      </c>
    </row>
    <row r="111" spans="7:15" x14ac:dyDescent="0.25">
      <c r="G111" t="str">
        <f t="shared" si="3"/>
        <v/>
      </c>
      <c r="H111" t="str">
        <f t="shared" si="4"/>
        <v/>
      </c>
      <c r="O111" t="str">
        <f t="shared" ca="1" si="5"/>
        <v/>
      </c>
    </row>
    <row r="112" spans="7:15" x14ac:dyDescent="0.25">
      <c r="G112" t="str">
        <f t="shared" si="3"/>
        <v/>
      </c>
      <c r="H112" t="str">
        <f t="shared" si="4"/>
        <v/>
      </c>
      <c r="O112" t="str">
        <f t="shared" ca="1" si="5"/>
        <v/>
      </c>
    </row>
    <row r="113" spans="7:15" x14ac:dyDescent="0.25">
      <c r="G113" t="str">
        <f t="shared" si="3"/>
        <v/>
      </c>
      <c r="H113" t="str">
        <f t="shared" si="4"/>
        <v/>
      </c>
      <c r="O113" t="str">
        <f t="shared" ca="1" si="5"/>
        <v/>
      </c>
    </row>
    <row r="114" spans="7:15" x14ac:dyDescent="0.25">
      <c r="G114" t="str">
        <f t="shared" si="3"/>
        <v/>
      </c>
      <c r="H114" t="str">
        <f t="shared" si="4"/>
        <v/>
      </c>
      <c r="O114" t="str">
        <f t="shared" ca="1" si="5"/>
        <v/>
      </c>
    </row>
    <row r="115" spans="7:15" x14ac:dyDescent="0.25">
      <c r="G115" t="str">
        <f t="shared" si="3"/>
        <v/>
      </c>
      <c r="H115" t="str">
        <f t="shared" si="4"/>
        <v/>
      </c>
      <c r="O115" t="str">
        <f t="shared" ca="1" si="5"/>
        <v/>
      </c>
    </row>
    <row r="116" spans="7:15" x14ac:dyDescent="0.25">
      <c r="G116" t="str">
        <f t="shared" si="3"/>
        <v/>
      </c>
      <c r="H116" t="str">
        <f t="shared" si="4"/>
        <v/>
      </c>
      <c r="O116" t="str">
        <f t="shared" ca="1" si="5"/>
        <v/>
      </c>
    </row>
    <row r="117" spans="7:15" x14ac:dyDescent="0.25">
      <c r="G117" t="str">
        <f t="shared" si="3"/>
        <v/>
      </c>
      <c r="H117" t="str">
        <f t="shared" si="4"/>
        <v/>
      </c>
      <c r="O117" t="str">
        <f t="shared" ca="1" si="5"/>
        <v/>
      </c>
    </row>
    <row r="118" spans="7:15" x14ac:dyDescent="0.25">
      <c r="G118" t="str">
        <f t="shared" si="3"/>
        <v/>
      </c>
      <c r="H118" t="str">
        <f t="shared" si="4"/>
        <v/>
      </c>
      <c r="O118" t="str">
        <f t="shared" ca="1" si="5"/>
        <v/>
      </c>
    </row>
    <row r="119" spans="7:15" x14ac:dyDescent="0.25">
      <c r="G119" t="str">
        <f t="shared" si="3"/>
        <v/>
      </c>
      <c r="H119" t="str">
        <f t="shared" si="4"/>
        <v/>
      </c>
      <c r="O119" t="str">
        <f t="shared" ca="1" si="5"/>
        <v/>
      </c>
    </row>
    <row r="120" spans="7:15" x14ac:dyDescent="0.25">
      <c r="G120" t="str">
        <f t="shared" si="3"/>
        <v/>
      </c>
      <c r="H120" t="str">
        <f t="shared" si="4"/>
        <v/>
      </c>
      <c r="O120" t="str">
        <f t="shared" ca="1" si="5"/>
        <v/>
      </c>
    </row>
    <row r="121" spans="7:15" x14ac:dyDescent="0.25">
      <c r="G121" t="str">
        <f t="shared" si="3"/>
        <v/>
      </c>
      <c r="H121" t="str">
        <f t="shared" si="4"/>
        <v/>
      </c>
      <c r="O121" t="str">
        <f t="shared" ca="1" si="5"/>
        <v/>
      </c>
    </row>
    <row r="122" spans="7:15" x14ac:dyDescent="0.25">
      <c r="G122" t="str">
        <f t="shared" si="3"/>
        <v/>
      </c>
      <c r="H122" t="str">
        <f t="shared" si="4"/>
        <v/>
      </c>
      <c r="O122" t="str">
        <f t="shared" ca="1" si="5"/>
        <v/>
      </c>
    </row>
    <row r="123" spans="7:15" x14ac:dyDescent="0.25">
      <c r="G123" t="str">
        <f t="shared" si="3"/>
        <v/>
      </c>
      <c r="H123" t="str">
        <f t="shared" si="4"/>
        <v/>
      </c>
      <c r="O123" t="str">
        <f t="shared" ca="1" si="5"/>
        <v/>
      </c>
    </row>
    <row r="124" spans="7:15" x14ac:dyDescent="0.25">
      <c r="G124" t="str">
        <f t="shared" si="3"/>
        <v/>
      </c>
      <c r="H124" t="str">
        <f t="shared" si="4"/>
        <v/>
      </c>
      <c r="O124" t="str">
        <f t="shared" ca="1" si="5"/>
        <v/>
      </c>
    </row>
    <row r="125" spans="7:15" x14ac:dyDescent="0.25">
      <c r="G125" t="str">
        <f t="shared" si="3"/>
        <v/>
      </c>
      <c r="H125" t="str">
        <f t="shared" si="4"/>
        <v/>
      </c>
      <c r="O125" t="str">
        <f t="shared" ca="1" si="5"/>
        <v/>
      </c>
    </row>
    <row r="126" spans="7:15" x14ac:dyDescent="0.25">
      <c r="G126" t="str">
        <f t="shared" si="3"/>
        <v/>
      </c>
      <c r="H126" t="str">
        <f t="shared" si="4"/>
        <v/>
      </c>
      <c r="O126" t="str">
        <f t="shared" ca="1" si="5"/>
        <v/>
      </c>
    </row>
    <row r="127" spans="7:15" x14ac:dyDescent="0.25">
      <c r="G127" t="str">
        <f t="shared" si="3"/>
        <v/>
      </c>
      <c r="H127" t="str">
        <f t="shared" si="4"/>
        <v/>
      </c>
      <c r="O127" t="str">
        <f t="shared" ca="1" si="5"/>
        <v/>
      </c>
    </row>
    <row r="128" spans="7:15" x14ac:dyDescent="0.25">
      <c r="G128" t="str">
        <f t="shared" si="3"/>
        <v/>
      </c>
      <c r="H128" t="str">
        <f t="shared" si="4"/>
        <v/>
      </c>
      <c r="O128" t="str">
        <f t="shared" ca="1" si="5"/>
        <v/>
      </c>
    </row>
    <row r="129" spans="7:15" x14ac:dyDescent="0.25">
      <c r="G129" t="str">
        <f t="shared" si="3"/>
        <v/>
      </c>
      <c r="H129" t="str">
        <f t="shared" si="4"/>
        <v/>
      </c>
      <c r="O129" t="str">
        <f t="shared" ca="1" si="5"/>
        <v/>
      </c>
    </row>
    <row r="130" spans="7:15" x14ac:dyDescent="0.25">
      <c r="G130" t="str">
        <f t="shared" ref="G130:G193" si="6">IF(A130="","",IF(AND(E130&lt;&gt;"",F130&lt;&gt;""),E130*F130,""))</f>
        <v/>
      </c>
      <c r="H130" t="str">
        <f t="shared" ref="H130:H193" si="7">IF(G130="","",IF(G130&gt;=15,"High",IF(G130&gt;=8,"Medium","Low")))</f>
        <v/>
      </c>
      <c r="O130" t="str">
        <f t="shared" ref="O130:O193" ca="1" si="8">IF(A130="","",IF(OR(M130="Closed",N130=""),"",TODAY()-N130))</f>
        <v/>
      </c>
    </row>
    <row r="131" spans="7:15" x14ac:dyDescent="0.25">
      <c r="G131" t="str">
        <f t="shared" si="6"/>
        <v/>
      </c>
      <c r="H131" t="str">
        <f t="shared" si="7"/>
        <v/>
      </c>
      <c r="O131" t="str">
        <f t="shared" ca="1" si="8"/>
        <v/>
      </c>
    </row>
    <row r="132" spans="7:15" x14ac:dyDescent="0.25">
      <c r="G132" t="str">
        <f t="shared" si="6"/>
        <v/>
      </c>
      <c r="H132" t="str">
        <f t="shared" si="7"/>
        <v/>
      </c>
      <c r="O132" t="str">
        <f t="shared" ca="1" si="8"/>
        <v/>
      </c>
    </row>
    <row r="133" spans="7:15" x14ac:dyDescent="0.25">
      <c r="G133" t="str">
        <f t="shared" si="6"/>
        <v/>
      </c>
      <c r="H133" t="str">
        <f t="shared" si="7"/>
        <v/>
      </c>
      <c r="O133" t="str">
        <f t="shared" ca="1" si="8"/>
        <v/>
      </c>
    </row>
    <row r="134" spans="7:15" x14ac:dyDescent="0.25">
      <c r="G134" t="str">
        <f t="shared" si="6"/>
        <v/>
      </c>
      <c r="H134" t="str">
        <f t="shared" si="7"/>
        <v/>
      </c>
      <c r="O134" t="str">
        <f t="shared" ca="1" si="8"/>
        <v/>
      </c>
    </row>
    <row r="135" spans="7:15" x14ac:dyDescent="0.25">
      <c r="G135" t="str">
        <f t="shared" si="6"/>
        <v/>
      </c>
      <c r="H135" t="str">
        <f t="shared" si="7"/>
        <v/>
      </c>
      <c r="O135" t="str">
        <f t="shared" ca="1" si="8"/>
        <v/>
      </c>
    </row>
    <row r="136" spans="7:15" x14ac:dyDescent="0.25">
      <c r="G136" t="str">
        <f t="shared" si="6"/>
        <v/>
      </c>
      <c r="H136" t="str">
        <f t="shared" si="7"/>
        <v/>
      </c>
      <c r="O136" t="str">
        <f t="shared" ca="1" si="8"/>
        <v/>
      </c>
    </row>
    <row r="137" spans="7:15" x14ac:dyDescent="0.25">
      <c r="G137" t="str">
        <f t="shared" si="6"/>
        <v/>
      </c>
      <c r="H137" t="str">
        <f t="shared" si="7"/>
        <v/>
      </c>
      <c r="O137" t="str">
        <f t="shared" ca="1" si="8"/>
        <v/>
      </c>
    </row>
    <row r="138" spans="7:15" x14ac:dyDescent="0.25">
      <c r="G138" t="str">
        <f t="shared" si="6"/>
        <v/>
      </c>
      <c r="H138" t="str">
        <f t="shared" si="7"/>
        <v/>
      </c>
      <c r="O138" t="str">
        <f t="shared" ca="1" si="8"/>
        <v/>
      </c>
    </row>
    <row r="139" spans="7:15" x14ac:dyDescent="0.25">
      <c r="G139" t="str">
        <f t="shared" si="6"/>
        <v/>
      </c>
      <c r="H139" t="str">
        <f t="shared" si="7"/>
        <v/>
      </c>
      <c r="O139" t="str">
        <f t="shared" ca="1" si="8"/>
        <v/>
      </c>
    </row>
    <row r="140" spans="7:15" x14ac:dyDescent="0.25">
      <c r="G140" t="str">
        <f t="shared" si="6"/>
        <v/>
      </c>
      <c r="H140" t="str">
        <f t="shared" si="7"/>
        <v/>
      </c>
      <c r="O140" t="str">
        <f t="shared" ca="1" si="8"/>
        <v/>
      </c>
    </row>
    <row r="141" spans="7:15" x14ac:dyDescent="0.25">
      <c r="G141" t="str">
        <f t="shared" si="6"/>
        <v/>
      </c>
      <c r="H141" t="str">
        <f t="shared" si="7"/>
        <v/>
      </c>
      <c r="O141" t="str">
        <f t="shared" ca="1" si="8"/>
        <v/>
      </c>
    </row>
    <row r="142" spans="7:15" x14ac:dyDescent="0.25">
      <c r="G142" t="str">
        <f t="shared" si="6"/>
        <v/>
      </c>
      <c r="H142" t="str">
        <f t="shared" si="7"/>
        <v/>
      </c>
      <c r="O142" t="str">
        <f t="shared" ca="1" si="8"/>
        <v/>
      </c>
    </row>
    <row r="143" spans="7:15" x14ac:dyDescent="0.25">
      <c r="G143" t="str">
        <f t="shared" si="6"/>
        <v/>
      </c>
      <c r="H143" t="str">
        <f t="shared" si="7"/>
        <v/>
      </c>
      <c r="O143" t="str">
        <f t="shared" ca="1" si="8"/>
        <v/>
      </c>
    </row>
    <row r="144" spans="7:15" x14ac:dyDescent="0.25">
      <c r="G144" t="str">
        <f t="shared" si="6"/>
        <v/>
      </c>
      <c r="H144" t="str">
        <f t="shared" si="7"/>
        <v/>
      </c>
      <c r="O144" t="str">
        <f t="shared" ca="1" si="8"/>
        <v/>
      </c>
    </row>
    <row r="145" spans="7:15" x14ac:dyDescent="0.25">
      <c r="G145" t="str">
        <f t="shared" si="6"/>
        <v/>
      </c>
      <c r="H145" t="str">
        <f t="shared" si="7"/>
        <v/>
      </c>
      <c r="O145" t="str">
        <f t="shared" ca="1" si="8"/>
        <v/>
      </c>
    </row>
    <row r="146" spans="7:15" x14ac:dyDescent="0.25">
      <c r="G146" t="str">
        <f t="shared" si="6"/>
        <v/>
      </c>
      <c r="H146" t="str">
        <f t="shared" si="7"/>
        <v/>
      </c>
      <c r="O146" t="str">
        <f t="shared" ca="1" si="8"/>
        <v/>
      </c>
    </row>
    <row r="147" spans="7:15" x14ac:dyDescent="0.25">
      <c r="G147" t="str">
        <f t="shared" si="6"/>
        <v/>
      </c>
      <c r="H147" t="str">
        <f t="shared" si="7"/>
        <v/>
      </c>
      <c r="O147" t="str">
        <f t="shared" ca="1" si="8"/>
        <v/>
      </c>
    </row>
    <row r="148" spans="7:15" x14ac:dyDescent="0.25">
      <c r="G148" t="str">
        <f t="shared" si="6"/>
        <v/>
      </c>
      <c r="H148" t="str">
        <f t="shared" si="7"/>
        <v/>
      </c>
      <c r="O148" t="str">
        <f t="shared" ca="1" si="8"/>
        <v/>
      </c>
    </row>
    <row r="149" spans="7:15" x14ac:dyDescent="0.25">
      <c r="G149" t="str">
        <f t="shared" si="6"/>
        <v/>
      </c>
      <c r="H149" t="str">
        <f t="shared" si="7"/>
        <v/>
      </c>
      <c r="O149" t="str">
        <f t="shared" ca="1" si="8"/>
        <v/>
      </c>
    </row>
    <row r="150" spans="7:15" x14ac:dyDescent="0.25">
      <c r="G150" t="str">
        <f t="shared" si="6"/>
        <v/>
      </c>
      <c r="H150" t="str">
        <f t="shared" si="7"/>
        <v/>
      </c>
      <c r="O150" t="str">
        <f t="shared" ca="1" si="8"/>
        <v/>
      </c>
    </row>
    <row r="151" spans="7:15" x14ac:dyDescent="0.25">
      <c r="G151" t="str">
        <f t="shared" si="6"/>
        <v/>
      </c>
      <c r="H151" t="str">
        <f t="shared" si="7"/>
        <v/>
      </c>
      <c r="O151" t="str">
        <f t="shared" ca="1" si="8"/>
        <v/>
      </c>
    </row>
    <row r="152" spans="7:15" x14ac:dyDescent="0.25">
      <c r="G152" t="str">
        <f t="shared" si="6"/>
        <v/>
      </c>
      <c r="H152" t="str">
        <f t="shared" si="7"/>
        <v/>
      </c>
      <c r="O152" t="str">
        <f t="shared" ca="1" si="8"/>
        <v/>
      </c>
    </row>
    <row r="153" spans="7:15" x14ac:dyDescent="0.25">
      <c r="G153" t="str">
        <f t="shared" si="6"/>
        <v/>
      </c>
      <c r="H153" t="str">
        <f t="shared" si="7"/>
        <v/>
      </c>
      <c r="O153" t="str">
        <f t="shared" ca="1" si="8"/>
        <v/>
      </c>
    </row>
    <row r="154" spans="7:15" x14ac:dyDescent="0.25">
      <c r="G154" t="str">
        <f t="shared" si="6"/>
        <v/>
      </c>
      <c r="H154" t="str">
        <f t="shared" si="7"/>
        <v/>
      </c>
      <c r="O154" t="str">
        <f t="shared" ca="1" si="8"/>
        <v/>
      </c>
    </row>
    <row r="155" spans="7:15" x14ac:dyDescent="0.25">
      <c r="G155" t="str">
        <f t="shared" si="6"/>
        <v/>
      </c>
      <c r="H155" t="str">
        <f t="shared" si="7"/>
        <v/>
      </c>
      <c r="O155" t="str">
        <f t="shared" ca="1" si="8"/>
        <v/>
      </c>
    </row>
    <row r="156" spans="7:15" x14ac:dyDescent="0.25">
      <c r="G156" t="str">
        <f t="shared" si="6"/>
        <v/>
      </c>
      <c r="H156" t="str">
        <f t="shared" si="7"/>
        <v/>
      </c>
      <c r="O156" t="str">
        <f t="shared" ca="1" si="8"/>
        <v/>
      </c>
    </row>
    <row r="157" spans="7:15" x14ac:dyDescent="0.25">
      <c r="G157" t="str">
        <f t="shared" si="6"/>
        <v/>
      </c>
      <c r="H157" t="str">
        <f t="shared" si="7"/>
        <v/>
      </c>
      <c r="O157" t="str">
        <f t="shared" ca="1" si="8"/>
        <v/>
      </c>
    </row>
    <row r="158" spans="7:15" x14ac:dyDescent="0.25">
      <c r="G158" t="str">
        <f t="shared" si="6"/>
        <v/>
      </c>
      <c r="H158" t="str">
        <f t="shared" si="7"/>
        <v/>
      </c>
      <c r="O158" t="str">
        <f t="shared" ca="1" si="8"/>
        <v/>
      </c>
    </row>
    <row r="159" spans="7:15" x14ac:dyDescent="0.25">
      <c r="G159" t="str">
        <f t="shared" si="6"/>
        <v/>
      </c>
      <c r="H159" t="str">
        <f t="shared" si="7"/>
        <v/>
      </c>
      <c r="O159" t="str">
        <f t="shared" ca="1" si="8"/>
        <v/>
      </c>
    </row>
    <row r="160" spans="7:15" x14ac:dyDescent="0.25">
      <c r="G160" t="str">
        <f t="shared" si="6"/>
        <v/>
      </c>
      <c r="H160" t="str">
        <f t="shared" si="7"/>
        <v/>
      </c>
      <c r="O160" t="str">
        <f t="shared" ca="1" si="8"/>
        <v/>
      </c>
    </row>
    <row r="161" spans="7:15" x14ac:dyDescent="0.25">
      <c r="G161" t="str">
        <f t="shared" si="6"/>
        <v/>
      </c>
      <c r="H161" t="str">
        <f t="shared" si="7"/>
        <v/>
      </c>
      <c r="O161" t="str">
        <f t="shared" ca="1" si="8"/>
        <v/>
      </c>
    </row>
    <row r="162" spans="7:15" x14ac:dyDescent="0.25">
      <c r="G162" t="str">
        <f t="shared" si="6"/>
        <v/>
      </c>
      <c r="H162" t="str">
        <f t="shared" si="7"/>
        <v/>
      </c>
      <c r="O162" t="str">
        <f t="shared" ca="1" si="8"/>
        <v/>
      </c>
    </row>
    <row r="163" spans="7:15" x14ac:dyDescent="0.25">
      <c r="G163" t="str">
        <f t="shared" si="6"/>
        <v/>
      </c>
      <c r="H163" t="str">
        <f t="shared" si="7"/>
        <v/>
      </c>
      <c r="O163" t="str">
        <f t="shared" ca="1" si="8"/>
        <v/>
      </c>
    </row>
    <row r="164" spans="7:15" x14ac:dyDescent="0.25">
      <c r="G164" t="str">
        <f t="shared" si="6"/>
        <v/>
      </c>
      <c r="H164" t="str">
        <f t="shared" si="7"/>
        <v/>
      </c>
      <c r="O164" t="str">
        <f t="shared" ca="1" si="8"/>
        <v/>
      </c>
    </row>
    <row r="165" spans="7:15" x14ac:dyDescent="0.25">
      <c r="G165" t="str">
        <f t="shared" si="6"/>
        <v/>
      </c>
      <c r="H165" t="str">
        <f t="shared" si="7"/>
        <v/>
      </c>
      <c r="O165" t="str">
        <f t="shared" ca="1" si="8"/>
        <v/>
      </c>
    </row>
    <row r="166" spans="7:15" x14ac:dyDescent="0.25">
      <c r="G166" t="str">
        <f t="shared" si="6"/>
        <v/>
      </c>
      <c r="H166" t="str">
        <f t="shared" si="7"/>
        <v/>
      </c>
      <c r="O166" t="str">
        <f t="shared" ca="1" si="8"/>
        <v/>
      </c>
    </row>
    <row r="167" spans="7:15" x14ac:dyDescent="0.25">
      <c r="G167" t="str">
        <f t="shared" si="6"/>
        <v/>
      </c>
      <c r="H167" t="str">
        <f t="shared" si="7"/>
        <v/>
      </c>
      <c r="O167" t="str">
        <f t="shared" ca="1" si="8"/>
        <v/>
      </c>
    </row>
    <row r="168" spans="7:15" x14ac:dyDescent="0.25">
      <c r="G168" t="str">
        <f t="shared" si="6"/>
        <v/>
      </c>
      <c r="H168" t="str">
        <f t="shared" si="7"/>
        <v/>
      </c>
      <c r="O168" t="str">
        <f t="shared" ca="1" si="8"/>
        <v/>
      </c>
    </row>
    <row r="169" spans="7:15" x14ac:dyDescent="0.25">
      <c r="G169" t="str">
        <f t="shared" si="6"/>
        <v/>
      </c>
      <c r="H169" t="str">
        <f t="shared" si="7"/>
        <v/>
      </c>
      <c r="O169" t="str">
        <f t="shared" ca="1" si="8"/>
        <v/>
      </c>
    </row>
    <row r="170" spans="7:15" x14ac:dyDescent="0.25">
      <c r="G170" t="str">
        <f t="shared" si="6"/>
        <v/>
      </c>
      <c r="H170" t="str">
        <f t="shared" si="7"/>
        <v/>
      </c>
      <c r="O170" t="str">
        <f t="shared" ca="1" si="8"/>
        <v/>
      </c>
    </row>
    <row r="171" spans="7:15" x14ac:dyDescent="0.25">
      <c r="G171" t="str">
        <f t="shared" si="6"/>
        <v/>
      </c>
      <c r="H171" t="str">
        <f t="shared" si="7"/>
        <v/>
      </c>
      <c r="O171" t="str">
        <f t="shared" ca="1" si="8"/>
        <v/>
      </c>
    </row>
    <row r="172" spans="7:15" x14ac:dyDescent="0.25">
      <c r="G172" t="str">
        <f t="shared" si="6"/>
        <v/>
      </c>
      <c r="H172" t="str">
        <f t="shared" si="7"/>
        <v/>
      </c>
      <c r="O172" t="str">
        <f t="shared" ca="1" si="8"/>
        <v/>
      </c>
    </row>
    <row r="173" spans="7:15" x14ac:dyDescent="0.25">
      <c r="G173" t="str">
        <f t="shared" si="6"/>
        <v/>
      </c>
      <c r="H173" t="str">
        <f t="shared" si="7"/>
        <v/>
      </c>
      <c r="O173" t="str">
        <f t="shared" ca="1" si="8"/>
        <v/>
      </c>
    </row>
    <row r="174" spans="7:15" x14ac:dyDescent="0.25">
      <c r="G174" t="str">
        <f t="shared" si="6"/>
        <v/>
      </c>
      <c r="H174" t="str">
        <f t="shared" si="7"/>
        <v/>
      </c>
      <c r="O174" t="str">
        <f t="shared" ca="1" si="8"/>
        <v/>
      </c>
    </row>
    <row r="175" spans="7:15" x14ac:dyDescent="0.25">
      <c r="G175" t="str">
        <f t="shared" si="6"/>
        <v/>
      </c>
      <c r="H175" t="str">
        <f t="shared" si="7"/>
        <v/>
      </c>
      <c r="O175" t="str">
        <f t="shared" ca="1" si="8"/>
        <v/>
      </c>
    </row>
    <row r="176" spans="7:15" x14ac:dyDescent="0.25">
      <c r="G176" t="str">
        <f t="shared" si="6"/>
        <v/>
      </c>
      <c r="H176" t="str">
        <f t="shared" si="7"/>
        <v/>
      </c>
      <c r="O176" t="str">
        <f t="shared" ca="1" si="8"/>
        <v/>
      </c>
    </row>
    <row r="177" spans="7:15" x14ac:dyDescent="0.25">
      <c r="G177" t="str">
        <f t="shared" si="6"/>
        <v/>
      </c>
      <c r="H177" t="str">
        <f t="shared" si="7"/>
        <v/>
      </c>
      <c r="O177" t="str">
        <f t="shared" ca="1" si="8"/>
        <v/>
      </c>
    </row>
    <row r="178" spans="7:15" x14ac:dyDescent="0.25">
      <c r="G178" t="str">
        <f t="shared" si="6"/>
        <v/>
      </c>
      <c r="H178" t="str">
        <f t="shared" si="7"/>
        <v/>
      </c>
      <c r="O178" t="str">
        <f t="shared" ca="1" si="8"/>
        <v/>
      </c>
    </row>
    <row r="179" spans="7:15" x14ac:dyDescent="0.25">
      <c r="G179" t="str">
        <f t="shared" si="6"/>
        <v/>
      </c>
      <c r="H179" t="str">
        <f t="shared" si="7"/>
        <v/>
      </c>
      <c r="O179" t="str">
        <f t="shared" ca="1" si="8"/>
        <v/>
      </c>
    </row>
    <row r="180" spans="7:15" x14ac:dyDescent="0.25">
      <c r="G180" t="str">
        <f t="shared" si="6"/>
        <v/>
      </c>
      <c r="H180" t="str">
        <f t="shared" si="7"/>
        <v/>
      </c>
      <c r="O180" t="str">
        <f t="shared" ca="1" si="8"/>
        <v/>
      </c>
    </row>
    <row r="181" spans="7:15" x14ac:dyDescent="0.25">
      <c r="G181" t="str">
        <f t="shared" si="6"/>
        <v/>
      </c>
      <c r="H181" t="str">
        <f t="shared" si="7"/>
        <v/>
      </c>
      <c r="O181" t="str">
        <f t="shared" ca="1" si="8"/>
        <v/>
      </c>
    </row>
    <row r="182" spans="7:15" x14ac:dyDescent="0.25">
      <c r="G182" t="str">
        <f t="shared" si="6"/>
        <v/>
      </c>
      <c r="H182" t="str">
        <f t="shared" si="7"/>
        <v/>
      </c>
      <c r="O182" t="str">
        <f t="shared" ca="1" si="8"/>
        <v/>
      </c>
    </row>
    <row r="183" spans="7:15" x14ac:dyDescent="0.25">
      <c r="G183" t="str">
        <f t="shared" si="6"/>
        <v/>
      </c>
      <c r="H183" t="str">
        <f t="shared" si="7"/>
        <v/>
      </c>
      <c r="O183" t="str">
        <f t="shared" ca="1" si="8"/>
        <v/>
      </c>
    </row>
    <row r="184" spans="7:15" x14ac:dyDescent="0.25">
      <c r="G184" t="str">
        <f t="shared" si="6"/>
        <v/>
      </c>
      <c r="H184" t="str">
        <f t="shared" si="7"/>
        <v/>
      </c>
      <c r="O184" t="str">
        <f t="shared" ca="1" si="8"/>
        <v/>
      </c>
    </row>
    <row r="185" spans="7:15" x14ac:dyDescent="0.25">
      <c r="G185" t="str">
        <f t="shared" si="6"/>
        <v/>
      </c>
      <c r="H185" t="str">
        <f t="shared" si="7"/>
        <v/>
      </c>
      <c r="O185" t="str">
        <f t="shared" ca="1" si="8"/>
        <v/>
      </c>
    </row>
    <row r="186" spans="7:15" x14ac:dyDescent="0.25">
      <c r="G186" t="str">
        <f t="shared" si="6"/>
        <v/>
      </c>
      <c r="H186" t="str">
        <f t="shared" si="7"/>
        <v/>
      </c>
      <c r="O186" t="str">
        <f t="shared" ca="1" si="8"/>
        <v/>
      </c>
    </row>
    <row r="187" spans="7:15" x14ac:dyDescent="0.25">
      <c r="G187" t="str">
        <f t="shared" si="6"/>
        <v/>
      </c>
      <c r="H187" t="str">
        <f t="shared" si="7"/>
        <v/>
      </c>
      <c r="O187" t="str">
        <f t="shared" ca="1" si="8"/>
        <v/>
      </c>
    </row>
    <row r="188" spans="7:15" x14ac:dyDescent="0.25">
      <c r="G188" t="str">
        <f t="shared" si="6"/>
        <v/>
      </c>
      <c r="H188" t="str">
        <f t="shared" si="7"/>
        <v/>
      </c>
      <c r="O188" t="str">
        <f t="shared" ca="1" si="8"/>
        <v/>
      </c>
    </row>
    <row r="189" spans="7:15" x14ac:dyDescent="0.25">
      <c r="G189" t="str">
        <f t="shared" si="6"/>
        <v/>
      </c>
      <c r="H189" t="str">
        <f t="shared" si="7"/>
        <v/>
      </c>
      <c r="O189" t="str">
        <f t="shared" ca="1" si="8"/>
        <v/>
      </c>
    </row>
    <row r="190" spans="7:15" x14ac:dyDescent="0.25">
      <c r="G190" t="str">
        <f t="shared" si="6"/>
        <v/>
      </c>
      <c r="H190" t="str">
        <f t="shared" si="7"/>
        <v/>
      </c>
      <c r="O190" t="str">
        <f t="shared" ca="1" si="8"/>
        <v/>
      </c>
    </row>
    <row r="191" spans="7:15" x14ac:dyDescent="0.25">
      <c r="G191" t="str">
        <f t="shared" si="6"/>
        <v/>
      </c>
      <c r="H191" t="str">
        <f t="shared" si="7"/>
        <v/>
      </c>
      <c r="O191" t="str">
        <f t="shared" ca="1" si="8"/>
        <v/>
      </c>
    </row>
    <row r="192" spans="7:15" x14ac:dyDescent="0.25">
      <c r="G192" t="str">
        <f t="shared" si="6"/>
        <v/>
      </c>
      <c r="H192" t="str">
        <f t="shared" si="7"/>
        <v/>
      </c>
      <c r="O192" t="str">
        <f t="shared" ca="1" si="8"/>
        <v/>
      </c>
    </row>
    <row r="193" spans="7:15" x14ac:dyDescent="0.25">
      <c r="G193" t="str">
        <f t="shared" si="6"/>
        <v/>
      </c>
      <c r="H193" t="str">
        <f t="shared" si="7"/>
        <v/>
      </c>
      <c r="O193" t="str">
        <f t="shared" ca="1" si="8"/>
        <v/>
      </c>
    </row>
    <row r="194" spans="7:15" x14ac:dyDescent="0.25">
      <c r="G194" t="str">
        <f t="shared" ref="G194:G257" si="9">IF(A194="","",IF(AND(E194&lt;&gt;"",F194&lt;&gt;""),E194*F194,""))</f>
        <v/>
      </c>
      <c r="H194" t="str">
        <f t="shared" ref="H194:H257" si="10">IF(G194="","",IF(G194&gt;=15,"High",IF(G194&gt;=8,"Medium","Low")))</f>
        <v/>
      </c>
      <c r="O194" t="str">
        <f t="shared" ref="O194:O257" ca="1" si="11">IF(A194="","",IF(OR(M194="Closed",N194=""),"",TODAY()-N194))</f>
        <v/>
      </c>
    </row>
    <row r="195" spans="7:15" x14ac:dyDescent="0.25">
      <c r="G195" t="str">
        <f t="shared" si="9"/>
        <v/>
      </c>
      <c r="H195" t="str">
        <f t="shared" si="10"/>
        <v/>
      </c>
      <c r="O195" t="str">
        <f t="shared" ca="1" si="11"/>
        <v/>
      </c>
    </row>
    <row r="196" spans="7:15" x14ac:dyDescent="0.25">
      <c r="G196" t="str">
        <f t="shared" si="9"/>
        <v/>
      </c>
      <c r="H196" t="str">
        <f t="shared" si="10"/>
        <v/>
      </c>
      <c r="O196" t="str">
        <f t="shared" ca="1" si="11"/>
        <v/>
      </c>
    </row>
    <row r="197" spans="7:15" x14ac:dyDescent="0.25">
      <c r="G197" t="str">
        <f t="shared" si="9"/>
        <v/>
      </c>
      <c r="H197" t="str">
        <f t="shared" si="10"/>
        <v/>
      </c>
      <c r="O197" t="str">
        <f t="shared" ca="1" si="11"/>
        <v/>
      </c>
    </row>
    <row r="198" spans="7:15" x14ac:dyDescent="0.25">
      <c r="G198" t="str">
        <f t="shared" si="9"/>
        <v/>
      </c>
      <c r="H198" t="str">
        <f t="shared" si="10"/>
        <v/>
      </c>
      <c r="O198" t="str">
        <f t="shared" ca="1" si="11"/>
        <v/>
      </c>
    </row>
    <row r="199" spans="7:15" x14ac:dyDescent="0.25">
      <c r="G199" t="str">
        <f t="shared" si="9"/>
        <v/>
      </c>
      <c r="H199" t="str">
        <f t="shared" si="10"/>
        <v/>
      </c>
      <c r="O199" t="str">
        <f t="shared" ca="1" si="11"/>
        <v/>
      </c>
    </row>
    <row r="200" spans="7:15" x14ac:dyDescent="0.25">
      <c r="G200" t="str">
        <f t="shared" si="9"/>
        <v/>
      </c>
      <c r="H200" t="str">
        <f t="shared" si="10"/>
        <v/>
      </c>
      <c r="O200" t="str">
        <f t="shared" ca="1" si="11"/>
        <v/>
      </c>
    </row>
    <row r="201" spans="7:15" x14ac:dyDescent="0.25">
      <c r="G201" t="str">
        <f t="shared" si="9"/>
        <v/>
      </c>
      <c r="H201" t="str">
        <f t="shared" si="10"/>
        <v/>
      </c>
      <c r="O201" t="str">
        <f t="shared" ca="1" si="11"/>
        <v/>
      </c>
    </row>
    <row r="202" spans="7:15" x14ac:dyDescent="0.25">
      <c r="G202" t="str">
        <f t="shared" si="9"/>
        <v/>
      </c>
      <c r="H202" t="str">
        <f t="shared" si="10"/>
        <v/>
      </c>
      <c r="O202" t="str">
        <f t="shared" ca="1" si="11"/>
        <v/>
      </c>
    </row>
    <row r="203" spans="7:15" x14ac:dyDescent="0.25">
      <c r="G203" t="str">
        <f t="shared" si="9"/>
        <v/>
      </c>
      <c r="H203" t="str">
        <f t="shared" si="10"/>
        <v/>
      </c>
      <c r="O203" t="str">
        <f t="shared" ca="1" si="11"/>
        <v/>
      </c>
    </row>
    <row r="204" spans="7:15" x14ac:dyDescent="0.25">
      <c r="G204" t="str">
        <f t="shared" si="9"/>
        <v/>
      </c>
      <c r="H204" t="str">
        <f t="shared" si="10"/>
        <v/>
      </c>
      <c r="O204" t="str">
        <f t="shared" ca="1" si="11"/>
        <v/>
      </c>
    </row>
    <row r="205" spans="7:15" x14ac:dyDescent="0.25">
      <c r="G205" t="str">
        <f t="shared" si="9"/>
        <v/>
      </c>
      <c r="H205" t="str">
        <f t="shared" si="10"/>
        <v/>
      </c>
      <c r="O205" t="str">
        <f t="shared" ca="1" si="11"/>
        <v/>
      </c>
    </row>
    <row r="206" spans="7:15" x14ac:dyDescent="0.25">
      <c r="G206" t="str">
        <f t="shared" si="9"/>
        <v/>
      </c>
      <c r="H206" t="str">
        <f t="shared" si="10"/>
        <v/>
      </c>
      <c r="O206" t="str">
        <f t="shared" ca="1" si="11"/>
        <v/>
      </c>
    </row>
    <row r="207" spans="7:15" x14ac:dyDescent="0.25">
      <c r="G207" t="str">
        <f t="shared" si="9"/>
        <v/>
      </c>
      <c r="H207" t="str">
        <f t="shared" si="10"/>
        <v/>
      </c>
      <c r="O207" t="str">
        <f t="shared" ca="1" si="11"/>
        <v/>
      </c>
    </row>
    <row r="208" spans="7:15" x14ac:dyDescent="0.25">
      <c r="G208" t="str">
        <f t="shared" si="9"/>
        <v/>
      </c>
      <c r="H208" t="str">
        <f t="shared" si="10"/>
        <v/>
      </c>
      <c r="O208" t="str">
        <f t="shared" ca="1" si="11"/>
        <v/>
      </c>
    </row>
    <row r="209" spans="7:15" x14ac:dyDescent="0.25">
      <c r="G209" t="str">
        <f t="shared" si="9"/>
        <v/>
      </c>
      <c r="H209" t="str">
        <f t="shared" si="10"/>
        <v/>
      </c>
      <c r="O209" t="str">
        <f t="shared" ca="1" si="11"/>
        <v/>
      </c>
    </row>
    <row r="210" spans="7:15" x14ac:dyDescent="0.25">
      <c r="G210" t="str">
        <f t="shared" si="9"/>
        <v/>
      </c>
      <c r="H210" t="str">
        <f t="shared" si="10"/>
        <v/>
      </c>
      <c r="O210" t="str">
        <f t="shared" ca="1" si="11"/>
        <v/>
      </c>
    </row>
    <row r="211" spans="7:15" x14ac:dyDescent="0.25">
      <c r="G211" t="str">
        <f t="shared" si="9"/>
        <v/>
      </c>
      <c r="H211" t="str">
        <f t="shared" si="10"/>
        <v/>
      </c>
      <c r="O211" t="str">
        <f t="shared" ca="1" si="11"/>
        <v/>
      </c>
    </row>
    <row r="212" spans="7:15" x14ac:dyDescent="0.25">
      <c r="G212" t="str">
        <f t="shared" si="9"/>
        <v/>
      </c>
      <c r="H212" t="str">
        <f t="shared" si="10"/>
        <v/>
      </c>
      <c r="O212" t="str">
        <f t="shared" ca="1" si="11"/>
        <v/>
      </c>
    </row>
    <row r="213" spans="7:15" x14ac:dyDescent="0.25">
      <c r="G213" t="str">
        <f t="shared" si="9"/>
        <v/>
      </c>
      <c r="H213" t="str">
        <f t="shared" si="10"/>
        <v/>
      </c>
      <c r="O213" t="str">
        <f t="shared" ca="1" si="11"/>
        <v/>
      </c>
    </row>
    <row r="214" spans="7:15" x14ac:dyDescent="0.25">
      <c r="G214" t="str">
        <f t="shared" si="9"/>
        <v/>
      </c>
      <c r="H214" t="str">
        <f t="shared" si="10"/>
        <v/>
      </c>
      <c r="O214" t="str">
        <f t="shared" ca="1" si="11"/>
        <v/>
      </c>
    </row>
    <row r="215" spans="7:15" x14ac:dyDescent="0.25">
      <c r="G215" t="str">
        <f t="shared" si="9"/>
        <v/>
      </c>
      <c r="H215" t="str">
        <f t="shared" si="10"/>
        <v/>
      </c>
      <c r="O215" t="str">
        <f t="shared" ca="1" si="11"/>
        <v/>
      </c>
    </row>
    <row r="216" spans="7:15" x14ac:dyDescent="0.25">
      <c r="G216" t="str">
        <f t="shared" si="9"/>
        <v/>
      </c>
      <c r="H216" t="str">
        <f t="shared" si="10"/>
        <v/>
      </c>
      <c r="O216" t="str">
        <f t="shared" ca="1" si="11"/>
        <v/>
      </c>
    </row>
    <row r="217" spans="7:15" x14ac:dyDescent="0.25">
      <c r="G217" t="str">
        <f t="shared" si="9"/>
        <v/>
      </c>
      <c r="H217" t="str">
        <f t="shared" si="10"/>
        <v/>
      </c>
      <c r="O217" t="str">
        <f t="shared" ca="1" si="11"/>
        <v/>
      </c>
    </row>
    <row r="218" spans="7:15" x14ac:dyDescent="0.25">
      <c r="G218" t="str">
        <f t="shared" si="9"/>
        <v/>
      </c>
      <c r="H218" t="str">
        <f t="shared" si="10"/>
        <v/>
      </c>
      <c r="O218" t="str">
        <f t="shared" ca="1" si="11"/>
        <v/>
      </c>
    </row>
    <row r="219" spans="7:15" x14ac:dyDescent="0.25">
      <c r="G219" t="str">
        <f t="shared" si="9"/>
        <v/>
      </c>
      <c r="H219" t="str">
        <f t="shared" si="10"/>
        <v/>
      </c>
      <c r="O219" t="str">
        <f t="shared" ca="1" si="11"/>
        <v/>
      </c>
    </row>
    <row r="220" spans="7:15" x14ac:dyDescent="0.25">
      <c r="G220" t="str">
        <f t="shared" si="9"/>
        <v/>
      </c>
      <c r="H220" t="str">
        <f t="shared" si="10"/>
        <v/>
      </c>
      <c r="O220" t="str">
        <f t="shared" ca="1" si="11"/>
        <v/>
      </c>
    </row>
    <row r="221" spans="7:15" x14ac:dyDescent="0.25">
      <c r="G221" t="str">
        <f t="shared" si="9"/>
        <v/>
      </c>
      <c r="H221" t="str">
        <f t="shared" si="10"/>
        <v/>
      </c>
      <c r="O221" t="str">
        <f t="shared" ca="1" si="11"/>
        <v/>
      </c>
    </row>
    <row r="222" spans="7:15" x14ac:dyDescent="0.25">
      <c r="G222" t="str">
        <f t="shared" si="9"/>
        <v/>
      </c>
      <c r="H222" t="str">
        <f t="shared" si="10"/>
        <v/>
      </c>
      <c r="O222" t="str">
        <f t="shared" ca="1" si="11"/>
        <v/>
      </c>
    </row>
    <row r="223" spans="7:15" x14ac:dyDescent="0.25">
      <c r="G223" t="str">
        <f t="shared" si="9"/>
        <v/>
      </c>
      <c r="H223" t="str">
        <f t="shared" si="10"/>
        <v/>
      </c>
      <c r="O223" t="str">
        <f t="shared" ca="1" si="11"/>
        <v/>
      </c>
    </row>
    <row r="224" spans="7:15" x14ac:dyDescent="0.25">
      <c r="G224" t="str">
        <f t="shared" si="9"/>
        <v/>
      </c>
      <c r="H224" t="str">
        <f t="shared" si="10"/>
        <v/>
      </c>
      <c r="O224" t="str">
        <f t="shared" ca="1" si="11"/>
        <v/>
      </c>
    </row>
    <row r="225" spans="7:15" x14ac:dyDescent="0.25">
      <c r="G225" t="str">
        <f t="shared" si="9"/>
        <v/>
      </c>
      <c r="H225" t="str">
        <f t="shared" si="10"/>
        <v/>
      </c>
      <c r="O225" t="str">
        <f t="shared" ca="1" si="11"/>
        <v/>
      </c>
    </row>
    <row r="226" spans="7:15" x14ac:dyDescent="0.25">
      <c r="G226" t="str">
        <f t="shared" si="9"/>
        <v/>
      </c>
      <c r="H226" t="str">
        <f t="shared" si="10"/>
        <v/>
      </c>
      <c r="O226" t="str">
        <f t="shared" ca="1" si="11"/>
        <v/>
      </c>
    </row>
    <row r="227" spans="7:15" x14ac:dyDescent="0.25">
      <c r="G227" t="str">
        <f t="shared" si="9"/>
        <v/>
      </c>
      <c r="H227" t="str">
        <f t="shared" si="10"/>
        <v/>
      </c>
      <c r="O227" t="str">
        <f t="shared" ca="1" si="11"/>
        <v/>
      </c>
    </row>
    <row r="228" spans="7:15" x14ac:dyDescent="0.25">
      <c r="G228" t="str">
        <f t="shared" si="9"/>
        <v/>
      </c>
      <c r="H228" t="str">
        <f t="shared" si="10"/>
        <v/>
      </c>
      <c r="O228" t="str">
        <f t="shared" ca="1" si="11"/>
        <v/>
      </c>
    </row>
    <row r="229" spans="7:15" x14ac:dyDescent="0.25">
      <c r="G229" t="str">
        <f t="shared" si="9"/>
        <v/>
      </c>
      <c r="H229" t="str">
        <f t="shared" si="10"/>
        <v/>
      </c>
      <c r="O229" t="str">
        <f t="shared" ca="1" si="11"/>
        <v/>
      </c>
    </row>
    <row r="230" spans="7:15" x14ac:dyDescent="0.25">
      <c r="G230" t="str">
        <f t="shared" si="9"/>
        <v/>
      </c>
      <c r="H230" t="str">
        <f t="shared" si="10"/>
        <v/>
      </c>
      <c r="O230" t="str">
        <f t="shared" ca="1" si="11"/>
        <v/>
      </c>
    </row>
    <row r="231" spans="7:15" x14ac:dyDescent="0.25">
      <c r="G231" t="str">
        <f t="shared" si="9"/>
        <v/>
      </c>
      <c r="H231" t="str">
        <f t="shared" si="10"/>
        <v/>
      </c>
      <c r="O231" t="str">
        <f t="shared" ca="1" si="11"/>
        <v/>
      </c>
    </row>
    <row r="232" spans="7:15" x14ac:dyDescent="0.25">
      <c r="G232" t="str">
        <f t="shared" si="9"/>
        <v/>
      </c>
      <c r="H232" t="str">
        <f t="shared" si="10"/>
        <v/>
      </c>
      <c r="O232" t="str">
        <f t="shared" ca="1" si="11"/>
        <v/>
      </c>
    </row>
    <row r="233" spans="7:15" x14ac:dyDescent="0.25">
      <c r="G233" t="str">
        <f t="shared" si="9"/>
        <v/>
      </c>
      <c r="H233" t="str">
        <f t="shared" si="10"/>
        <v/>
      </c>
      <c r="O233" t="str">
        <f t="shared" ca="1" si="11"/>
        <v/>
      </c>
    </row>
    <row r="234" spans="7:15" x14ac:dyDescent="0.25">
      <c r="G234" t="str">
        <f t="shared" si="9"/>
        <v/>
      </c>
      <c r="H234" t="str">
        <f t="shared" si="10"/>
        <v/>
      </c>
      <c r="O234" t="str">
        <f t="shared" ca="1" si="11"/>
        <v/>
      </c>
    </row>
    <row r="235" spans="7:15" x14ac:dyDescent="0.25">
      <c r="G235" t="str">
        <f t="shared" si="9"/>
        <v/>
      </c>
      <c r="H235" t="str">
        <f t="shared" si="10"/>
        <v/>
      </c>
      <c r="O235" t="str">
        <f t="shared" ca="1" si="11"/>
        <v/>
      </c>
    </row>
    <row r="236" spans="7:15" x14ac:dyDescent="0.25">
      <c r="G236" t="str">
        <f t="shared" si="9"/>
        <v/>
      </c>
      <c r="H236" t="str">
        <f t="shared" si="10"/>
        <v/>
      </c>
      <c r="O236" t="str">
        <f t="shared" ca="1" si="11"/>
        <v/>
      </c>
    </row>
    <row r="237" spans="7:15" x14ac:dyDescent="0.25">
      <c r="G237" t="str">
        <f t="shared" si="9"/>
        <v/>
      </c>
      <c r="H237" t="str">
        <f t="shared" si="10"/>
        <v/>
      </c>
      <c r="O237" t="str">
        <f t="shared" ca="1" si="11"/>
        <v/>
      </c>
    </row>
    <row r="238" spans="7:15" x14ac:dyDescent="0.25">
      <c r="G238" t="str">
        <f t="shared" si="9"/>
        <v/>
      </c>
      <c r="H238" t="str">
        <f t="shared" si="10"/>
        <v/>
      </c>
      <c r="O238" t="str">
        <f t="shared" ca="1" si="11"/>
        <v/>
      </c>
    </row>
    <row r="239" spans="7:15" x14ac:dyDescent="0.25">
      <c r="G239" t="str">
        <f t="shared" si="9"/>
        <v/>
      </c>
      <c r="H239" t="str">
        <f t="shared" si="10"/>
        <v/>
      </c>
      <c r="O239" t="str">
        <f t="shared" ca="1" si="11"/>
        <v/>
      </c>
    </row>
    <row r="240" spans="7:15" x14ac:dyDescent="0.25">
      <c r="G240" t="str">
        <f t="shared" si="9"/>
        <v/>
      </c>
      <c r="H240" t="str">
        <f t="shared" si="10"/>
        <v/>
      </c>
      <c r="O240" t="str">
        <f t="shared" ca="1" si="11"/>
        <v/>
      </c>
    </row>
    <row r="241" spans="7:15" x14ac:dyDescent="0.25">
      <c r="G241" t="str">
        <f t="shared" si="9"/>
        <v/>
      </c>
      <c r="H241" t="str">
        <f t="shared" si="10"/>
        <v/>
      </c>
      <c r="O241" t="str">
        <f t="shared" ca="1" si="11"/>
        <v/>
      </c>
    </row>
    <row r="242" spans="7:15" x14ac:dyDescent="0.25">
      <c r="G242" t="str">
        <f t="shared" si="9"/>
        <v/>
      </c>
      <c r="H242" t="str">
        <f t="shared" si="10"/>
        <v/>
      </c>
      <c r="O242" t="str">
        <f t="shared" ca="1" si="11"/>
        <v/>
      </c>
    </row>
    <row r="243" spans="7:15" x14ac:dyDescent="0.25">
      <c r="G243" t="str">
        <f t="shared" si="9"/>
        <v/>
      </c>
      <c r="H243" t="str">
        <f t="shared" si="10"/>
        <v/>
      </c>
      <c r="O243" t="str">
        <f t="shared" ca="1" si="11"/>
        <v/>
      </c>
    </row>
    <row r="244" spans="7:15" x14ac:dyDescent="0.25">
      <c r="G244" t="str">
        <f t="shared" si="9"/>
        <v/>
      </c>
      <c r="H244" t="str">
        <f t="shared" si="10"/>
        <v/>
      </c>
      <c r="O244" t="str">
        <f t="shared" ca="1" si="11"/>
        <v/>
      </c>
    </row>
    <row r="245" spans="7:15" x14ac:dyDescent="0.25">
      <c r="G245" t="str">
        <f t="shared" si="9"/>
        <v/>
      </c>
      <c r="H245" t="str">
        <f t="shared" si="10"/>
        <v/>
      </c>
      <c r="O245" t="str">
        <f t="shared" ca="1" si="11"/>
        <v/>
      </c>
    </row>
    <row r="246" spans="7:15" x14ac:dyDescent="0.25">
      <c r="G246" t="str">
        <f t="shared" si="9"/>
        <v/>
      </c>
      <c r="H246" t="str">
        <f t="shared" si="10"/>
        <v/>
      </c>
      <c r="O246" t="str">
        <f t="shared" ca="1" si="11"/>
        <v/>
      </c>
    </row>
    <row r="247" spans="7:15" x14ac:dyDescent="0.25">
      <c r="G247" t="str">
        <f t="shared" si="9"/>
        <v/>
      </c>
      <c r="H247" t="str">
        <f t="shared" si="10"/>
        <v/>
      </c>
      <c r="O247" t="str">
        <f t="shared" ca="1" si="11"/>
        <v/>
      </c>
    </row>
    <row r="248" spans="7:15" x14ac:dyDescent="0.25">
      <c r="G248" t="str">
        <f t="shared" si="9"/>
        <v/>
      </c>
      <c r="H248" t="str">
        <f t="shared" si="10"/>
        <v/>
      </c>
      <c r="O248" t="str">
        <f t="shared" ca="1" si="11"/>
        <v/>
      </c>
    </row>
    <row r="249" spans="7:15" x14ac:dyDescent="0.25">
      <c r="G249" t="str">
        <f t="shared" si="9"/>
        <v/>
      </c>
      <c r="H249" t="str">
        <f t="shared" si="10"/>
        <v/>
      </c>
      <c r="O249" t="str">
        <f t="shared" ca="1" si="11"/>
        <v/>
      </c>
    </row>
    <row r="250" spans="7:15" x14ac:dyDescent="0.25">
      <c r="G250" t="str">
        <f t="shared" si="9"/>
        <v/>
      </c>
      <c r="H250" t="str">
        <f t="shared" si="10"/>
        <v/>
      </c>
      <c r="O250" t="str">
        <f t="shared" ca="1" si="11"/>
        <v/>
      </c>
    </row>
    <row r="251" spans="7:15" x14ac:dyDescent="0.25">
      <c r="G251" t="str">
        <f t="shared" si="9"/>
        <v/>
      </c>
      <c r="H251" t="str">
        <f t="shared" si="10"/>
        <v/>
      </c>
      <c r="O251" t="str">
        <f t="shared" ca="1" si="11"/>
        <v/>
      </c>
    </row>
    <row r="252" spans="7:15" x14ac:dyDescent="0.25">
      <c r="G252" t="str">
        <f t="shared" si="9"/>
        <v/>
      </c>
      <c r="H252" t="str">
        <f t="shared" si="10"/>
        <v/>
      </c>
      <c r="O252" t="str">
        <f t="shared" ca="1" si="11"/>
        <v/>
      </c>
    </row>
    <row r="253" spans="7:15" x14ac:dyDescent="0.25">
      <c r="G253" t="str">
        <f t="shared" si="9"/>
        <v/>
      </c>
      <c r="H253" t="str">
        <f t="shared" si="10"/>
        <v/>
      </c>
      <c r="O253" t="str">
        <f t="shared" ca="1" si="11"/>
        <v/>
      </c>
    </row>
    <row r="254" spans="7:15" x14ac:dyDescent="0.25">
      <c r="G254" t="str">
        <f t="shared" si="9"/>
        <v/>
      </c>
      <c r="H254" t="str">
        <f t="shared" si="10"/>
        <v/>
      </c>
      <c r="O254" t="str">
        <f t="shared" ca="1" si="11"/>
        <v/>
      </c>
    </row>
    <row r="255" spans="7:15" x14ac:dyDescent="0.25">
      <c r="G255" t="str">
        <f t="shared" si="9"/>
        <v/>
      </c>
      <c r="H255" t="str">
        <f t="shared" si="10"/>
        <v/>
      </c>
      <c r="O255" t="str">
        <f t="shared" ca="1" si="11"/>
        <v/>
      </c>
    </row>
    <row r="256" spans="7:15" x14ac:dyDescent="0.25">
      <c r="G256" t="str">
        <f t="shared" si="9"/>
        <v/>
      </c>
      <c r="H256" t="str">
        <f t="shared" si="10"/>
        <v/>
      </c>
      <c r="O256" t="str">
        <f t="shared" ca="1" si="11"/>
        <v/>
      </c>
    </row>
    <row r="257" spans="7:15" x14ac:dyDescent="0.25">
      <c r="G257" t="str">
        <f t="shared" si="9"/>
        <v/>
      </c>
      <c r="H257" t="str">
        <f t="shared" si="10"/>
        <v/>
      </c>
      <c r="O257" t="str">
        <f t="shared" ca="1" si="11"/>
        <v/>
      </c>
    </row>
    <row r="258" spans="7:15" x14ac:dyDescent="0.25">
      <c r="G258" t="str">
        <f t="shared" ref="G258:G298" si="12">IF(A258="","",IF(AND(E258&lt;&gt;"",F258&lt;&gt;""),E258*F258,""))</f>
        <v/>
      </c>
      <c r="H258" t="str">
        <f t="shared" ref="H258:H298" si="13">IF(G258="","",IF(G258&gt;=15,"High",IF(G258&gt;=8,"Medium","Low")))</f>
        <v/>
      </c>
      <c r="O258" t="str">
        <f t="shared" ref="O258:O298" ca="1" si="14">IF(A258="","",IF(OR(M258="Closed",N258=""),"",TODAY()-N258))</f>
        <v/>
      </c>
    </row>
    <row r="259" spans="7:15" x14ac:dyDescent="0.25">
      <c r="G259" t="str">
        <f t="shared" si="12"/>
        <v/>
      </c>
      <c r="H259" t="str">
        <f t="shared" si="13"/>
        <v/>
      </c>
      <c r="O259" t="str">
        <f t="shared" ca="1" si="14"/>
        <v/>
      </c>
    </row>
    <row r="260" spans="7:15" x14ac:dyDescent="0.25">
      <c r="G260" t="str">
        <f t="shared" si="12"/>
        <v/>
      </c>
      <c r="H260" t="str">
        <f t="shared" si="13"/>
        <v/>
      </c>
      <c r="O260" t="str">
        <f t="shared" ca="1" si="14"/>
        <v/>
      </c>
    </row>
    <row r="261" spans="7:15" x14ac:dyDescent="0.25">
      <c r="G261" t="str">
        <f t="shared" si="12"/>
        <v/>
      </c>
      <c r="H261" t="str">
        <f t="shared" si="13"/>
        <v/>
      </c>
      <c r="O261" t="str">
        <f t="shared" ca="1" si="14"/>
        <v/>
      </c>
    </row>
    <row r="262" spans="7:15" x14ac:dyDescent="0.25">
      <c r="G262" t="str">
        <f t="shared" si="12"/>
        <v/>
      </c>
      <c r="H262" t="str">
        <f t="shared" si="13"/>
        <v/>
      </c>
      <c r="O262" t="str">
        <f t="shared" ca="1" si="14"/>
        <v/>
      </c>
    </row>
    <row r="263" spans="7:15" x14ac:dyDescent="0.25">
      <c r="G263" t="str">
        <f t="shared" si="12"/>
        <v/>
      </c>
      <c r="H263" t="str">
        <f t="shared" si="13"/>
        <v/>
      </c>
      <c r="O263" t="str">
        <f t="shared" ca="1" si="14"/>
        <v/>
      </c>
    </row>
    <row r="264" spans="7:15" x14ac:dyDescent="0.25">
      <c r="G264" t="str">
        <f t="shared" si="12"/>
        <v/>
      </c>
      <c r="H264" t="str">
        <f t="shared" si="13"/>
        <v/>
      </c>
      <c r="O264" t="str">
        <f t="shared" ca="1" si="14"/>
        <v/>
      </c>
    </row>
    <row r="265" spans="7:15" x14ac:dyDescent="0.25">
      <c r="G265" t="str">
        <f t="shared" si="12"/>
        <v/>
      </c>
      <c r="H265" t="str">
        <f t="shared" si="13"/>
        <v/>
      </c>
      <c r="O265" t="str">
        <f t="shared" ca="1" si="14"/>
        <v/>
      </c>
    </row>
    <row r="266" spans="7:15" x14ac:dyDescent="0.25">
      <c r="G266" t="str">
        <f t="shared" si="12"/>
        <v/>
      </c>
      <c r="H266" t="str">
        <f t="shared" si="13"/>
        <v/>
      </c>
      <c r="O266" t="str">
        <f t="shared" ca="1" si="14"/>
        <v/>
      </c>
    </row>
    <row r="267" spans="7:15" x14ac:dyDescent="0.25">
      <c r="G267" t="str">
        <f t="shared" si="12"/>
        <v/>
      </c>
      <c r="H267" t="str">
        <f t="shared" si="13"/>
        <v/>
      </c>
      <c r="O267" t="str">
        <f t="shared" ca="1" si="14"/>
        <v/>
      </c>
    </row>
    <row r="268" spans="7:15" x14ac:dyDescent="0.25">
      <c r="G268" t="str">
        <f t="shared" si="12"/>
        <v/>
      </c>
      <c r="H268" t="str">
        <f t="shared" si="13"/>
        <v/>
      </c>
      <c r="O268" t="str">
        <f t="shared" ca="1" si="14"/>
        <v/>
      </c>
    </row>
    <row r="269" spans="7:15" x14ac:dyDescent="0.25">
      <c r="G269" t="str">
        <f t="shared" si="12"/>
        <v/>
      </c>
      <c r="H269" t="str">
        <f t="shared" si="13"/>
        <v/>
      </c>
      <c r="O269" t="str">
        <f t="shared" ca="1" si="14"/>
        <v/>
      </c>
    </row>
    <row r="270" spans="7:15" x14ac:dyDescent="0.25">
      <c r="G270" t="str">
        <f t="shared" si="12"/>
        <v/>
      </c>
      <c r="H270" t="str">
        <f t="shared" si="13"/>
        <v/>
      </c>
      <c r="O270" t="str">
        <f t="shared" ca="1" si="14"/>
        <v/>
      </c>
    </row>
    <row r="271" spans="7:15" x14ac:dyDescent="0.25">
      <c r="G271" t="str">
        <f t="shared" si="12"/>
        <v/>
      </c>
      <c r="H271" t="str">
        <f t="shared" si="13"/>
        <v/>
      </c>
      <c r="O271" t="str">
        <f t="shared" ca="1" si="14"/>
        <v/>
      </c>
    </row>
    <row r="272" spans="7:15" x14ac:dyDescent="0.25">
      <c r="G272" t="str">
        <f t="shared" si="12"/>
        <v/>
      </c>
      <c r="H272" t="str">
        <f t="shared" si="13"/>
        <v/>
      </c>
      <c r="O272" t="str">
        <f t="shared" ca="1" si="14"/>
        <v/>
      </c>
    </row>
    <row r="273" spans="7:15" x14ac:dyDescent="0.25">
      <c r="G273" t="str">
        <f t="shared" si="12"/>
        <v/>
      </c>
      <c r="H273" t="str">
        <f t="shared" si="13"/>
        <v/>
      </c>
      <c r="O273" t="str">
        <f t="shared" ca="1" si="14"/>
        <v/>
      </c>
    </row>
    <row r="274" spans="7:15" x14ac:dyDescent="0.25">
      <c r="G274" t="str">
        <f t="shared" si="12"/>
        <v/>
      </c>
      <c r="H274" t="str">
        <f t="shared" si="13"/>
        <v/>
      </c>
      <c r="O274" t="str">
        <f t="shared" ca="1" si="14"/>
        <v/>
      </c>
    </row>
    <row r="275" spans="7:15" x14ac:dyDescent="0.25">
      <c r="G275" t="str">
        <f t="shared" si="12"/>
        <v/>
      </c>
      <c r="H275" t="str">
        <f t="shared" si="13"/>
        <v/>
      </c>
      <c r="O275" t="str">
        <f t="shared" ca="1" si="14"/>
        <v/>
      </c>
    </row>
    <row r="276" spans="7:15" x14ac:dyDescent="0.25">
      <c r="G276" t="str">
        <f t="shared" si="12"/>
        <v/>
      </c>
      <c r="H276" t="str">
        <f t="shared" si="13"/>
        <v/>
      </c>
      <c r="O276" t="str">
        <f t="shared" ca="1" si="14"/>
        <v/>
      </c>
    </row>
    <row r="277" spans="7:15" x14ac:dyDescent="0.25">
      <c r="G277" t="str">
        <f t="shared" si="12"/>
        <v/>
      </c>
      <c r="H277" t="str">
        <f t="shared" si="13"/>
        <v/>
      </c>
      <c r="O277" t="str">
        <f t="shared" ca="1" si="14"/>
        <v/>
      </c>
    </row>
    <row r="278" spans="7:15" x14ac:dyDescent="0.25">
      <c r="G278" t="str">
        <f t="shared" si="12"/>
        <v/>
      </c>
      <c r="H278" t="str">
        <f t="shared" si="13"/>
        <v/>
      </c>
      <c r="O278" t="str">
        <f t="shared" ca="1" si="14"/>
        <v/>
      </c>
    </row>
    <row r="279" spans="7:15" x14ac:dyDescent="0.25">
      <c r="G279" t="str">
        <f t="shared" si="12"/>
        <v/>
      </c>
      <c r="H279" t="str">
        <f t="shared" si="13"/>
        <v/>
      </c>
      <c r="O279" t="str">
        <f t="shared" ca="1" si="14"/>
        <v/>
      </c>
    </row>
    <row r="280" spans="7:15" x14ac:dyDescent="0.25">
      <c r="G280" t="str">
        <f t="shared" si="12"/>
        <v/>
      </c>
      <c r="H280" t="str">
        <f t="shared" si="13"/>
        <v/>
      </c>
      <c r="O280" t="str">
        <f t="shared" ca="1" si="14"/>
        <v/>
      </c>
    </row>
    <row r="281" spans="7:15" x14ac:dyDescent="0.25">
      <c r="G281" t="str">
        <f t="shared" si="12"/>
        <v/>
      </c>
      <c r="H281" t="str">
        <f t="shared" si="13"/>
        <v/>
      </c>
      <c r="O281" t="str">
        <f t="shared" ca="1" si="14"/>
        <v/>
      </c>
    </row>
    <row r="282" spans="7:15" x14ac:dyDescent="0.25">
      <c r="G282" t="str">
        <f t="shared" si="12"/>
        <v/>
      </c>
      <c r="H282" t="str">
        <f t="shared" si="13"/>
        <v/>
      </c>
      <c r="O282" t="str">
        <f t="shared" ca="1" si="14"/>
        <v/>
      </c>
    </row>
    <row r="283" spans="7:15" x14ac:dyDescent="0.25">
      <c r="G283" t="str">
        <f t="shared" si="12"/>
        <v/>
      </c>
      <c r="H283" t="str">
        <f t="shared" si="13"/>
        <v/>
      </c>
      <c r="O283" t="str">
        <f t="shared" ca="1" si="14"/>
        <v/>
      </c>
    </row>
    <row r="284" spans="7:15" x14ac:dyDescent="0.25">
      <c r="G284" t="str">
        <f t="shared" si="12"/>
        <v/>
      </c>
      <c r="H284" t="str">
        <f t="shared" si="13"/>
        <v/>
      </c>
      <c r="O284" t="str">
        <f t="shared" ca="1" si="14"/>
        <v/>
      </c>
    </row>
    <row r="285" spans="7:15" x14ac:dyDescent="0.25">
      <c r="G285" t="str">
        <f t="shared" si="12"/>
        <v/>
      </c>
      <c r="H285" t="str">
        <f t="shared" si="13"/>
        <v/>
      </c>
      <c r="O285" t="str">
        <f t="shared" ca="1" si="14"/>
        <v/>
      </c>
    </row>
    <row r="286" spans="7:15" x14ac:dyDescent="0.25">
      <c r="G286" t="str">
        <f t="shared" si="12"/>
        <v/>
      </c>
      <c r="H286" t="str">
        <f t="shared" si="13"/>
        <v/>
      </c>
      <c r="O286" t="str">
        <f t="shared" ca="1" si="14"/>
        <v/>
      </c>
    </row>
    <row r="287" spans="7:15" x14ac:dyDescent="0.25">
      <c r="G287" t="str">
        <f t="shared" si="12"/>
        <v/>
      </c>
      <c r="H287" t="str">
        <f t="shared" si="13"/>
        <v/>
      </c>
      <c r="O287" t="str">
        <f t="shared" ca="1" si="14"/>
        <v/>
      </c>
    </row>
    <row r="288" spans="7:15" x14ac:dyDescent="0.25">
      <c r="G288" t="str">
        <f t="shared" si="12"/>
        <v/>
      </c>
      <c r="H288" t="str">
        <f t="shared" si="13"/>
        <v/>
      </c>
      <c r="O288" t="str">
        <f t="shared" ca="1" si="14"/>
        <v/>
      </c>
    </row>
    <row r="289" spans="1:15" x14ac:dyDescent="0.25">
      <c r="G289" t="str">
        <f t="shared" si="12"/>
        <v/>
      </c>
      <c r="H289" t="str">
        <f t="shared" si="13"/>
        <v/>
      </c>
      <c r="O289" t="str">
        <f t="shared" ca="1" si="14"/>
        <v/>
      </c>
    </row>
    <row r="290" spans="1:15" x14ac:dyDescent="0.25">
      <c r="G290" t="str">
        <f t="shared" si="12"/>
        <v/>
      </c>
      <c r="H290" t="str">
        <f t="shared" si="13"/>
        <v/>
      </c>
      <c r="O290" t="str">
        <f t="shared" ca="1" si="14"/>
        <v/>
      </c>
    </row>
    <row r="291" spans="1:15" x14ac:dyDescent="0.25">
      <c r="G291" t="str">
        <f t="shared" si="12"/>
        <v/>
      </c>
      <c r="H291" t="str">
        <f t="shared" si="13"/>
        <v/>
      </c>
      <c r="O291" t="str">
        <f t="shared" ca="1" si="14"/>
        <v/>
      </c>
    </row>
    <row r="292" spans="1:15" x14ac:dyDescent="0.25">
      <c r="G292" t="str">
        <f t="shared" si="12"/>
        <v/>
      </c>
      <c r="H292" t="str">
        <f t="shared" si="13"/>
        <v/>
      </c>
      <c r="O292" t="str">
        <f t="shared" ca="1" si="14"/>
        <v/>
      </c>
    </row>
    <row r="293" spans="1:15" x14ac:dyDescent="0.25">
      <c r="G293" t="str">
        <f t="shared" si="12"/>
        <v/>
      </c>
      <c r="H293" t="str">
        <f t="shared" si="13"/>
        <v/>
      </c>
      <c r="O293" t="str">
        <f t="shared" ca="1" si="14"/>
        <v/>
      </c>
    </row>
    <row r="294" spans="1:15" x14ac:dyDescent="0.25">
      <c r="G294" t="str">
        <f t="shared" si="12"/>
        <v/>
      </c>
      <c r="H294" t="str">
        <f t="shared" si="13"/>
        <v/>
      </c>
      <c r="O294" t="str">
        <f t="shared" ca="1" si="14"/>
        <v/>
      </c>
    </row>
    <row r="295" spans="1:15" x14ac:dyDescent="0.25">
      <c r="G295" t="str">
        <f t="shared" si="12"/>
        <v/>
      </c>
      <c r="H295" t="str">
        <f t="shared" si="13"/>
        <v/>
      </c>
      <c r="O295" t="str">
        <f t="shared" ca="1" si="14"/>
        <v/>
      </c>
    </row>
    <row r="296" spans="1:15" x14ac:dyDescent="0.25">
      <c r="G296" t="str">
        <f t="shared" si="12"/>
        <v/>
      </c>
      <c r="H296" t="str">
        <f t="shared" si="13"/>
        <v/>
      </c>
      <c r="O296" t="str">
        <f t="shared" ca="1" si="14"/>
        <v/>
      </c>
    </row>
    <row r="297" spans="1:15" x14ac:dyDescent="0.25">
      <c r="G297" t="str">
        <f t="shared" si="12"/>
        <v/>
      </c>
      <c r="H297" t="str">
        <f t="shared" si="13"/>
        <v/>
      </c>
      <c r="O297" t="str">
        <f t="shared" ca="1" si="14"/>
        <v/>
      </c>
    </row>
    <row r="298" spans="1:15" x14ac:dyDescent="0.25">
      <c r="G298" t="str">
        <f t="shared" si="12"/>
        <v/>
      </c>
      <c r="H298" t="str">
        <f t="shared" si="13"/>
        <v/>
      </c>
      <c r="O298" t="str">
        <f t="shared" ca="1" si="14"/>
        <v/>
      </c>
    </row>
    <row r="301" spans="1:15" x14ac:dyDescent="0.25">
      <c r="A301" s="3" t="s">
        <v>331</v>
      </c>
    </row>
  </sheetData>
  <conditionalFormatting sqref="H2:H299">
    <cfRule type="cellIs" dxfId="17" priority="2" operator="equal">
      <formula>"High"</formula>
    </cfRule>
  </conditionalFormatting>
  <conditionalFormatting sqref="O2:O299">
    <cfRule type="cellIs" dxfId="16" priority="3" operator="greaterThanOrEqual">
      <formula>14</formula>
    </cfRule>
  </conditionalFormatting>
  <dataValidations count="1">
    <dataValidation type="list" allowBlank="1" sqref="M2:M499" xr:uid="{00000000-0002-0000-0800-000000000000}">
      <formula1>"Open,Mitigating,Closed,Occurred"</formula1>
      <formula2>0</formula2>
    </dataValidation>
  </dataValidation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A1A1A"/>
    <pageSetUpPr fitToPage="1"/>
  </sheetPr>
  <dimension ref="A1:N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2" width="12" customWidth="1"/>
    <col min="3" max="3" width="9" customWidth="1"/>
    <col min="4" max="4" width="11" customWidth="1"/>
    <col min="5" max="5" width="20" customWidth="1"/>
    <col min="6" max="6" width="30" customWidth="1"/>
    <col min="7" max="8" width="18" customWidth="1"/>
    <col min="9" max="9" width="16" customWidth="1"/>
    <col min="10" max="10" width="18" customWidth="1"/>
    <col min="11" max="11" width="22" customWidth="1"/>
    <col min="12" max="12" width="14" customWidth="1"/>
    <col min="13" max="13" width="16" customWidth="1"/>
    <col min="14" max="14" width="14" customWidth="1"/>
  </cols>
  <sheetData>
    <row r="1" spans="1:14" ht="31.5" customHeight="1" x14ac:dyDescent="0.25">
      <c r="A1" s="18" t="s">
        <v>332</v>
      </c>
      <c r="B1" s="18" t="s">
        <v>333</v>
      </c>
      <c r="C1" s="18" t="s">
        <v>334</v>
      </c>
      <c r="D1" s="18" t="s">
        <v>335</v>
      </c>
      <c r="E1" s="18" t="s">
        <v>336</v>
      </c>
      <c r="F1" s="18" t="s">
        <v>337</v>
      </c>
      <c r="G1" s="18" t="s">
        <v>338</v>
      </c>
      <c r="H1" s="18" t="s">
        <v>339</v>
      </c>
      <c r="I1" s="18" t="s">
        <v>340</v>
      </c>
      <c r="J1" s="18" t="s">
        <v>341</v>
      </c>
      <c r="K1" s="18" t="s">
        <v>342</v>
      </c>
      <c r="L1" s="18" t="s">
        <v>343</v>
      </c>
      <c r="M1" s="18" t="s">
        <v>344</v>
      </c>
      <c r="N1" s="18" t="s">
        <v>345</v>
      </c>
    </row>
    <row r="301" spans="1:1" x14ac:dyDescent="0.25">
      <c r="A301" s="3" t="s">
        <v>346</v>
      </c>
    </row>
  </sheetData>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A1A1A"/>
    <pageSetUpPr fitToPage="1"/>
  </sheetPr>
  <dimension ref="A1:K301"/>
  <sheetViews>
    <sheetView showGridLines="0" zoomScaleNormal="100" workbookViewId="0">
      <pane ySplit="1" topLeftCell="A2" activePane="bottomLeft" state="frozen"/>
      <selection pane="bottomLeft" activeCell="B2" sqref="B2"/>
    </sheetView>
  </sheetViews>
  <sheetFormatPr defaultColWidth="8.7109375" defaultRowHeight="15" x14ac:dyDescent="0.25"/>
  <cols>
    <col min="1" max="1" width="10" customWidth="1"/>
    <col min="2" max="2" width="12" customWidth="1"/>
    <col min="3" max="3" width="16" customWidth="1"/>
    <col min="4" max="4" width="24" customWidth="1"/>
    <col min="5" max="6" width="28" customWidth="1"/>
    <col min="7" max="7" width="16" customWidth="1"/>
    <col min="8" max="9" width="12" customWidth="1"/>
    <col min="10" max="10" width="16" customWidth="1"/>
    <col min="11" max="11" width="22" customWidth="1"/>
  </cols>
  <sheetData>
    <row r="1" spans="1:11" ht="31.5" customHeight="1" x14ac:dyDescent="0.25">
      <c r="A1" s="18" t="s">
        <v>347</v>
      </c>
      <c r="B1" s="18" t="s">
        <v>332</v>
      </c>
      <c r="C1" s="18" t="s">
        <v>279</v>
      </c>
      <c r="D1" s="18" t="s">
        <v>348</v>
      </c>
      <c r="E1" s="18" t="s">
        <v>349</v>
      </c>
      <c r="F1" s="18" t="s">
        <v>350</v>
      </c>
      <c r="G1" s="18" t="s">
        <v>351</v>
      </c>
      <c r="H1" s="18" t="s">
        <v>352</v>
      </c>
      <c r="I1" s="18" t="s">
        <v>220</v>
      </c>
      <c r="J1" s="18" t="s">
        <v>353</v>
      </c>
      <c r="K1" s="18" t="s">
        <v>226</v>
      </c>
    </row>
    <row r="2" spans="1:11" x14ac:dyDescent="0.25">
      <c r="A2" t="s">
        <v>468</v>
      </c>
      <c r="B2" s="13">
        <v>46296</v>
      </c>
      <c r="C2" t="s">
        <v>469</v>
      </c>
      <c r="D2" t="s">
        <v>471</v>
      </c>
      <c r="E2" t="s">
        <v>472</v>
      </c>
      <c r="F2" t="s">
        <v>473</v>
      </c>
      <c r="G2" t="s">
        <v>474</v>
      </c>
      <c r="H2" s="24" t="s">
        <v>475</v>
      </c>
      <c r="I2" t="s">
        <v>470</v>
      </c>
      <c r="K2" t="s">
        <v>511</v>
      </c>
    </row>
    <row r="3" spans="1:11" x14ac:dyDescent="0.25">
      <c r="A3" t="s">
        <v>468</v>
      </c>
      <c r="B3" s="13">
        <v>46296</v>
      </c>
      <c r="C3" t="s">
        <v>469</v>
      </c>
      <c r="D3" t="s">
        <v>471</v>
      </c>
      <c r="E3" t="s">
        <v>476</v>
      </c>
      <c r="F3" t="s">
        <v>477</v>
      </c>
      <c r="G3" t="s">
        <v>478</v>
      </c>
      <c r="H3" s="24" t="s">
        <v>479</v>
      </c>
      <c r="I3" t="s">
        <v>470</v>
      </c>
      <c r="J3" t="s">
        <v>266</v>
      </c>
    </row>
    <row r="4" spans="1:11" x14ac:dyDescent="0.25">
      <c r="A4" t="s">
        <v>468</v>
      </c>
      <c r="B4" s="13">
        <v>46296</v>
      </c>
      <c r="C4" t="s">
        <v>469</v>
      </c>
      <c r="D4" t="s">
        <v>471</v>
      </c>
      <c r="E4" t="s">
        <v>509</v>
      </c>
      <c r="F4" t="s">
        <v>480</v>
      </c>
      <c r="G4" t="s">
        <v>510</v>
      </c>
      <c r="H4" s="24" t="s">
        <v>481</v>
      </c>
      <c r="I4" t="s">
        <v>470</v>
      </c>
    </row>
    <row r="5" spans="1:11" x14ac:dyDescent="0.25">
      <c r="A5" t="s">
        <v>468</v>
      </c>
      <c r="B5" s="13">
        <v>46296</v>
      </c>
      <c r="C5" t="s">
        <v>469</v>
      </c>
      <c r="D5" t="s">
        <v>471</v>
      </c>
      <c r="E5" t="s">
        <v>482</v>
      </c>
      <c r="F5" t="s">
        <v>483</v>
      </c>
      <c r="G5" t="s">
        <v>474</v>
      </c>
      <c r="H5" s="24" t="s">
        <v>484</v>
      </c>
      <c r="I5" t="s">
        <v>470</v>
      </c>
    </row>
    <row r="6" spans="1:11" x14ac:dyDescent="0.25">
      <c r="A6" t="s">
        <v>468</v>
      </c>
      <c r="B6" s="13">
        <v>46296</v>
      </c>
      <c r="C6" t="s">
        <v>469</v>
      </c>
      <c r="D6" t="s">
        <v>471</v>
      </c>
      <c r="E6" t="s">
        <v>485</v>
      </c>
      <c r="F6" t="s">
        <v>486</v>
      </c>
      <c r="G6" t="s">
        <v>487</v>
      </c>
      <c r="H6" s="24" t="s">
        <v>488</v>
      </c>
      <c r="I6" t="s">
        <v>470</v>
      </c>
    </row>
    <row r="7" spans="1:11" x14ac:dyDescent="0.25">
      <c r="A7" t="s">
        <v>468</v>
      </c>
      <c r="B7" s="13">
        <v>46296</v>
      </c>
      <c r="C7" t="s">
        <v>469</v>
      </c>
      <c r="D7" t="s">
        <v>471</v>
      </c>
      <c r="E7" t="s">
        <v>485</v>
      </c>
      <c r="F7" t="s">
        <v>489</v>
      </c>
      <c r="G7" t="s">
        <v>474</v>
      </c>
      <c r="H7" s="24" t="s">
        <v>475</v>
      </c>
      <c r="I7" t="s">
        <v>470</v>
      </c>
    </row>
    <row r="8" spans="1:11" x14ac:dyDescent="0.25">
      <c r="A8" t="s">
        <v>468</v>
      </c>
      <c r="B8" s="13">
        <v>46296</v>
      </c>
      <c r="C8" t="s">
        <v>469</v>
      </c>
      <c r="D8" t="s">
        <v>471</v>
      </c>
      <c r="E8" t="s">
        <v>490</v>
      </c>
      <c r="F8" t="s">
        <v>491</v>
      </c>
      <c r="G8" t="s">
        <v>487</v>
      </c>
      <c r="H8" s="24" t="s">
        <v>492</v>
      </c>
      <c r="I8" t="s">
        <v>470</v>
      </c>
    </row>
    <row r="9" spans="1:11" x14ac:dyDescent="0.25">
      <c r="A9" t="s">
        <v>468</v>
      </c>
      <c r="B9" s="13">
        <v>46296</v>
      </c>
      <c r="C9" t="s">
        <v>469</v>
      </c>
      <c r="D9" t="s">
        <v>471</v>
      </c>
      <c r="E9" t="s">
        <v>493</v>
      </c>
      <c r="F9" t="s">
        <v>494</v>
      </c>
      <c r="G9" t="s">
        <v>495</v>
      </c>
      <c r="H9" s="24" t="s">
        <v>496</v>
      </c>
      <c r="I9" t="s">
        <v>470</v>
      </c>
    </row>
    <row r="10" spans="1:11" x14ac:dyDescent="0.25">
      <c r="A10" t="s">
        <v>468</v>
      </c>
      <c r="B10" s="13">
        <v>46296</v>
      </c>
      <c r="C10" t="s">
        <v>469</v>
      </c>
      <c r="D10" t="s">
        <v>471</v>
      </c>
      <c r="E10" t="s">
        <v>497</v>
      </c>
      <c r="F10" t="s">
        <v>498</v>
      </c>
      <c r="G10" t="s">
        <v>499</v>
      </c>
      <c r="H10" s="13">
        <v>46303</v>
      </c>
      <c r="I10" t="s">
        <v>470</v>
      </c>
    </row>
    <row r="11" spans="1:11" x14ac:dyDescent="0.25">
      <c r="A11" t="s">
        <v>468</v>
      </c>
      <c r="B11" s="13">
        <v>46296</v>
      </c>
      <c r="C11" t="s">
        <v>469</v>
      </c>
      <c r="D11" t="s">
        <v>471</v>
      </c>
      <c r="E11" t="s">
        <v>508</v>
      </c>
      <c r="F11" t="s">
        <v>500</v>
      </c>
      <c r="G11" t="s">
        <v>499</v>
      </c>
      <c r="H11" s="24" t="s">
        <v>501</v>
      </c>
      <c r="I11" t="s">
        <v>470</v>
      </c>
    </row>
    <row r="12" spans="1:11" x14ac:dyDescent="0.25">
      <c r="A12" t="s">
        <v>468</v>
      </c>
      <c r="B12" s="13">
        <v>46296</v>
      </c>
      <c r="C12" t="s">
        <v>469</v>
      </c>
      <c r="D12" t="s">
        <v>471</v>
      </c>
      <c r="E12" t="s">
        <v>502</v>
      </c>
      <c r="F12" t="s">
        <v>503</v>
      </c>
      <c r="G12" t="s">
        <v>499</v>
      </c>
      <c r="H12" s="24" t="s">
        <v>488</v>
      </c>
      <c r="I12" t="s">
        <v>470</v>
      </c>
    </row>
    <row r="13" spans="1:11" x14ac:dyDescent="0.25">
      <c r="A13" t="s">
        <v>468</v>
      </c>
      <c r="B13" s="13">
        <v>46296</v>
      </c>
      <c r="C13" t="s">
        <v>469</v>
      </c>
      <c r="D13" t="s">
        <v>471</v>
      </c>
      <c r="E13" t="s">
        <v>504</v>
      </c>
      <c r="F13" t="s">
        <v>505</v>
      </c>
      <c r="G13" t="s">
        <v>474</v>
      </c>
      <c r="H13" s="24" t="s">
        <v>506</v>
      </c>
      <c r="I13" t="s">
        <v>470</v>
      </c>
      <c r="J13" t="s">
        <v>507</v>
      </c>
    </row>
    <row r="301" spans="1:1" x14ac:dyDescent="0.25">
      <c r="A301" s="3" t="s">
        <v>354</v>
      </c>
    </row>
  </sheetData>
  <conditionalFormatting sqref="I2:I299">
    <cfRule type="expression" dxfId="15" priority="2">
      <formula>AND(H2&lt;&gt;"",TODAY()&gt;H2,I2&lt;&gt;"Closed")</formula>
    </cfRule>
  </conditionalFormatting>
  <dataValidations count="1">
    <dataValidation type="list" allowBlank="1" sqref="I2:I499" xr:uid="{00000000-0002-0000-0A00-000000000000}">
      <formula1>"Open,Closed,Overdue"</formula1>
      <formula2>0</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A1A1A"/>
    <pageSetUpPr fitToPage="1"/>
  </sheetPr>
  <dimension ref="A1:J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8" customWidth="1"/>
    <col min="2" max="2" width="22" customWidth="1"/>
    <col min="3" max="3" width="14" customWidth="1"/>
    <col min="4" max="5" width="26" customWidth="1"/>
    <col min="6" max="7" width="11" customWidth="1"/>
    <col min="8" max="8" width="28" customWidth="1"/>
    <col min="9" max="9" width="14" customWidth="1"/>
    <col min="10" max="10" width="22" customWidth="1"/>
  </cols>
  <sheetData>
    <row r="1" spans="1:10" ht="31.5" customHeight="1" x14ac:dyDescent="0.25">
      <c r="A1" s="18" t="s">
        <v>355</v>
      </c>
      <c r="B1" s="18" t="s">
        <v>356</v>
      </c>
      <c r="C1" s="18" t="s">
        <v>357</v>
      </c>
      <c r="D1" s="18" t="s">
        <v>358</v>
      </c>
      <c r="E1" s="18" t="s">
        <v>359</v>
      </c>
      <c r="F1" s="18" t="s">
        <v>360</v>
      </c>
      <c r="G1" s="18" t="s">
        <v>361</v>
      </c>
      <c r="H1" s="18" t="s">
        <v>362</v>
      </c>
      <c r="I1" s="18" t="s">
        <v>220</v>
      </c>
      <c r="J1" s="18" t="s">
        <v>226</v>
      </c>
    </row>
    <row r="301" spans="1:1" x14ac:dyDescent="0.25">
      <c r="A301" s="3" t="s">
        <v>363</v>
      </c>
    </row>
  </sheetData>
  <conditionalFormatting sqref="G2:G299">
    <cfRule type="cellIs" dxfId="14" priority="2" operator="equal">
      <formula>"High"</formula>
    </cfRule>
  </conditionalFormatting>
  <dataValidations count="3">
    <dataValidation type="list" allowBlank="1" sqref="F2:F499" xr:uid="{00000000-0002-0000-0B00-000000000000}">
      <formula1>"Yes,No"</formula1>
      <formula2>0</formula2>
    </dataValidation>
    <dataValidation type="list" allowBlank="1" sqref="G2:G499" xr:uid="{00000000-0002-0000-0B00-000001000000}">
      <formula1>"High,Medium,Low"</formula1>
      <formula2>0</formula2>
    </dataValidation>
    <dataValidation type="list" allowBlank="1" sqref="I2:I499" xr:uid="{00000000-0002-0000-0B00-000002000000}">
      <formula1>"Open,Negotiating,Accepted,Resolved"</formula1>
      <formula2>0</formula2>
    </dataValidation>
  </dataValidation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A1A1A"/>
    <pageSetUpPr fitToPage="1"/>
  </sheetPr>
  <dimension ref="A1:K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26" customWidth="1"/>
    <col min="2" max="5" width="14" customWidth="1"/>
    <col min="6" max="6" width="12" customWidth="1"/>
    <col min="7" max="7" width="13" customWidth="1"/>
    <col min="8" max="9" width="12" customWidth="1"/>
    <col min="10" max="10" width="16" customWidth="1"/>
    <col min="11" max="11" width="26" customWidth="1"/>
  </cols>
  <sheetData>
    <row r="1" spans="1:11" ht="31.5" customHeight="1" x14ac:dyDescent="0.25">
      <c r="A1" s="18" t="s">
        <v>364</v>
      </c>
      <c r="B1" s="18" t="s">
        <v>365</v>
      </c>
      <c r="C1" s="18" t="s">
        <v>366</v>
      </c>
      <c r="D1" s="18" t="s">
        <v>367</v>
      </c>
      <c r="E1" s="18" t="s">
        <v>368</v>
      </c>
      <c r="F1" s="18" t="s">
        <v>369</v>
      </c>
      <c r="G1" s="18" t="s">
        <v>370</v>
      </c>
      <c r="H1" s="18" t="s">
        <v>220</v>
      </c>
      <c r="I1" s="18" t="s">
        <v>371</v>
      </c>
      <c r="J1" s="18" t="s">
        <v>372</v>
      </c>
      <c r="K1" s="18" t="s">
        <v>373</v>
      </c>
    </row>
    <row r="2" spans="1:11" x14ac:dyDescent="0.25">
      <c r="G2" t="str">
        <f t="shared" ref="G2:G65" si="0">IF(A2="","",IF(AND(C2&lt;&gt;"",E2&lt;&gt;""),E2-C2,""))</f>
        <v/>
      </c>
      <c r="H2" t="str">
        <f t="shared" ref="H2:H65" si="1">IF(A2="","",IF(G2="","",IF(G2&gt;5,"Delayed",IF(G2&gt;0,"At Risk","On Track"))))</f>
        <v/>
      </c>
    </row>
    <row r="3" spans="1:11" x14ac:dyDescent="0.25">
      <c r="G3" t="str">
        <f t="shared" si="0"/>
        <v/>
      </c>
      <c r="H3" t="str">
        <f t="shared" si="1"/>
        <v/>
      </c>
    </row>
    <row r="4" spans="1:11" x14ac:dyDescent="0.25">
      <c r="G4" t="str">
        <f t="shared" si="0"/>
        <v/>
      </c>
      <c r="H4" t="str">
        <f t="shared" si="1"/>
        <v/>
      </c>
    </row>
    <row r="5" spans="1:11" x14ac:dyDescent="0.25">
      <c r="G5" t="str">
        <f t="shared" si="0"/>
        <v/>
      </c>
      <c r="H5" t="str">
        <f t="shared" si="1"/>
        <v/>
      </c>
    </row>
    <row r="6" spans="1:11" x14ac:dyDescent="0.25">
      <c r="G6" t="str">
        <f t="shared" si="0"/>
        <v/>
      </c>
      <c r="H6" t="str">
        <f t="shared" si="1"/>
        <v/>
      </c>
    </row>
    <row r="7" spans="1:11" x14ac:dyDescent="0.25">
      <c r="G7" t="str">
        <f t="shared" si="0"/>
        <v/>
      </c>
      <c r="H7" t="str">
        <f t="shared" si="1"/>
        <v/>
      </c>
    </row>
    <row r="8" spans="1:11" x14ac:dyDescent="0.25">
      <c r="G8" t="str">
        <f t="shared" si="0"/>
        <v/>
      </c>
      <c r="H8" t="str">
        <f t="shared" si="1"/>
        <v/>
      </c>
    </row>
    <row r="9" spans="1:11" x14ac:dyDescent="0.25">
      <c r="G9" t="str">
        <f t="shared" si="0"/>
        <v/>
      </c>
      <c r="H9" t="str">
        <f t="shared" si="1"/>
        <v/>
      </c>
    </row>
    <row r="10" spans="1:11" x14ac:dyDescent="0.25">
      <c r="G10" t="str">
        <f t="shared" si="0"/>
        <v/>
      </c>
      <c r="H10" t="str">
        <f t="shared" si="1"/>
        <v/>
      </c>
    </row>
    <row r="11" spans="1:11" x14ac:dyDescent="0.25">
      <c r="G11" t="str">
        <f t="shared" si="0"/>
        <v/>
      </c>
      <c r="H11" t="str">
        <f t="shared" si="1"/>
        <v/>
      </c>
    </row>
    <row r="12" spans="1:11" x14ac:dyDescent="0.25">
      <c r="G12" t="str">
        <f t="shared" si="0"/>
        <v/>
      </c>
      <c r="H12" t="str">
        <f t="shared" si="1"/>
        <v/>
      </c>
    </row>
    <row r="13" spans="1:11" x14ac:dyDescent="0.25">
      <c r="G13" t="str">
        <f t="shared" si="0"/>
        <v/>
      </c>
      <c r="H13" t="str">
        <f t="shared" si="1"/>
        <v/>
      </c>
    </row>
    <row r="14" spans="1:11" x14ac:dyDescent="0.25">
      <c r="G14" t="str">
        <f t="shared" si="0"/>
        <v/>
      </c>
      <c r="H14" t="str">
        <f t="shared" si="1"/>
        <v/>
      </c>
    </row>
    <row r="15" spans="1:11" x14ac:dyDescent="0.25">
      <c r="G15" t="str">
        <f t="shared" si="0"/>
        <v/>
      </c>
      <c r="H15" t="str">
        <f t="shared" si="1"/>
        <v/>
      </c>
    </row>
    <row r="16" spans="1:11" x14ac:dyDescent="0.25">
      <c r="G16" t="str">
        <f t="shared" si="0"/>
        <v/>
      </c>
      <c r="H16" t="str">
        <f t="shared" si="1"/>
        <v/>
      </c>
    </row>
    <row r="17" spans="7:8" x14ac:dyDescent="0.25">
      <c r="G17" t="str">
        <f t="shared" si="0"/>
        <v/>
      </c>
      <c r="H17" t="str">
        <f t="shared" si="1"/>
        <v/>
      </c>
    </row>
    <row r="18" spans="7:8" x14ac:dyDescent="0.25">
      <c r="G18" t="str">
        <f t="shared" si="0"/>
        <v/>
      </c>
      <c r="H18" t="str">
        <f t="shared" si="1"/>
        <v/>
      </c>
    </row>
    <row r="19" spans="7:8" x14ac:dyDescent="0.25">
      <c r="G19" t="str">
        <f t="shared" si="0"/>
        <v/>
      </c>
      <c r="H19" t="str">
        <f t="shared" si="1"/>
        <v/>
      </c>
    </row>
    <row r="20" spans="7:8" x14ac:dyDescent="0.25">
      <c r="G20" t="str">
        <f t="shared" si="0"/>
        <v/>
      </c>
      <c r="H20" t="str">
        <f t="shared" si="1"/>
        <v/>
      </c>
    </row>
    <row r="21" spans="7:8" x14ac:dyDescent="0.25">
      <c r="G21" t="str">
        <f t="shared" si="0"/>
        <v/>
      </c>
      <c r="H21" t="str">
        <f t="shared" si="1"/>
        <v/>
      </c>
    </row>
    <row r="22" spans="7:8" x14ac:dyDescent="0.25">
      <c r="G22" t="str">
        <f t="shared" si="0"/>
        <v/>
      </c>
      <c r="H22" t="str">
        <f t="shared" si="1"/>
        <v/>
      </c>
    </row>
    <row r="23" spans="7:8" x14ac:dyDescent="0.25">
      <c r="G23" t="str">
        <f t="shared" si="0"/>
        <v/>
      </c>
      <c r="H23" t="str">
        <f t="shared" si="1"/>
        <v/>
      </c>
    </row>
    <row r="24" spans="7:8" x14ac:dyDescent="0.25">
      <c r="G24" t="str">
        <f t="shared" si="0"/>
        <v/>
      </c>
      <c r="H24" t="str">
        <f t="shared" si="1"/>
        <v/>
      </c>
    </row>
    <row r="25" spans="7:8" x14ac:dyDescent="0.25">
      <c r="G25" t="str">
        <f t="shared" si="0"/>
        <v/>
      </c>
      <c r="H25" t="str">
        <f t="shared" si="1"/>
        <v/>
      </c>
    </row>
    <row r="26" spans="7:8" x14ac:dyDescent="0.25">
      <c r="G26" t="str">
        <f t="shared" si="0"/>
        <v/>
      </c>
      <c r="H26" t="str">
        <f t="shared" si="1"/>
        <v/>
      </c>
    </row>
    <row r="27" spans="7:8" x14ac:dyDescent="0.25">
      <c r="G27" t="str">
        <f t="shared" si="0"/>
        <v/>
      </c>
      <c r="H27" t="str">
        <f t="shared" si="1"/>
        <v/>
      </c>
    </row>
    <row r="28" spans="7:8" x14ac:dyDescent="0.25">
      <c r="G28" t="str">
        <f t="shared" si="0"/>
        <v/>
      </c>
      <c r="H28" t="str">
        <f t="shared" si="1"/>
        <v/>
      </c>
    </row>
    <row r="29" spans="7:8" x14ac:dyDescent="0.25">
      <c r="G29" t="str">
        <f t="shared" si="0"/>
        <v/>
      </c>
      <c r="H29" t="str">
        <f t="shared" si="1"/>
        <v/>
      </c>
    </row>
    <row r="30" spans="7:8" x14ac:dyDescent="0.25">
      <c r="G30" t="str">
        <f t="shared" si="0"/>
        <v/>
      </c>
      <c r="H30" t="str">
        <f t="shared" si="1"/>
        <v/>
      </c>
    </row>
    <row r="31" spans="7:8" x14ac:dyDescent="0.25">
      <c r="G31" t="str">
        <f t="shared" si="0"/>
        <v/>
      </c>
      <c r="H31" t="str">
        <f t="shared" si="1"/>
        <v/>
      </c>
    </row>
    <row r="32" spans="7:8" x14ac:dyDescent="0.25">
      <c r="G32" t="str">
        <f t="shared" si="0"/>
        <v/>
      </c>
      <c r="H32" t="str">
        <f t="shared" si="1"/>
        <v/>
      </c>
    </row>
    <row r="33" spans="7:8" x14ac:dyDescent="0.25">
      <c r="G33" t="str">
        <f t="shared" si="0"/>
        <v/>
      </c>
      <c r="H33" t="str">
        <f t="shared" si="1"/>
        <v/>
      </c>
    </row>
    <row r="34" spans="7:8" x14ac:dyDescent="0.25">
      <c r="G34" t="str">
        <f t="shared" si="0"/>
        <v/>
      </c>
      <c r="H34" t="str">
        <f t="shared" si="1"/>
        <v/>
      </c>
    </row>
    <row r="35" spans="7:8" x14ac:dyDescent="0.25">
      <c r="G35" t="str">
        <f t="shared" si="0"/>
        <v/>
      </c>
      <c r="H35" t="str">
        <f t="shared" si="1"/>
        <v/>
      </c>
    </row>
    <row r="36" spans="7:8" x14ac:dyDescent="0.25">
      <c r="G36" t="str">
        <f t="shared" si="0"/>
        <v/>
      </c>
      <c r="H36" t="str">
        <f t="shared" si="1"/>
        <v/>
      </c>
    </row>
    <row r="37" spans="7:8" x14ac:dyDescent="0.25">
      <c r="G37" t="str">
        <f t="shared" si="0"/>
        <v/>
      </c>
      <c r="H37" t="str">
        <f t="shared" si="1"/>
        <v/>
      </c>
    </row>
    <row r="38" spans="7:8" x14ac:dyDescent="0.25">
      <c r="G38" t="str">
        <f t="shared" si="0"/>
        <v/>
      </c>
      <c r="H38" t="str">
        <f t="shared" si="1"/>
        <v/>
      </c>
    </row>
    <row r="39" spans="7:8" x14ac:dyDescent="0.25">
      <c r="G39" t="str">
        <f t="shared" si="0"/>
        <v/>
      </c>
      <c r="H39" t="str">
        <f t="shared" si="1"/>
        <v/>
      </c>
    </row>
    <row r="40" spans="7:8" x14ac:dyDescent="0.25">
      <c r="G40" t="str">
        <f t="shared" si="0"/>
        <v/>
      </c>
      <c r="H40" t="str">
        <f t="shared" si="1"/>
        <v/>
      </c>
    </row>
    <row r="41" spans="7:8" x14ac:dyDescent="0.25">
      <c r="G41" t="str">
        <f t="shared" si="0"/>
        <v/>
      </c>
      <c r="H41" t="str">
        <f t="shared" si="1"/>
        <v/>
      </c>
    </row>
    <row r="42" spans="7:8" x14ac:dyDescent="0.25">
      <c r="G42" t="str">
        <f t="shared" si="0"/>
        <v/>
      </c>
      <c r="H42" t="str">
        <f t="shared" si="1"/>
        <v/>
      </c>
    </row>
    <row r="43" spans="7:8" x14ac:dyDescent="0.25">
      <c r="G43" t="str">
        <f t="shared" si="0"/>
        <v/>
      </c>
      <c r="H43" t="str">
        <f t="shared" si="1"/>
        <v/>
      </c>
    </row>
    <row r="44" spans="7:8" x14ac:dyDescent="0.25">
      <c r="G44" t="str">
        <f t="shared" si="0"/>
        <v/>
      </c>
      <c r="H44" t="str">
        <f t="shared" si="1"/>
        <v/>
      </c>
    </row>
    <row r="45" spans="7:8" x14ac:dyDescent="0.25">
      <c r="G45" t="str">
        <f t="shared" si="0"/>
        <v/>
      </c>
      <c r="H45" t="str">
        <f t="shared" si="1"/>
        <v/>
      </c>
    </row>
    <row r="46" spans="7:8" x14ac:dyDescent="0.25">
      <c r="G46" t="str">
        <f t="shared" si="0"/>
        <v/>
      </c>
      <c r="H46" t="str">
        <f t="shared" si="1"/>
        <v/>
      </c>
    </row>
    <row r="47" spans="7:8" x14ac:dyDescent="0.25">
      <c r="G47" t="str">
        <f t="shared" si="0"/>
        <v/>
      </c>
      <c r="H47" t="str">
        <f t="shared" si="1"/>
        <v/>
      </c>
    </row>
    <row r="48" spans="7:8" x14ac:dyDescent="0.25">
      <c r="G48" t="str">
        <f t="shared" si="0"/>
        <v/>
      </c>
      <c r="H48" t="str">
        <f t="shared" si="1"/>
        <v/>
      </c>
    </row>
    <row r="49" spans="7:8" x14ac:dyDescent="0.25">
      <c r="G49" t="str">
        <f t="shared" si="0"/>
        <v/>
      </c>
      <c r="H49" t="str">
        <f t="shared" si="1"/>
        <v/>
      </c>
    </row>
    <row r="50" spans="7:8" x14ac:dyDescent="0.25">
      <c r="G50" t="str">
        <f t="shared" si="0"/>
        <v/>
      </c>
      <c r="H50" t="str">
        <f t="shared" si="1"/>
        <v/>
      </c>
    </row>
    <row r="51" spans="7:8" x14ac:dyDescent="0.25">
      <c r="G51" t="str">
        <f t="shared" si="0"/>
        <v/>
      </c>
      <c r="H51" t="str">
        <f t="shared" si="1"/>
        <v/>
      </c>
    </row>
    <row r="52" spans="7:8" x14ac:dyDescent="0.25">
      <c r="G52" t="str">
        <f t="shared" si="0"/>
        <v/>
      </c>
      <c r="H52" t="str">
        <f t="shared" si="1"/>
        <v/>
      </c>
    </row>
    <row r="53" spans="7:8" x14ac:dyDescent="0.25">
      <c r="G53" t="str">
        <f t="shared" si="0"/>
        <v/>
      </c>
      <c r="H53" t="str">
        <f t="shared" si="1"/>
        <v/>
      </c>
    </row>
    <row r="54" spans="7:8" x14ac:dyDescent="0.25">
      <c r="G54" t="str">
        <f t="shared" si="0"/>
        <v/>
      </c>
      <c r="H54" t="str">
        <f t="shared" si="1"/>
        <v/>
      </c>
    </row>
    <row r="55" spans="7:8" x14ac:dyDescent="0.25">
      <c r="G55" t="str">
        <f t="shared" si="0"/>
        <v/>
      </c>
      <c r="H55" t="str">
        <f t="shared" si="1"/>
        <v/>
      </c>
    </row>
    <row r="56" spans="7:8" x14ac:dyDescent="0.25">
      <c r="G56" t="str">
        <f t="shared" si="0"/>
        <v/>
      </c>
      <c r="H56" t="str">
        <f t="shared" si="1"/>
        <v/>
      </c>
    </row>
    <row r="57" spans="7:8" x14ac:dyDescent="0.25">
      <c r="G57" t="str">
        <f t="shared" si="0"/>
        <v/>
      </c>
      <c r="H57" t="str">
        <f t="shared" si="1"/>
        <v/>
      </c>
    </row>
    <row r="58" spans="7:8" x14ac:dyDescent="0.25">
      <c r="G58" t="str">
        <f t="shared" si="0"/>
        <v/>
      </c>
      <c r="H58" t="str">
        <f t="shared" si="1"/>
        <v/>
      </c>
    </row>
    <row r="59" spans="7:8" x14ac:dyDescent="0.25">
      <c r="G59" t="str">
        <f t="shared" si="0"/>
        <v/>
      </c>
      <c r="H59" t="str">
        <f t="shared" si="1"/>
        <v/>
      </c>
    </row>
    <row r="60" spans="7:8" x14ac:dyDescent="0.25">
      <c r="G60" t="str">
        <f t="shared" si="0"/>
        <v/>
      </c>
      <c r="H60" t="str">
        <f t="shared" si="1"/>
        <v/>
      </c>
    </row>
    <row r="61" spans="7:8" x14ac:dyDescent="0.25">
      <c r="G61" t="str">
        <f t="shared" si="0"/>
        <v/>
      </c>
      <c r="H61" t="str">
        <f t="shared" si="1"/>
        <v/>
      </c>
    </row>
    <row r="62" spans="7:8" x14ac:dyDescent="0.25">
      <c r="G62" t="str">
        <f t="shared" si="0"/>
        <v/>
      </c>
      <c r="H62" t="str">
        <f t="shared" si="1"/>
        <v/>
      </c>
    </row>
    <row r="63" spans="7:8" x14ac:dyDescent="0.25">
      <c r="G63" t="str">
        <f t="shared" si="0"/>
        <v/>
      </c>
      <c r="H63" t="str">
        <f t="shared" si="1"/>
        <v/>
      </c>
    </row>
    <row r="64" spans="7:8" x14ac:dyDescent="0.25">
      <c r="G64" t="str">
        <f t="shared" si="0"/>
        <v/>
      </c>
      <c r="H64" t="str">
        <f t="shared" si="1"/>
        <v/>
      </c>
    </row>
    <row r="65" spans="7:8" x14ac:dyDescent="0.25">
      <c r="G65" t="str">
        <f t="shared" si="0"/>
        <v/>
      </c>
      <c r="H65" t="str">
        <f t="shared" si="1"/>
        <v/>
      </c>
    </row>
    <row r="66" spans="7:8" x14ac:dyDescent="0.25">
      <c r="G66" t="str">
        <f t="shared" ref="G66:G129" si="2">IF(A66="","",IF(AND(C66&lt;&gt;"",E66&lt;&gt;""),E66-C66,""))</f>
        <v/>
      </c>
      <c r="H66" t="str">
        <f t="shared" ref="H66:H129" si="3">IF(A66="","",IF(G66="","",IF(G66&gt;5,"Delayed",IF(G66&gt;0,"At Risk","On Track"))))</f>
        <v/>
      </c>
    </row>
    <row r="67" spans="7:8" x14ac:dyDescent="0.25">
      <c r="G67" t="str">
        <f t="shared" si="2"/>
        <v/>
      </c>
      <c r="H67" t="str">
        <f t="shared" si="3"/>
        <v/>
      </c>
    </row>
    <row r="68" spans="7:8" x14ac:dyDescent="0.25">
      <c r="G68" t="str">
        <f t="shared" si="2"/>
        <v/>
      </c>
      <c r="H68" t="str">
        <f t="shared" si="3"/>
        <v/>
      </c>
    </row>
    <row r="69" spans="7:8" x14ac:dyDescent="0.25">
      <c r="G69" t="str">
        <f t="shared" si="2"/>
        <v/>
      </c>
      <c r="H69" t="str">
        <f t="shared" si="3"/>
        <v/>
      </c>
    </row>
    <row r="70" spans="7:8" x14ac:dyDescent="0.25">
      <c r="G70" t="str">
        <f t="shared" si="2"/>
        <v/>
      </c>
      <c r="H70" t="str">
        <f t="shared" si="3"/>
        <v/>
      </c>
    </row>
    <row r="71" spans="7:8" x14ac:dyDescent="0.25">
      <c r="G71" t="str">
        <f t="shared" si="2"/>
        <v/>
      </c>
      <c r="H71" t="str">
        <f t="shared" si="3"/>
        <v/>
      </c>
    </row>
    <row r="72" spans="7:8" x14ac:dyDescent="0.25">
      <c r="G72" t="str">
        <f t="shared" si="2"/>
        <v/>
      </c>
      <c r="H72" t="str">
        <f t="shared" si="3"/>
        <v/>
      </c>
    </row>
    <row r="73" spans="7:8" x14ac:dyDescent="0.25">
      <c r="G73" t="str">
        <f t="shared" si="2"/>
        <v/>
      </c>
      <c r="H73" t="str">
        <f t="shared" si="3"/>
        <v/>
      </c>
    </row>
    <row r="74" spans="7:8" x14ac:dyDescent="0.25">
      <c r="G74" t="str">
        <f t="shared" si="2"/>
        <v/>
      </c>
      <c r="H74" t="str">
        <f t="shared" si="3"/>
        <v/>
      </c>
    </row>
    <row r="75" spans="7:8" x14ac:dyDescent="0.25">
      <c r="G75" t="str">
        <f t="shared" si="2"/>
        <v/>
      </c>
      <c r="H75" t="str">
        <f t="shared" si="3"/>
        <v/>
      </c>
    </row>
    <row r="76" spans="7:8" x14ac:dyDescent="0.25">
      <c r="G76" t="str">
        <f t="shared" si="2"/>
        <v/>
      </c>
      <c r="H76" t="str">
        <f t="shared" si="3"/>
        <v/>
      </c>
    </row>
    <row r="77" spans="7:8" x14ac:dyDescent="0.25">
      <c r="G77" t="str">
        <f t="shared" si="2"/>
        <v/>
      </c>
      <c r="H77" t="str">
        <f t="shared" si="3"/>
        <v/>
      </c>
    </row>
    <row r="78" spans="7:8" x14ac:dyDescent="0.25">
      <c r="G78" t="str">
        <f t="shared" si="2"/>
        <v/>
      </c>
      <c r="H78" t="str">
        <f t="shared" si="3"/>
        <v/>
      </c>
    </row>
    <row r="79" spans="7:8" x14ac:dyDescent="0.25">
      <c r="G79" t="str">
        <f t="shared" si="2"/>
        <v/>
      </c>
      <c r="H79" t="str">
        <f t="shared" si="3"/>
        <v/>
      </c>
    </row>
    <row r="80" spans="7:8" x14ac:dyDescent="0.25">
      <c r="G80" t="str">
        <f t="shared" si="2"/>
        <v/>
      </c>
      <c r="H80" t="str">
        <f t="shared" si="3"/>
        <v/>
      </c>
    </row>
    <row r="81" spans="7:8" x14ac:dyDescent="0.25">
      <c r="G81" t="str">
        <f t="shared" si="2"/>
        <v/>
      </c>
      <c r="H81" t="str">
        <f t="shared" si="3"/>
        <v/>
      </c>
    </row>
    <row r="82" spans="7:8" x14ac:dyDescent="0.25">
      <c r="G82" t="str">
        <f t="shared" si="2"/>
        <v/>
      </c>
      <c r="H82" t="str">
        <f t="shared" si="3"/>
        <v/>
      </c>
    </row>
    <row r="83" spans="7:8" x14ac:dyDescent="0.25">
      <c r="G83" t="str">
        <f t="shared" si="2"/>
        <v/>
      </c>
      <c r="H83" t="str">
        <f t="shared" si="3"/>
        <v/>
      </c>
    </row>
    <row r="84" spans="7:8" x14ac:dyDescent="0.25">
      <c r="G84" t="str">
        <f t="shared" si="2"/>
        <v/>
      </c>
      <c r="H84" t="str">
        <f t="shared" si="3"/>
        <v/>
      </c>
    </row>
    <row r="85" spans="7:8" x14ac:dyDescent="0.25">
      <c r="G85" t="str">
        <f t="shared" si="2"/>
        <v/>
      </c>
      <c r="H85" t="str">
        <f t="shared" si="3"/>
        <v/>
      </c>
    </row>
    <row r="86" spans="7:8" x14ac:dyDescent="0.25">
      <c r="G86" t="str">
        <f t="shared" si="2"/>
        <v/>
      </c>
      <c r="H86" t="str">
        <f t="shared" si="3"/>
        <v/>
      </c>
    </row>
    <row r="87" spans="7:8" x14ac:dyDescent="0.25">
      <c r="G87" t="str">
        <f t="shared" si="2"/>
        <v/>
      </c>
      <c r="H87" t="str">
        <f t="shared" si="3"/>
        <v/>
      </c>
    </row>
    <row r="88" spans="7:8" x14ac:dyDescent="0.25">
      <c r="G88" t="str">
        <f t="shared" si="2"/>
        <v/>
      </c>
      <c r="H88" t="str">
        <f t="shared" si="3"/>
        <v/>
      </c>
    </row>
    <row r="89" spans="7:8" x14ac:dyDescent="0.25">
      <c r="G89" t="str">
        <f t="shared" si="2"/>
        <v/>
      </c>
      <c r="H89" t="str">
        <f t="shared" si="3"/>
        <v/>
      </c>
    </row>
    <row r="90" spans="7:8" x14ac:dyDescent="0.25">
      <c r="G90" t="str">
        <f t="shared" si="2"/>
        <v/>
      </c>
      <c r="H90" t="str">
        <f t="shared" si="3"/>
        <v/>
      </c>
    </row>
    <row r="91" spans="7:8" x14ac:dyDescent="0.25">
      <c r="G91" t="str">
        <f t="shared" si="2"/>
        <v/>
      </c>
      <c r="H91" t="str">
        <f t="shared" si="3"/>
        <v/>
      </c>
    </row>
    <row r="92" spans="7:8" x14ac:dyDescent="0.25">
      <c r="G92" t="str">
        <f t="shared" si="2"/>
        <v/>
      </c>
      <c r="H92" t="str">
        <f t="shared" si="3"/>
        <v/>
      </c>
    </row>
    <row r="93" spans="7:8" x14ac:dyDescent="0.25">
      <c r="G93" t="str">
        <f t="shared" si="2"/>
        <v/>
      </c>
      <c r="H93" t="str">
        <f t="shared" si="3"/>
        <v/>
      </c>
    </row>
    <row r="94" spans="7:8" x14ac:dyDescent="0.25">
      <c r="G94" t="str">
        <f t="shared" si="2"/>
        <v/>
      </c>
      <c r="H94" t="str">
        <f t="shared" si="3"/>
        <v/>
      </c>
    </row>
    <row r="95" spans="7:8" x14ac:dyDescent="0.25">
      <c r="G95" t="str">
        <f t="shared" si="2"/>
        <v/>
      </c>
      <c r="H95" t="str">
        <f t="shared" si="3"/>
        <v/>
      </c>
    </row>
    <row r="96" spans="7:8" x14ac:dyDescent="0.25">
      <c r="G96" t="str">
        <f t="shared" si="2"/>
        <v/>
      </c>
      <c r="H96" t="str">
        <f t="shared" si="3"/>
        <v/>
      </c>
    </row>
    <row r="97" spans="7:8" x14ac:dyDescent="0.25">
      <c r="G97" t="str">
        <f t="shared" si="2"/>
        <v/>
      </c>
      <c r="H97" t="str">
        <f t="shared" si="3"/>
        <v/>
      </c>
    </row>
    <row r="98" spans="7:8" x14ac:dyDescent="0.25">
      <c r="G98" t="str">
        <f t="shared" si="2"/>
        <v/>
      </c>
      <c r="H98" t="str">
        <f t="shared" si="3"/>
        <v/>
      </c>
    </row>
    <row r="99" spans="7:8" x14ac:dyDescent="0.25">
      <c r="G99" t="str">
        <f t="shared" si="2"/>
        <v/>
      </c>
      <c r="H99" t="str">
        <f t="shared" si="3"/>
        <v/>
      </c>
    </row>
    <row r="100" spans="7:8" x14ac:dyDescent="0.25">
      <c r="G100" t="str">
        <f t="shared" si="2"/>
        <v/>
      </c>
      <c r="H100" t="str">
        <f t="shared" si="3"/>
        <v/>
      </c>
    </row>
    <row r="101" spans="7:8" x14ac:dyDescent="0.25">
      <c r="G101" t="str">
        <f t="shared" si="2"/>
        <v/>
      </c>
      <c r="H101" t="str">
        <f t="shared" si="3"/>
        <v/>
      </c>
    </row>
    <row r="102" spans="7:8" x14ac:dyDescent="0.25">
      <c r="G102" t="str">
        <f t="shared" si="2"/>
        <v/>
      </c>
      <c r="H102" t="str">
        <f t="shared" si="3"/>
        <v/>
      </c>
    </row>
    <row r="103" spans="7:8" x14ac:dyDescent="0.25">
      <c r="G103" t="str">
        <f t="shared" si="2"/>
        <v/>
      </c>
      <c r="H103" t="str">
        <f t="shared" si="3"/>
        <v/>
      </c>
    </row>
    <row r="104" spans="7:8" x14ac:dyDescent="0.25">
      <c r="G104" t="str">
        <f t="shared" si="2"/>
        <v/>
      </c>
      <c r="H104" t="str">
        <f t="shared" si="3"/>
        <v/>
      </c>
    </row>
    <row r="105" spans="7:8" x14ac:dyDescent="0.25">
      <c r="G105" t="str">
        <f t="shared" si="2"/>
        <v/>
      </c>
      <c r="H105" t="str">
        <f t="shared" si="3"/>
        <v/>
      </c>
    </row>
    <row r="106" spans="7:8" x14ac:dyDescent="0.25">
      <c r="G106" t="str">
        <f t="shared" si="2"/>
        <v/>
      </c>
      <c r="H106" t="str">
        <f t="shared" si="3"/>
        <v/>
      </c>
    </row>
    <row r="107" spans="7:8" x14ac:dyDescent="0.25">
      <c r="G107" t="str">
        <f t="shared" si="2"/>
        <v/>
      </c>
      <c r="H107" t="str">
        <f t="shared" si="3"/>
        <v/>
      </c>
    </row>
    <row r="108" spans="7:8" x14ac:dyDescent="0.25">
      <c r="G108" t="str">
        <f t="shared" si="2"/>
        <v/>
      </c>
      <c r="H108" t="str">
        <f t="shared" si="3"/>
        <v/>
      </c>
    </row>
    <row r="109" spans="7:8" x14ac:dyDescent="0.25">
      <c r="G109" t="str">
        <f t="shared" si="2"/>
        <v/>
      </c>
      <c r="H109" t="str">
        <f t="shared" si="3"/>
        <v/>
      </c>
    </row>
    <row r="110" spans="7:8" x14ac:dyDescent="0.25">
      <c r="G110" t="str">
        <f t="shared" si="2"/>
        <v/>
      </c>
      <c r="H110" t="str">
        <f t="shared" si="3"/>
        <v/>
      </c>
    </row>
    <row r="111" spans="7:8" x14ac:dyDescent="0.25">
      <c r="G111" t="str">
        <f t="shared" si="2"/>
        <v/>
      </c>
      <c r="H111" t="str">
        <f t="shared" si="3"/>
        <v/>
      </c>
    </row>
    <row r="112" spans="7:8" x14ac:dyDescent="0.25">
      <c r="G112" t="str">
        <f t="shared" si="2"/>
        <v/>
      </c>
      <c r="H112" t="str">
        <f t="shared" si="3"/>
        <v/>
      </c>
    </row>
    <row r="113" spans="7:8" x14ac:dyDescent="0.25">
      <c r="G113" t="str">
        <f t="shared" si="2"/>
        <v/>
      </c>
      <c r="H113" t="str">
        <f t="shared" si="3"/>
        <v/>
      </c>
    </row>
    <row r="114" spans="7:8" x14ac:dyDescent="0.25">
      <c r="G114" t="str">
        <f t="shared" si="2"/>
        <v/>
      </c>
      <c r="H114" t="str">
        <f t="shared" si="3"/>
        <v/>
      </c>
    </row>
    <row r="115" spans="7:8" x14ac:dyDescent="0.25">
      <c r="G115" t="str">
        <f t="shared" si="2"/>
        <v/>
      </c>
      <c r="H115" t="str">
        <f t="shared" si="3"/>
        <v/>
      </c>
    </row>
    <row r="116" spans="7:8" x14ac:dyDescent="0.25">
      <c r="G116" t="str">
        <f t="shared" si="2"/>
        <v/>
      </c>
      <c r="H116" t="str">
        <f t="shared" si="3"/>
        <v/>
      </c>
    </row>
    <row r="117" spans="7:8" x14ac:dyDescent="0.25">
      <c r="G117" t="str">
        <f t="shared" si="2"/>
        <v/>
      </c>
      <c r="H117" t="str">
        <f t="shared" si="3"/>
        <v/>
      </c>
    </row>
    <row r="118" spans="7:8" x14ac:dyDescent="0.25">
      <c r="G118" t="str">
        <f t="shared" si="2"/>
        <v/>
      </c>
      <c r="H118" t="str">
        <f t="shared" si="3"/>
        <v/>
      </c>
    </row>
    <row r="119" spans="7:8" x14ac:dyDescent="0.25">
      <c r="G119" t="str">
        <f t="shared" si="2"/>
        <v/>
      </c>
      <c r="H119" t="str">
        <f t="shared" si="3"/>
        <v/>
      </c>
    </row>
    <row r="120" spans="7:8" x14ac:dyDescent="0.25">
      <c r="G120" t="str">
        <f t="shared" si="2"/>
        <v/>
      </c>
      <c r="H120" t="str">
        <f t="shared" si="3"/>
        <v/>
      </c>
    </row>
    <row r="121" spans="7:8" x14ac:dyDescent="0.25">
      <c r="G121" t="str">
        <f t="shared" si="2"/>
        <v/>
      </c>
      <c r="H121" t="str">
        <f t="shared" si="3"/>
        <v/>
      </c>
    </row>
    <row r="122" spans="7:8" x14ac:dyDescent="0.25">
      <c r="G122" t="str">
        <f t="shared" si="2"/>
        <v/>
      </c>
      <c r="H122" t="str">
        <f t="shared" si="3"/>
        <v/>
      </c>
    </row>
    <row r="123" spans="7:8" x14ac:dyDescent="0.25">
      <c r="G123" t="str">
        <f t="shared" si="2"/>
        <v/>
      </c>
      <c r="H123" t="str">
        <f t="shared" si="3"/>
        <v/>
      </c>
    </row>
    <row r="124" spans="7:8" x14ac:dyDescent="0.25">
      <c r="G124" t="str">
        <f t="shared" si="2"/>
        <v/>
      </c>
      <c r="H124" t="str">
        <f t="shared" si="3"/>
        <v/>
      </c>
    </row>
    <row r="125" spans="7:8" x14ac:dyDescent="0.25">
      <c r="G125" t="str">
        <f t="shared" si="2"/>
        <v/>
      </c>
      <c r="H125" t="str">
        <f t="shared" si="3"/>
        <v/>
      </c>
    </row>
    <row r="126" spans="7:8" x14ac:dyDescent="0.25">
      <c r="G126" t="str">
        <f t="shared" si="2"/>
        <v/>
      </c>
      <c r="H126" t="str">
        <f t="shared" si="3"/>
        <v/>
      </c>
    </row>
    <row r="127" spans="7:8" x14ac:dyDescent="0.25">
      <c r="G127" t="str">
        <f t="shared" si="2"/>
        <v/>
      </c>
      <c r="H127" t="str">
        <f t="shared" si="3"/>
        <v/>
      </c>
    </row>
    <row r="128" spans="7:8" x14ac:dyDescent="0.25">
      <c r="G128" t="str">
        <f t="shared" si="2"/>
        <v/>
      </c>
      <c r="H128" t="str">
        <f t="shared" si="3"/>
        <v/>
      </c>
    </row>
    <row r="129" spans="7:8" x14ac:dyDescent="0.25">
      <c r="G129" t="str">
        <f t="shared" si="2"/>
        <v/>
      </c>
      <c r="H129" t="str">
        <f t="shared" si="3"/>
        <v/>
      </c>
    </row>
    <row r="130" spans="7:8" x14ac:dyDescent="0.25">
      <c r="G130" t="str">
        <f t="shared" ref="G130:G193" si="4">IF(A130="","",IF(AND(C130&lt;&gt;"",E130&lt;&gt;""),E130-C130,""))</f>
        <v/>
      </c>
      <c r="H130" t="str">
        <f t="shared" ref="H130:H193" si="5">IF(A130="","",IF(G130="","",IF(G130&gt;5,"Delayed",IF(G130&gt;0,"At Risk","On Track"))))</f>
        <v/>
      </c>
    </row>
    <row r="131" spans="7:8" x14ac:dyDescent="0.25">
      <c r="G131" t="str">
        <f t="shared" si="4"/>
        <v/>
      </c>
      <c r="H131" t="str">
        <f t="shared" si="5"/>
        <v/>
      </c>
    </row>
    <row r="132" spans="7:8" x14ac:dyDescent="0.25">
      <c r="G132" t="str">
        <f t="shared" si="4"/>
        <v/>
      </c>
      <c r="H132" t="str">
        <f t="shared" si="5"/>
        <v/>
      </c>
    </row>
    <row r="133" spans="7:8" x14ac:dyDescent="0.25">
      <c r="G133" t="str">
        <f t="shared" si="4"/>
        <v/>
      </c>
      <c r="H133" t="str">
        <f t="shared" si="5"/>
        <v/>
      </c>
    </row>
    <row r="134" spans="7:8" x14ac:dyDescent="0.25">
      <c r="G134" t="str">
        <f t="shared" si="4"/>
        <v/>
      </c>
      <c r="H134" t="str">
        <f t="shared" si="5"/>
        <v/>
      </c>
    </row>
    <row r="135" spans="7:8" x14ac:dyDescent="0.25">
      <c r="G135" t="str">
        <f t="shared" si="4"/>
        <v/>
      </c>
      <c r="H135" t="str">
        <f t="shared" si="5"/>
        <v/>
      </c>
    </row>
    <row r="136" spans="7:8" x14ac:dyDescent="0.25">
      <c r="G136" t="str">
        <f t="shared" si="4"/>
        <v/>
      </c>
      <c r="H136" t="str">
        <f t="shared" si="5"/>
        <v/>
      </c>
    </row>
    <row r="137" spans="7:8" x14ac:dyDescent="0.25">
      <c r="G137" t="str">
        <f t="shared" si="4"/>
        <v/>
      </c>
      <c r="H137" t="str">
        <f t="shared" si="5"/>
        <v/>
      </c>
    </row>
    <row r="138" spans="7:8" x14ac:dyDescent="0.25">
      <c r="G138" t="str">
        <f t="shared" si="4"/>
        <v/>
      </c>
      <c r="H138" t="str">
        <f t="shared" si="5"/>
        <v/>
      </c>
    </row>
    <row r="139" spans="7:8" x14ac:dyDescent="0.25">
      <c r="G139" t="str">
        <f t="shared" si="4"/>
        <v/>
      </c>
      <c r="H139" t="str">
        <f t="shared" si="5"/>
        <v/>
      </c>
    </row>
    <row r="140" spans="7:8" x14ac:dyDescent="0.25">
      <c r="G140" t="str">
        <f t="shared" si="4"/>
        <v/>
      </c>
      <c r="H140" t="str">
        <f t="shared" si="5"/>
        <v/>
      </c>
    </row>
    <row r="141" spans="7:8" x14ac:dyDescent="0.25">
      <c r="G141" t="str">
        <f t="shared" si="4"/>
        <v/>
      </c>
      <c r="H141" t="str">
        <f t="shared" si="5"/>
        <v/>
      </c>
    </row>
    <row r="142" spans="7:8" x14ac:dyDescent="0.25">
      <c r="G142" t="str">
        <f t="shared" si="4"/>
        <v/>
      </c>
      <c r="H142" t="str">
        <f t="shared" si="5"/>
        <v/>
      </c>
    </row>
    <row r="143" spans="7:8" x14ac:dyDescent="0.25">
      <c r="G143" t="str">
        <f t="shared" si="4"/>
        <v/>
      </c>
      <c r="H143" t="str">
        <f t="shared" si="5"/>
        <v/>
      </c>
    </row>
    <row r="144" spans="7:8" x14ac:dyDescent="0.25">
      <c r="G144" t="str">
        <f t="shared" si="4"/>
        <v/>
      </c>
      <c r="H144" t="str">
        <f t="shared" si="5"/>
        <v/>
      </c>
    </row>
    <row r="145" spans="7:8" x14ac:dyDescent="0.25">
      <c r="G145" t="str">
        <f t="shared" si="4"/>
        <v/>
      </c>
      <c r="H145" t="str">
        <f t="shared" si="5"/>
        <v/>
      </c>
    </row>
    <row r="146" spans="7:8" x14ac:dyDescent="0.25">
      <c r="G146" t="str">
        <f t="shared" si="4"/>
        <v/>
      </c>
      <c r="H146" t="str">
        <f t="shared" si="5"/>
        <v/>
      </c>
    </row>
    <row r="147" spans="7:8" x14ac:dyDescent="0.25">
      <c r="G147" t="str">
        <f t="shared" si="4"/>
        <v/>
      </c>
      <c r="H147" t="str">
        <f t="shared" si="5"/>
        <v/>
      </c>
    </row>
    <row r="148" spans="7:8" x14ac:dyDescent="0.25">
      <c r="G148" t="str">
        <f t="shared" si="4"/>
        <v/>
      </c>
      <c r="H148" t="str">
        <f t="shared" si="5"/>
        <v/>
      </c>
    </row>
    <row r="149" spans="7:8" x14ac:dyDescent="0.25">
      <c r="G149" t="str">
        <f t="shared" si="4"/>
        <v/>
      </c>
      <c r="H149" t="str">
        <f t="shared" si="5"/>
        <v/>
      </c>
    </row>
    <row r="150" spans="7:8" x14ac:dyDescent="0.25">
      <c r="G150" t="str">
        <f t="shared" si="4"/>
        <v/>
      </c>
      <c r="H150" t="str">
        <f t="shared" si="5"/>
        <v/>
      </c>
    </row>
    <row r="151" spans="7:8" x14ac:dyDescent="0.25">
      <c r="G151" t="str">
        <f t="shared" si="4"/>
        <v/>
      </c>
      <c r="H151" t="str">
        <f t="shared" si="5"/>
        <v/>
      </c>
    </row>
    <row r="152" spans="7:8" x14ac:dyDescent="0.25">
      <c r="G152" t="str">
        <f t="shared" si="4"/>
        <v/>
      </c>
      <c r="H152" t="str">
        <f t="shared" si="5"/>
        <v/>
      </c>
    </row>
    <row r="153" spans="7:8" x14ac:dyDescent="0.25">
      <c r="G153" t="str">
        <f t="shared" si="4"/>
        <v/>
      </c>
      <c r="H153" t="str">
        <f t="shared" si="5"/>
        <v/>
      </c>
    </row>
    <row r="154" spans="7:8" x14ac:dyDescent="0.25">
      <c r="G154" t="str">
        <f t="shared" si="4"/>
        <v/>
      </c>
      <c r="H154" t="str">
        <f t="shared" si="5"/>
        <v/>
      </c>
    </row>
    <row r="155" spans="7:8" x14ac:dyDescent="0.25">
      <c r="G155" t="str">
        <f t="shared" si="4"/>
        <v/>
      </c>
      <c r="H155" t="str">
        <f t="shared" si="5"/>
        <v/>
      </c>
    </row>
    <row r="156" spans="7:8" x14ac:dyDescent="0.25">
      <c r="G156" t="str">
        <f t="shared" si="4"/>
        <v/>
      </c>
      <c r="H156" t="str">
        <f t="shared" si="5"/>
        <v/>
      </c>
    </row>
    <row r="157" spans="7:8" x14ac:dyDescent="0.25">
      <c r="G157" t="str">
        <f t="shared" si="4"/>
        <v/>
      </c>
      <c r="H157" t="str">
        <f t="shared" si="5"/>
        <v/>
      </c>
    </row>
    <row r="158" spans="7:8" x14ac:dyDescent="0.25">
      <c r="G158" t="str">
        <f t="shared" si="4"/>
        <v/>
      </c>
      <c r="H158" t="str">
        <f t="shared" si="5"/>
        <v/>
      </c>
    </row>
    <row r="159" spans="7:8" x14ac:dyDescent="0.25">
      <c r="G159" t="str">
        <f t="shared" si="4"/>
        <v/>
      </c>
      <c r="H159" t="str">
        <f t="shared" si="5"/>
        <v/>
      </c>
    </row>
    <row r="160" spans="7:8" x14ac:dyDescent="0.25">
      <c r="G160" t="str">
        <f t="shared" si="4"/>
        <v/>
      </c>
      <c r="H160" t="str">
        <f t="shared" si="5"/>
        <v/>
      </c>
    </row>
    <row r="161" spans="7:8" x14ac:dyDescent="0.25">
      <c r="G161" t="str">
        <f t="shared" si="4"/>
        <v/>
      </c>
      <c r="H161" t="str">
        <f t="shared" si="5"/>
        <v/>
      </c>
    </row>
    <row r="162" spans="7:8" x14ac:dyDescent="0.25">
      <c r="G162" t="str">
        <f t="shared" si="4"/>
        <v/>
      </c>
      <c r="H162" t="str">
        <f t="shared" si="5"/>
        <v/>
      </c>
    </row>
    <row r="163" spans="7:8" x14ac:dyDescent="0.25">
      <c r="G163" t="str">
        <f t="shared" si="4"/>
        <v/>
      </c>
      <c r="H163" t="str">
        <f t="shared" si="5"/>
        <v/>
      </c>
    </row>
    <row r="164" spans="7:8" x14ac:dyDescent="0.25">
      <c r="G164" t="str">
        <f t="shared" si="4"/>
        <v/>
      </c>
      <c r="H164" t="str">
        <f t="shared" si="5"/>
        <v/>
      </c>
    </row>
    <row r="165" spans="7:8" x14ac:dyDescent="0.25">
      <c r="G165" t="str">
        <f t="shared" si="4"/>
        <v/>
      </c>
      <c r="H165" t="str">
        <f t="shared" si="5"/>
        <v/>
      </c>
    </row>
    <row r="166" spans="7:8" x14ac:dyDescent="0.25">
      <c r="G166" t="str">
        <f t="shared" si="4"/>
        <v/>
      </c>
      <c r="H166" t="str">
        <f t="shared" si="5"/>
        <v/>
      </c>
    </row>
    <row r="167" spans="7:8" x14ac:dyDescent="0.25">
      <c r="G167" t="str">
        <f t="shared" si="4"/>
        <v/>
      </c>
      <c r="H167" t="str">
        <f t="shared" si="5"/>
        <v/>
      </c>
    </row>
    <row r="168" spans="7:8" x14ac:dyDescent="0.25">
      <c r="G168" t="str">
        <f t="shared" si="4"/>
        <v/>
      </c>
      <c r="H168" t="str">
        <f t="shared" si="5"/>
        <v/>
      </c>
    </row>
    <row r="169" spans="7:8" x14ac:dyDescent="0.25">
      <c r="G169" t="str">
        <f t="shared" si="4"/>
        <v/>
      </c>
      <c r="H169" t="str">
        <f t="shared" si="5"/>
        <v/>
      </c>
    </row>
    <row r="170" spans="7:8" x14ac:dyDescent="0.25">
      <c r="G170" t="str">
        <f t="shared" si="4"/>
        <v/>
      </c>
      <c r="H170" t="str">
        <f t="shared" si="5"/>
        <v/>
      </c>
    </row>
    <row r="171" spans="7:8" x14ac:dyDescent="0.25">
      <c r="G171" t="str">
        <f t="shared" si="4"/>
        <v/>
      </c>
      <c r="H171" t="str">
        <f t="shared" si="5"/>
        <v/>
      </c>
    </row>
    <row r="172" spans="7:8" x14ac:dyDescent="0.25">
      <c r="G172" t="str">
        <f t="shared" si="4"/>
        <v/>
      </c>
      <c r="H172" t="str">
        <f t="shared" si="5"/>
        <v/>
      </c>
    </row>
    <row r="173" spans="7:8" x14ac:dyDescent="0.25">
      <c r="G173" t="str">
        <f t="shared" si="4"/>
        <v/>
      </c>
      <c r="H173" t="str">
        <f t="shared" si="5"/>
        <v/>
      </c>
    </row>
    <row r="174" spans="7:8" x14ac:dyDescent="0.25">
      <c r="G174" t="str">
        <f t="shared" si="4"/>
        <v/>
      </c>
      <c r="H174" t="str">
        <f t="shared" si="5"/>
        <v/>
      </c>
    </row>
    <row r="175" spans="7:8" x14ac:dyDescent="0.25">
      <c r="G175" t="str">
        <f t="shared" si="4"/>
        <v/>
      </c>
      <c r="H175" t="str">
        <f t="shared" si="5"/>
        <v/>
      </c>
    </row>
    <row r="176" spans="7:8" x14ac:dyDescent="0.25">
      <c r="G176" t="str">
        <f t="shared" si="4"/>
        <v/>
      </c>
      <c r="H176" t="str">
        <f t="shared" si="5"/>
        <v/>
      </c>
    </row>
    <row r="177" spans="7:8" x14ac:dyDescent="0.25">
      <c r="G177" t="str">
        <f t="shared" si="4"/>
        <v/>
      </c>
      <c r="H177" t="str">
        <f t="shared" si="5"/>
        <v/>
      </c>
    </row>
    <row r="178" spans="7:8" x14ac:dyDescent="0.25">
      <c r="G178" t="str">
        <f t="shared" si="4"/>
        <v/>
      </c>
      <c r="H178" t="str">
        <f t="shared" si="5"/>
        <v/>
      </c>
    </row>
    <row r="179" spans="7:8" x14ac:dyDescent="0.25">
      <c r="G179" t="str">
        <f t="shared" si="4"/>
        <v/>
      </c>
      <c r="H179" t="str">
        <f t="shared" si="5"/>
        <v/>
      </c>
    </row>
    <row r="180" spans="7:8" x14ac:dyDescent="0.25">
      <c r="G180" t="str">
        <f t="shared" si="4"/>
        <v/>
      </c>
      <c r="H180" t="str">
        <f t="shared" si="5"/>
        <v/>
      </c>
    </row>
    <row r="181" spans="7:8" x14ac:dyDescent="0.25">
      <c r="G181" t="str">
        <f t="shared" si="4"/>
        <v/>
      </c>
      <c r="H181" t="str">
        <f t="shared" si="5"/>
        <v/>
      </c>
    </row>
    <row r="182" spans="7:8" x14ac:dyDescent="0.25">
      <c r="G182" t="str">
        <f t="shared" si="4"/>
        <v/>
      </c>
      <c r="H182" t="str">
        <f t="shared" si="5"/>
        <v/>
      </c>
    </row>
    <row r="183" spans="7:8" x14ac:dyDescent="0.25">
      <c r="G183" t="str">
        <f t="shared" si="4"/>
        <v/>
      </c>
      <c r="H183" t="str">
        <f t="shared" si="5"/>
        <v/>
      </c>
    </row>
    <row r="184" spans="7:8" x14ac:dyDescent="0.25">
      <c r="G184" t="str">
        <f t="shared" si="4"/>
        <v/>
      </c>
      <c r="H184" t="str">
        <f t="shared" si="5"/>
        <v/>
      </c>
    </row>
    <row r="185" spans="7:8" x14ac:dyDescent="0.25">
      <c r="G185" t="str">
        <f t="shared" si="4"/>
        <v/>
      </c>
      <c r="H185" t="str">
        <f t="shared" si="5"/>
        <v/>
      </c>
    </row>
    <row r="186" spans="7:8" x14ac:dyDescent="0.25">
      <c r="G186" t="str">
        <f t="shared" si="4"/>
        <v/>
      </c>
      <c r="H186" t="str">
        <f t="shared" si="5"/>
        <v/>
      </c>
    </row>
    <row r="187" spans="7:8" x14ac:dyDescent="0.25">
      <c r="G187" t="str">
        <f t="shared" si="4"/>
        <v/>
      </c>
      <c r="H187" t="str">
        <f t="shared" si="5"/>
        <v/>
      </c>
    </row>
    <row r="188" spans="7:8" x14ac:dyDescent="0.25">
      <c r="G188" t="str">
        <f t="shared" si="4"/>
        <v/>
      </c>
      <c r="H188" t="str">
        <f t="shared" si="5"/>
        <v/>
      </c>
    </row>
    <row r="189" spans="7:8" x14ac:dyDescent="0.25">
      <c r="G189" t="str">
        <f t="shared" si="4"/>
        <v/>
      </c>
      <c r="H189" t="str">
        <f t="shared" si="5"/>
        <v/>
      </c>
    </row>
    <row r="190" spans="7:8" x14ac:dyDescent="0.25">
      <c r="G190" t="str">
        <f t="shared" si="4"/>
        <v/>
      </c>
      <c r="H190" t="str">
        <f t="shared" si="5"/>
        <v/>
      </c>
    </row>
    <row r="191" spans="7:8" x14ac:dyDescent="0.25">
      <c r="G191" t="str">
        <f t="shared" si="4"/>
        <v/>
      </c>
      <c r="H191" t="str">
        <f t="shared" si="5"/>
        <v/>
      </c>
    </row>
    <row r="192" spans="7:8" x14ac:dyDescent="0.25">
      <c r="G192" t="str">
        <f t="shared" si="4"/>
        <v/>
      </c>
      <c r="H192" t="str">
        <f t="shared" si="5"/>
        <v/>
      </c>
    </row>
    <row r="193" spans="7:8" x14ac:dyDescent="0.25">
      <c r="G193" t="str">
        <f t="shared" si="4"/>
        <v/>
      </c>
      <c r="H193" t="str">
        <f t="shared" si="5"/>
        <v/>
      </c>
    </row>
    <row r="194" spans="7:8" x14ac:dyDescent="0.25">
      <c r="G194" t="str">
        <f t="shared" ref="G194:G257" si="6">IF(A194="","",IF(AND(C194&lt;&gt;"",E194&lt;&gt;""),E194-C194,""))</f>
        <v/>
      </c>
      <c r="H194" t="str">
        <f t="shared" ref="H194:H257" si="7">IF(A194="","",IF(G194="","",IF(G194&gt;5,"Delayed",IF(G194&gt;0,"At Risk","On Track"))))</f>
        <v/>
      </c>
    </row>
    <row r="195" spans="7:8" x14ac:dyDescent="0.25">
      <c r="G195" t="str">
        <f t="shared" si="6"/>
        <v/>
      </c>
      <c r="H195" t="str">
        <f t="shared" si="7"/>
        <v/>
      </c>
    </row>
    <row r="196" spans="7:8" x14ac:dyDescent="0.25">
      <c r="G196" t="str">
        <f t="shared" si="6"/>
        <v/>
      </c>
      <c r="H196" t="str">
        <f t="shared" si="7"/>
        <v/>
      </c>
    </row>
    <row r="197" spans="7:8" x14ac:dyDescent="0.25">
      <c r="G197" t="str">
        <f t="shared" si="6"/>
        <v/>
      </c>
      <c r="H197" t="str">
        <f t="shared" si="7"/>
        <v/>
      </c>
    </row>
    <row r="198" spans="7:8" x14ac:dyDescent="0.25">
      <c r="G198" t="str">
        <f t="shared" si="6"/>
        <v/>
      </c>
      <c r="H198" t="str">
        <f t="shared" si="7"/>
        <v/>
      </c>
    </row>
    <row r="199" spans="7:8" x14ac:dyDescent="0.25">
      <c r="G199" t="str">
        <f t="shared" si="6"/>
        <v/>
      </c>
      <c r="H199" t="str">
        <f t="shared" si="7"/>
        <v/>
      </c>
    </row>
    <row r="200" spans="7:8" x14ac:dyDescent="0.25">
      <c r="G200" t="str">
        <f t="shared" si="6"/>
        <v/>
      </c>
      <c r="H200" t="str">
        <f t="shared" si="7"/>
        <v/>
      </c>
    </row>
    <row r="201" spans="7:8" x14ac:dyDescent="0.25">
      <c r="G201" t="str">
        <f t="shared" si="6"/>
        <v/>
      </c>
      <c r="H201" t="str">
        <f t="shared" si="7"/>
        <v/>
      </c>
    </row>
    <row r="202" spans="7:8" x14ac:dyDescent="0.25">
      <c r="G202" t="str">
        <f t="shared" si="6"/>
        <v/>
      </c>
      <c r="H202" t="str">
        <f t="shared" si="7"/>
        <v/>
      </c>
    </row>
    <row r="203" spans="7:8" x14ac:dyDescent="0.25">
      <c r="G203" t="str">
        <f t="shared" si="6"/>
        <v/>
      </c>
      <c r="H203" t="str">
        <f t="shared" si="7"/>
        <v/>
      </c>
    </row>
    <row r="204" spans="7:8" x14ac:dyDescent="0.25">
      <c r="G204" t="str">
        <f t="shared" si="6"/>
        <v/>
      </c>
      <c r="H204" t="str">
        <f t="shared" si="7"/>
        <v/>
      </c>
    </row>
    <row r="205" spans="7:8" x14ac:dyDescent="0.25">
      <c r="G205" t="str">
        <f t="shared" si="6"/>
        <v/>
      </c>
      <c r="H205" t="str">
        <f t="shared" si="7"/>
        <v/>
      </c>
    </row>
    <row r="206" spans="7:8" x14ac:dyDescent="0.25">
      <c r="G206" t="str">
        <f t="shared" si="6"/>
        <v/>
      </c>
      <c r="H206" t="str">
        <f t="shared" si="7"/>
        <v/>
      </c>
    </row>
    <row r="207" spans="7:8" x14ac:dyDescent="0.25">
      <c r="G207" t="str">
        <f t="shared" si="6"/>
        <v/>
      </c>
      <c r="H207" t="str">
        <f t="shared" si="7"/>
        <v/>
      </c>
    </row>
    <row r="208" spans="7:8" x14ac:dyDescent="0.25">
      <c r="G208" t="str">
        <f t="shared" si="6"/>
        <v/>
      </c>
      <c r="H208" t="str">
        <f t="shared" si="7"/>
        <v/>
      </c>
    </row>
    <row r="209" spans="7:8" x14ac:dyDescent="0.25">
      <c r="G209" t="str">
        <f t="shared" si="6"/>
        <v/>
      </c>
      <c r="H209" t="str">
        <f t="shared" si="7"/>
        <v/>
      </c>
    </row>
    <row r="210" spans="7:8" x14ac:dyDescent="0.25">
      <c r="G210" t="str">
        <f t="shared" si="6"/>
        <v/>
      </c>
      <c r="H210" t="str">
        <f t="shared" si="7"/>
        <v/>
      </c>
    </row>
    <row r="211" spans="7:8" x14ac:dyDescent="0.25">
      <c r="G211" t="str">
        <f t="shared" si="6"/>
        <v/>
      </c>
      <c r="H211" t="str">
        <f t="shared" si="7"/>
        <v/>
      </c>
    </row>
    <row r="212" spans="7:8" x14ac:dyDescent="0.25">
      <c r="G212" t="str">
        <f t="shared" si="6"/>
        <v/>
      </c>
      <c r="H212" t="str">
        <f t="shared" si="7"/>
        <v/>
      </c>
    </row>
    <row r="213" spans="7:8" x14ac:dyDescent="0.25">
      <c r="G213" t="str">
        <f t="shared" si="6"/>
        <v/>
      </c>
      <c r="H213" t="str">
        <f t="shared" si="7"/>
        <v/>
      </c>
    </row>
    <row r="214" spans="7:8" x14ac:dyDescent="0.25">
      <c r="G214" t="str">
        <f t="shared" si="6"/>
        <v/>
      </c>
      <c r="H214" t="str">
        <f t="shared" si="7"/>
        <v/>
      </c>
    </row>
    <row r="215" spans="7:8" x14ac:dyDescent="0.25">
      <c r="G215" t="str">
        <f t="shared" si="6"/>
        <v/>
      </c>
      <c r="H215" t="str">
        <f t="shared" si="7"/>
        <v/>
      </c>
    </row>
    <row r="216" spans="7:8" x14ac:dyDescent="0.25">
      <c r="G216" t="str">
        <f t="shared" si="6"/>
        <v/>
      </c>
      <c r="H216" t="str">
        <f t="shared" si="7"/>
        <v/>
      </c>
    </row>
    <row r="217" spans="7:8" x14ac:dyDescent="0.25">
      <c r="G217" t="str">
        <f t="shared" si="6"/>
        <v/>
      </c>
      <c r="H217" t="str">
        <f t="shared" si="7"/>
        <v/>
      </c>
    </row>
    <row r="218" spans="7:8" x14ac:dyDescent="0.25">
      <c r="G218" t="str">
        <f t="shared" si="6"/>
        <v/>
      </c>
      <c r="H218" t="str">
        <f t="shared" si="7"/>
        <v/>
      </c>
    </row>
    <row r="219" spans="7:8" x14ac:dyDescent="0.25">
      <c r="G219" t="str">
        <f t="shared" si="6"/>
        <v/>
      </c>
      <c r="H219" t="str">
        <f t="shared" si="7"/>
        <v/>
      </c>
    </row>
    <row r="220" spans="7:8" x14ac:dyDescent="0.25">
      <c r="G220" t="str">
        <f t="shared" si="6"/>
        <v/>
      </c>
      <c r="H220" t="str">
        <f t="shared" si="7"/>
        <v/>
      </c>
    </row>
    <row r="221" spans="7:8" x14ac:dyDescent="0.25">
      <c r="G221" t="str">
        <f t="shared" si="6"/>
        <v/>
      </c>
      <c r="H221" t="str">
        <f t="shared" si="7"/>
        <v/>
      </c>
    </row>
    <row r="222" spans="7:8" x14ac:dyDescent="0.25">
      <c r="G222" t="str">
        <f t="shared" si="6"/>
        <v/>
      </c>
      <c r="H222" t="str">
        <f t="shared" si="7"/>
        <v/>
      </c>
    </row>
    <row r="223" spans="7:8" x14ac:dyDescent="0.25">
      <c r="G223" t="str">
        <f t="shared" si="6"/>
        <v/>
      </c>
      <c r="H223" t="str">
        <f t="shared" si="7"/>
        <v/>
      </c>
    </row>
    <row r="224" spans="7:8" x14ac:dyDescent="0.25">
      <c r="G224" t="str">
        <f t="shared" si="6"/>
        <v/>
      </c>
      <c r="H224" t="str">
        <f t="shared" si="7"/>
        <v/>
      </c>
    </row>
    <row r="225" spans="7:8" x14ac:dyDescent="0.25">
      <c r="G225" t="str">
        <f t="shared" si="6"/>
        <v/>
      </c>
      <c r="H225" t="str">
        <f t="shared" si="7"/>
        <v/>
      </c>
    </row>
    <row r="226" spans="7:8" x14ac:dyDescent="0.25">
      <c r="G226" t="str">
        <f t="shared" si="6"/>
        <v/>
      </c>
      <c r="H226" t="str">
        <f t="shared" si="7"/>
        <v/>
      </c>
    </row>
    <row r="227" spans="7:8" x14ac:dyDescent="0.25">
      <c r="G227" t="str">
        <f t="shared" si="6"/>
        <v/>
      </c>
      <c r="H227" t="str">
        <f t="shared" si="7"/>
        <v/>
      </c>
    </row>
    <row r="228" spans="7:8" x14ac:dyDescent="0.25">
      <c r="G228" t="str">
        <f t="shared" si="6"/>
        <v/>
      </c>
      <c r="H228" t="str">
        <f t="shared" si="7"/>
        <v/>
      </c>
    </row>
    <row r="229" spans="7:8" x14ac:dyDescent="0.25">
      <c r="G229" t="str">
        <f t="shared" si="6"/>
        <v/>
      </c>
      <c r="H229" t="str">
        <f t="shared" si="7"/>
        <v/>
      </c>
    </row>
    <row r="230" spans="7:8" x14ac:dyDescent="0.25">
      <c r="G230" t="str">
        <f t="shared" si="6"/>
        <v/>
      </c>
      <c r="H230" t="str">
        <f t="shared" si="7"/>
        <v/>
      </c>
    </row>
    <row r="231" spans="7:8" x14ac:dyDescent="0.25">
      <c r="G231" t="str">
        <f t="shared" si="6"/>
        <v/>
      </c>
      <c r="H231" t="str">
        <f t="shared" si="7"/>
        <v/>
      </c>
    </row>
    <row r="232" spans="7:8" x14ac:dyDescent="0.25">
      <c r="G232" t="str">
        <f t="shared" si="6"/>
        <v/>
      </c>
      <c r="H232" t="str">
        <f t="shared" si="7"/>
        <v/>
      </c>
    </row>
    <row r="233" spans="7:8" x14ac:dyDescent="0.25">
      <c r="G233" t="str">
        <f t="shared" si="6"/>
        <v/>
      </c>
      <c r="H233" t="str">
        <f t="shared" si="7"/>
        <v/>
      </c>
    </row>
    <row r="234" spans="7:8" x14ac:dyDescent="0.25">
      <c r="G234" t="str">
        <f t="shared" si="6"/>
        <v/>
      </c>
      <c r="H234" t="str">
        <f t="shared" si="7"/>
        <v/>
      </c>
    </row>
    <row r="235" spans="7:8" x14ac:dyDescent="0.25">
      <c r="G235" t="str">
        <f t="shared" si="6"/>
        <v/>
      </c>
      <c r="H235" t="str">
        <f t="shared" si="7"/>
        <v/>
      </c>
    </row>
    <row r="236" spans="7:8" x14ac:dyDescent="0.25">
      <c r="G236" t="str">
        <f t="shared" si="6"/>
        <v/>
      </c>
      <c r="H236" t="str">
        <f t="shared" si="7"/>
        <v/>
      </c>
    </row>
    <row r="237" spans="7:8" x14ac:dyDescent="0.25">
      <c r="G237" t="str">
        <f t="shared" si="6"/>
        <v/>
      </c>
      <c r="H237" t="str">
        <f t="shared" si="7"/>
        <v/>
      </c>
    </row>
    <row r="238" spans="7:8" x14ac:dyDescent="0.25">
      <c r="G238" t="str">
        <f t="shared" si="6"/>
        <v/>
      </c>
      <c r="H238" t="str">
        <f t="shared" si="7"/>
        <v/>
      </c>
    </row>
    <row r="239" spans="7:8" x14ac:dyDescent="0.25">
      <c r="G239" t="str">
        <f t="shared" si="6"/>
        <v/>
      </c>
      <c r="H239" t="str">
        <f t="shared" si="7"/>
        <v/>
      </c>
    </row>
    <row r="240" spans="7:8" x14ac:dyDescent="0.25">
      <c r="G240" t="str">
        <f t="shared" si="6"/>
        <v/>
      </c>
      <c r="H240" t="str">
        <f t="shared" si="7"/>
        <v/>
      </c>
    </row>
    <row r="241" spans="7:8" x14ac:dyDescent="0.25">
      <c r="G241" t="str">
        <f t="shared" si="6"/>
        <v/>
      </c>
      <c r="H241" t="str">
        <f t="shared" si="7"/>
        <v/>
      </c>
    </row>
    <row r="242" spans="7:8" x14ac:dyDescent="0.25">
      <c r="G242" t="str">
        <f t="shared" si="6"/>
        <v/>
      </c>
      <c r="H242" t="str">
        <f t="shared" si="7"/>
        <v/>
      </c>
    </row>
    <row r="243" spans="7:8" x14ac:dyDescent="0.25">
      <c r="G243" t="str">
        <f t="shared" si="6"/>
        <v/>
      </c>
      <c r="H243" t="str">
        <f t="shared" si="7"/>
        <v/>
      </c>
    </row>
    <row r="244" spans="7:8" x14ac:dyDescent="0.25">
      <c r="G244" t="str">
        <f t="shared" si="6"/>
        <v/>
      </c>
      <c r="H244" t="str">
        <f t="shared" si="7"/>
        <v/>
      </c>
    </row>
    <row r="245" spans="7:8" x14ac:dyDescent="0.25">
      <c r="G245" t="str">
        <f t="shared" si="6"/>
        <v/>
      </c>
      <c r="H245" t="str">
        <f t="shared" si="7"/>
        <v/>
      </c>
    </row>
    <row r="246" spans="7:8" x14ac:dyDescent="0.25">
      <c r="G246" t="str">
        <f t="shared" si="6"/>
        <v/>
      </c>
      <c r="H246" t="str">
        <f t="shared" si="7"/>
        <v/>
      </c>
    </row>
    <row r="247" spans="7:8" x14ac:dyDescent="0.25">
      <c r="G247" t="str">
        <f t="shared" si="6"/>
        <v/>
      </c>
      <c r="H247" t="str">
        <f t="shared" si="7"/>
        <v/>
      </c>
    </row>
    <row r="248" spans="7:8" x14ac:dyDescent="0.25">
      <c r="G248" t="str">
        <f t="shared" si="6"/>
        <v/>
      </c>
      <c r="H248" t="str">
        <f t="shared" si="7"/>
        <v/>
      </c>
    </row>
    <row r="249" spans="7:8" x14ac:dyDescent="0.25">
      <c r="G249" t="str">
        <f t="shared" si="6"/>
        <v/>
      </c>
      <c r="H249" t="str">
        <f t="shared" si="7"/>
        <v/>
      </c>
    </row>
    <row r="250" spans="7:8" x14ac:dyDescent="0.25">
      <c r="G250" t="str">
        <f t="shared" si="6"/>
        <v/>
      </c>
      <c r="H250" t="str">
        <f t="shared" si="7"/>
        <v/>
      </c>
    </row>
    <row r="251" spans="7:8" x14ac:dyDescent="0.25">
      <c r="G251" t="str">
        <f t="shared" si="6"/>
        <v/>
      </c>
      <c r="H251" t="str">
        <f t="shared" si="7"/>
        <v/>
      </c>
    </row>
    <row r="252" spans="7:8" x14ac:dyDescent="0.25">
      <c r="G252" t="str">
        <f t="shared" si="6"/>
        <v/>
      </c>
      <c r="H252" t="str">
        <f t="shared" si="7"/>
        <v/>
      </c>
    </row>
    <row r="253" spans="7:8" x14ac:dyDescent="0.25">
      <c r="G253" t="str">
        <f t="shared" si="6"/>
        <v/>
      </c>
      <c r="H253" t="str">
        <f t="shared" si="7"/>
        <v/>
      </c>
    </row>
    <row r="254" spans="7:8" x14ac:dyDescent="0.25">
      <c r="G254" t="str">
        <f t="shared" si="6"/>
        <v/>
      </c>
      <c r="H254" t="str">
        <f t="shared" si="7"/>
        <v/>
      </c>
    </row>
    <row r="255" spans="7:8" x14ac:dyDescent="0.25">
      <c r="G255" t="str">
        <f t="shared" si="6"/>
        <v/>
      </c>
      <c r="H255" t="str">
        <f t="shared" si="7"/>
        <v/>
      </c>
    </row>
    <row r="256" spans="7:8" x14ac:dyDescent="0.25">
      <c r="G256" t="str">
        <f t="shared" si="6"/>
        <v/>
      </c>
      <c r="H256" t="str">
        <f t="shared" si="7"/>
        <v/>
      </c>
    </row>
    <row r="257" spans="7:8" x14ac:dyDescent="0.25">
      <c r="G257" t="str">
        <f t="shared" si="6"/>
        <v/>
      </c>
      <c r="H257" t="str">
        <f t="shared" si="7"/>
        <v/>
      </c>
    </row>
    <row r="258" spans="7:8" x14ac:dyDescent="0.25">
      <c r="G258" t="str">
        <f t="shared" ref="G258:G298" si="8">IF(A258="","",IF(AND(C258&lt;&gt;"",E258&lt;&gt;""),E258-C258,""))</f>
        <v/>
      </c>
      <c r="H258" t="str">
        <f t="shared" ref="H258:H298" si="9">IF(A258="","",IF(G258="","",IF(G258&gt;5,"Delayed",IF(G258&gt;0,"At Risk","On Track"))))</f>
        <v/>
      </c>
    </row>
    <row r="259" spans="7:8" x14ac:dyDescent="0.25">
      <c r="G259" t="str">
        <f t="shared" si="8"/>
        <v/>
      </c>
      <c r="H259" t="str">
        <f t="shared" si="9"/>
        <v/>
      </c>
    </row>
    <row r="260" spans="7:8" x14ac:dyDescent="0.25">
      <c r="G260" t="str">
        <f t="shared" si="8"/>
        <v/>
      </c>
      <c r="H260" t="str">
        <f t="shared" si="9"/>
        <v/>
      </c>
    </row>
    <row r="261" spans="7:8" x14ac:dyDescent="0.25">
      <c r="G261" t="str">
        <f t="shared" si="8"/>
        <v/>
      </c>
      <c r="H261" t="str">
        <f t="shared" si="9"/>
        <v/>
      </c>
    </row>
    <row r="262" spans="7:8" x14ac:dyDescent="0.25">
      <c r="G262" t="str">
        <f t="shared" si="8"/>
        <v/>
      </c>
      <c r="H262" t="str">
        <f t="shared" si="9"/>
        <v/>
      </c>
    </row>
    <row r="263" spans="7:8" x14ac:dyDescent="0.25">
      <c r="G263" t="str">
        <f t="shared" si="8"/>
        <v/>
      </c>
      <c r="H263" t="str">
        <f t="shared" si="9"/>
        <v/>
      </c>
    </row>
    <row r="264" spans="7:8" x14ac:dyDescent="0.25">
      <c r="G264" t="str">
        <f t="shared" si="8"/>
        <v/>
      </c>
      <c r="H264" t="str">
        <f t="shared" si="9"/>
        <v/>
      </c>
    </row>
    <row r="265" spans="7:8" x14ac:dyDescent="0.25">
      <c r="G265" t="str">
        <f t="shared" si="8"/>
        <v/>
      </c>
      <c r="H265" t="str">
        <f t="shared" si="9"/>
        <v/>
      </c>
    </row>
    <row r="266" spans="7:8" x14ac:dyDescent="0.25">
      <c r="G266" t="str">
        <f t="shared" si="8"/>
        <v/>
      </c>
      <c r="H266" t="str">
        <f t="shared" si="9"/>
        <v/>
      </c>
    </row>
    <row r="267" spans="7:8" x14ac:dyDescent="0.25">
      <c r="G267" t="str">
        <f t="shared" si="8"/>
        <v/>
      </c>
      <c r="H267" t="str">
        <f t="shared" si="9"/>
        <v/>
      </c>
    </row>
    <row r="268" spans="7:8" x14ac:dyDescent="0.25">
      <c r="G268" t="str">
        <f t="shared" si="8"/>
        <v/>
      </c>
      <c r="H268" t="str">
        <f t="shared" si="9"/>
        <v/>
      </c>
    </row>
    <row r="269" spans="7:8" x14ac:dyDescent="0.25">
      <c r="G269" t="str">
        <f t="shared" si="8"/>
        <v/>
      </c>
      <c r="H269" t="str">
        <f t="shared" si="9"/>
        <v/>
      </c>
    </row>
    <row r="270" spans="7:8" x14ac:dyDescent="0.25">
      <c r="G270" t="str">
        <f t="shared" si="8"/>
        <v/>
      </c>
      <c r="H270" t="str">
        <f t="shared" si="9"/>
        <v/>
      </c>
    </row>
    <row r="271" spans="7:8" x14ac:dyDescent="0.25">
      <c r="G271" t="str">
        <f t="shared" si="8"/>
        <v/>
      </c>
      <c r="H271" t="str">
        <f t="shared" si="9"/>
        <v/>
      </c>
    </row>
    <row r="272" spans="7:8" x14ac:dyDescent="0.25">
      <c r="G272" t="str">
        <f t="shared" si="8"/>
        <v/>
      </c>
      <c r="H272" t="str">
        <f t="shared" si="9"/>
        <v/>
      </c>
    </row>
    <row r="273" spans="7:8" x14ac:dyDescent="0.25">
      <c r="G273" t="str">
        <f t="shared" si="8"/>
        <v/>
      </c>
      <c r="H273" t="str">
        <f t="shared" si="9"/>
        <v/>
      </c>
    </row>
    <row r="274" spans="7:8" x14ac:dyDescent="0.25">
      <c r="G274" t="str">
        <f t="shared" si="8"/>
        <v/>
      </c>
      <c r="H274" t="str">
        <f t="shared" si="9"/>
        <v/>
      </c>
    </row>
    <row r="275" spans="7:8" x14ac:dyDescent="0.25">
      <c r="G275" t="str">
        <f t="shared" si="8"/>
        <v/>
      </c>
      <c r="H275" t="str">
        <f t="shared" si="9"/>
        <v/>
      </c>
    </row>
    <row r="276" spans="7:8" x14ac:dyDescent="0.25">
      <c r="G276" t="str">
        <f t="shared" si="8"/>
        <v/>
      </c>
      <c r="H276" t="str">
        <f t="shared" si="9"/>
        <v/>
      </c>
    </row>
    <row r="277" spans="7:8" x14ac:dyDescent="0.25">
      <c r="G277" t="str">
        <f t="shared" si="8"/>
        <v/>
      </c>
      <c r="H277" t="str">
        <f t="shared" si="9"/>
        <v/>
      </c>
    </row>
    <row r="278" spans="7:8" x14ac:dyDescent="0.25">
      <c r="G278" t="str">
        <f t="shared" si="8"/>
        <v/>
      </c>
      <c r="H278" t="str">
        <f t="shared" si="9"/>
        <v/>
      </c>
    </row>
    <row r="279" spans="7:8" x14ac:dyDescent="0.25">
      <c r="G279" t="str">
        <f t="shared" si="8"/>
        <v/>
      </c>
      <c r="H279" t="str">
        <f t="shared" si="9"/>
        <v/>
      </c>
    </row>
    <row r="280" spans="7:8" x14ac:dyDescent="0.25">
      <c r="G280" t="str">
        <f t="shared" si="8"/>
        <v/>
      </c>
      <c r="H280" t="str">
        <f t="shared" si="9"/>
        <v/>
      </c>
    </row>
    <row r="281" spans="7:8" x14ac:dyDescent="0.25">
      <c r="G281" t="str">
        <f t="shared" si="8"/>
        <v/>
      </c>
      <c r="H281" t="str">
        <f t="shared" si="9"/>
        <v/>
      </c>
    </row>
    <row r="282" spans="7:8" x14ac:dyDescent="0.25">
      <c r="G282" t="str">
        <f t="shared" si="8"/>
        <v/>
      </c>
      <c r="H282" t="str">
        <f t="shared" si="9"/>
        <v/>
      </c>
    </row>
    <row r="283" spans="7:8" x14ac:dyDescent="0.25">
      <c r="G283" t="str">
        <f t="shared" si="8"/>
        <v/>
      </c>
      <c r="H283" t="str">
        <f t="shared" si="9"/>
        <v/>
      </c>
    </row>
    <row r="284" spans="7:8" x14ac:dyDescent="0.25">
      <c r="G284" t="str">
        <f t="shared" si="8"/>
        <v/>
      </c>
      <c r="H284" t="str">
        <f t="shared" si="9"/>
        <v/>
      </c>
    </row>
    <row r="285" spans="7:8" x14ac:dyDescent="0.25">
      <c r="G285" t="str">
        <f t="shared" si="8"/>
        <v/>
      </c>
      <c r="H285" t="str">
        <f t="shared" si="9"/>
        <v/>
      </c>
    </row>
    <row r="286" spans="7:8" x14ac:dyDescent="0.25">
      <c r="G286" t="str">
        <f t="shared" si="8"/>
        <v/>
      </c>
      <c r="H286" t="str">
        <f t="shared" si="9"/>
        <v/>
      </c>
    </row>
    <row r="287" spans="7:8" x14ac:dyDescent="0.25">
      <c r="G287" t="str">
        <f t="shared" si="8"/>
        <v/>
      </c>
      <c r="H287" t="str">
        <f t="shared" si="9"/>
        <v/>
      </c>
    </row>
    <row r="288" spans="7:8" x14ac:dyDescent="0.25">
      <c r="G288" t="str">
        <f t="shared" si="8"/>
        <v/>
      </c>
      <c r="H288" t="str">
        <f t="shared" si="9"/>
        <v/>
      </c>
    </row>
    <row r="289" spans="1:8" x14ac:dyDescent="0.25">
      <c r="G289" t="str">
        <f t="shared" si="8"/>
        <v/>
      </c>
      <c r="H289" t="str">
        <f t="shared" si="9"/>
        <v/>
      </c>
    </row>
    <row r="290" spans="1:8" x14ac:dyDescent="0.25">
      <c r="G290" t="str">
        <f t="shared" si="8"/>
        <v/>
      </c>
      <c r="H290" t="str">
        <f t="shared" si="9"/>
        <v/>
      </c>
    </row>
    <row r="291" spans="1:8" x14ac:dyDescent="0.25">
      <c r="G291" t="str">
        <f t="shared" si="8"/>
        <v/>
      </c>
      <c r="H291" t="str">
        <f t="shared" si="9"/>
        <v/>
      </c>
    </row>
    <row r="292" spans="1:8" x14ac:dyDescent="0.25">
      <c r="G292" t="str">
        <f t="shared" si="8"/>
        <v/>
      </c>
      <c r="H292" t="str">
        <f t="shared" si="9"/>
        <v/>
      </c>
    </row>
    <row r="293" spans="1:8" x14ac:dyDescent="0.25">
      <c r="G293" t="str">
        <f t="shared" si="8"/>
        <v/>
      </c>
      <c r="H293" t="str">
        <f t="shared" si="9"/>
        <v/>
      </c>
    </row>
    <row r="294" spans="1:8" x14ac:dyDescent="0.25">
      <c r="G294" t="str">
        <f t="shared" si="8"/>
        <v/>
      </c>
      <c r="H294" t="str">
        <f t="shared" si="9"/>
        <v/>
      </c>
    </row>
    <row r="295" spans="1:8" x14ac:dyDescent="0.25">
      <c r="G295" t="str">
        <f t="shared" si="8"/>
        <v/>
      </c>
      <c r="H295" t="str">
        <f t="shared" si="9"/>
        <v/>
      </c>
    </row>
    <row r="296" spans="1:8" x14ac:dyDescent="0.25">
      <c r="G296" t="str">
        <f t="shared" si="8"/>
        <v/>
      </c>
      <c r="H296" t="str">
        <f t="shared" si="9"/>
        <v/>
      </c>
    </row>
    <row r="297" spans="1:8" x14ac:dyDescent="0.25">
      <c r="G297" t="str">
        <f t="shared" si="8"/>
        <v/>
      </c>
      <c r="H297" t="str">
        <f t="shared" si="9"/>
        <v/>
      </c>
    </row>
    <row r="298" spans="1:8" x14ac:dyDescent="0.25">
      <c r="G298" t="str">
        <f t="shared" si="8"/>
        <v/>
      </c>
      <c r="H298" t="str">
        <f t="shared" si="9"/>
        <v/>
      </c>
    </row>
    <row r="301" spans="1:8" x14ac:dyDescent="0.25">
      <c r="A301" s="3" t="s">
        <v>374</v>
      </c>
    </row>
  </sheetData>
  <conditionalFormatting sqref="H2:H299">
    <cfRule type="cellIs" dxfId="13" priority="2" operator="equal">
      <formula>"Delayed"</formula>
    </cfRule>
    <cfRule type="cellIs" dxfId="12" priority="3" operator="equal">
      <formula>"At Risk"</formula>
    </cfRule>
  </conditionalFormatting>
  <dataValidations count="1">
    <dataValidation type="list" allowBlank="1" sqref="I2:I499" xr:uid="{00000000-0002-0000-0C00-000000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A1A1A"/>
    <pageSetUpPr fitToPage="1"/>
  </sheetPr>
  <dimension ref="A1:F298"/>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28" customWidth="1"/>
    <col min="2" max="3" width="20" customWidth="1"/>
    <col min="4" max="4" width="14" customWidth="1"/>
    <col min="5" max="5" width="16" customWidth="1"/>
    <col min="6" max="6" width="30" customWidth="1"/>
  </cols>
  <sheetData>
    <row r="1" spans="1:6" ht="31.5" customHeight="1" x14ac:dyDescent="0.25">
      <c r="A1" s="18" t="s">
        <v>375</v>
      </c>
      <c r="B1" s="18" t="s">
        <v>376</v>
      </c>
      <c r="C1" s="18" t="s">
        <v>377</v>
      </c>
      <c r="D1" s="18" t="s">
        <v>220</v>
      </c>
      <c r="E1" s="18" t="s">
        <v>372</v>
      </c>
      <c r="F1" s="18" t="s">
        <v>373</v>
      </c>
    </row>
    <row r="2" spans="1:6" x14ac:dyDescent="0.25">
      <c r="D2" t="str">
        <f t="shared" ref="D2:D65" ca="1" si="0">IF(A2="","",IF(C2&lt;&gt;"",IF(C2&lt;=B2,"Met - On Time","Met - Late"),IF(TODAY()&gt;B2,"Missed",IF(B2-TODAY()&lt;=14,"Due Soon","On Track"))))</f>
        <v/>
      </c>
    </row>
    <row r="3" spans="1:6" x14ac:dyDescent="0.25">
      <c r="D3" t="str">
        <f t="shared" ca="1" si="0"/>
        <v/>
      </c>
    </row>
    <row r="4" spans="1:6" x14ac:dyDescent="0.25">
      <c r="D4" t="str">
        <f t="shared" ca="1" si="0"/>
        <v/>
      </c>
    </row>
    <row r="5" spans="1:6" x14ac:dyDescent="0.25">
      <c r="D5" t="str">
        <f t="shared" ca="1" si="0"/>
        <v/>
      </c>
    </row>
    <row r="6" spans="1:6" x14ac:dyDescent="0.25">
      <c r="D6" t="str">
        <f t="shared" ca="1" si="0"/>
        <v/>
      </c>
    </row>
    <row r="7" spans="1:6" x14ac:dyDescent="0.25">
      <c r="D7" t="str">
        <f t="shared" ca="1" si="0"/>
        <v/>
      </c>
    </row>
    <row r="8" spans="1:6" x14ac:dyDescent="0.25">
      <c r="D8" t="str">
        <f t="shared" ca="1" si="0"/>
        <v/>
      </c>
    </row>
    <row r="9" spans="1:6" x14ac:dyDescent="0.25">
      <c r="D9" t="str">
        <f t="shared" ca="1" si="0"/>
        <v/>
      </c>
    </row>
    <row r="10" spans="1:6" x14ac:dyDescent="0.25">
      <c r="D10" t="str">
        <f t="shared" ca="1" si="0"/>
        <v/>
      </c>
    </row>
    <row r="11" spans="1:6" x14ac:dyDescent="0.25">
      <c r="D11" t="str">
        <f t="shared" ca="1" si="0"/>
        <v/>
      </c>
    </row>
    <row r="12" spans="1:6" x14ac:dyDescent="0.25">
      <c r="D12" t="str">
        <f t="shared" ca="1" si="0"/>
        <v/>
      </c>
    </row>
    <row r="13" spans="1:6" x14ac:dyDescent="0.25">
      <c r="D13" t="str">
        <f t="shared" ca="1" si="0"/>
        <v/>
      </c>
    </row>
    <row r="14" spans="1:6" x14ac:dyDescent="0.25">
      <c r="D14" t="str">
        <f t="shared" ca="1" si="0"/>
        <v/>
      </c>
    </row>
    <row r="15" spans="1:6" x14ac:dyDescent="0.25">
      <c r="D15" t="str">
        <f t="shared" ca="1" si="0"/>
        <v/>
      </c>
    </row>
    <row r="16" spans="1:6" x14ac:dyDescent="0.25">
      <c r="D16" t="str">
        <f t="shared" ca="1" si="0"/>
        <v/>
      </c>
    </row>
    <row r="17" spans="4:4" x14ac:dyDescent="0.25">
      <c r="D17" t="str">
        <f t="shared" ca="1" si="0"/>
        <v/>
      </c>
    </row>
    <row r="18" spans="4:4" x14ac:dyDescent="0.25">
      <c r="D18" t="str">
        <f t="shared" ca="1" si="0"/>
        <v/>
      </c>
    </row>
    <row r="19" spans="4:4" x14ac:dyDescent="0.25">
      <c r="D19" t="str">
        <f t="shared" ca="1" si="0"/>
        <v/>
      </c>
    </row>
    <row r="20" spans="4:4" x14ac:dyDescent="0.25">
      <c r="D20" t="str">
        <f t="shared" ca="1" si="0"/>
        <v/>
      </c>
    </row>
    <row r="21" spans="4:4" x14ac:dyDescent="0.25">
      <c r="D21" t="str">
        <f t="shared" ca="1" si="0"/>
        <v/>
      </c>
    </row>
    <row r="22" spans="4:4" x14ac:dyDescent="0.25">
      <c r="D22" t="str">
        <f t="shared" ca="1" si="0"/>
        <v/>
      </c>
    </row>
    <row r="23" spans="4:4" x14ac:dyDescent="0.25">
      <c r="D23" t="str">
        <f t="shared" ca="1" si="0"/>
        <v/>
      </c>
    </row>
    <row r="24" spans="4:4" x14ac:dyDescent="0.25">
      <c r="D24" t="str">
        <f t="shared" ca="1" si="0"/>
        <v/>
      </c>
    </row>
    <row r="25" spans="4:4" x14ac:dyDescent="0.25">
      <c r="D25" t="str">
        <f t="shared" ca="1" si="0"/>
        <v/>
      </c>
    </row>
    <row r="26" spans="4:4" x14ac:dyDescent="0.25">
      <c r="D26" t="str">
        <f t="shared" ca="1" si="0"/>
        <v/>
      </c>
    </row>
    <row r="27" spans="4:4" x14ac:dyDescent="0.25">
      <c r="D27" t="str">
        <f t="shared" ca="1" si="0"/>
        <v/>
      </c>
    </row>
    <row r="28" spans="4:4" x14ac:dyDescent="0.25">
      <c r="D28" t="str">
        <f t="shared" ca="1" si="0"/>
        <v/>
      </c>
    </row>
    <row r="29" spans="4:4" x14ac:dyDescent="0.25">
      <c r="D29" t="str">
        <f t="shared" ca="1" si="0"/>
        <v/>
      </c>
    </row>
    <row r="30" spans="4:4" x14ac:dyDescent="0.25">
      <c r="D30" t="str">
        <f t="shared" ca="1" si="0"/>
        <v/>
      </c>
    </row>
    <row r="31" spans="4:4" x14ac:dyDescent="0.25">
      <c r="D31" t="str">
        <f t="shared" ca="1" si="0"/>
        <v/>
      </c>
    </row>
    <row r="32" spans="4:4" x14ac:dyDescent="0.25">
      <c r="D32" t="str">
        <f t="shared" ca="1" si="0"/>
        <v/>
      </c>
    </row>
    <row r="33" spans="4:4" x14ac:dyDescent="0.25">
      <c r="D33" t="str">
        <f t="shared" ca="1" si="0"/>
        <v/>
      </c>
    </row>
    <row r="34" spans="4:4" x14ac:dyDescent="0.25">
      <c r="D34" t="str">
        <f t="shared" ca="1" si="0"/>
        <v/>
      </c>
    </row>
    <row r="35" spans="4:4" x14ac:dyDescent="0.25">
      <c r="D35" t="str">
        <f t="shared" ca="1" si="0"/>
        <v/>
      </c>
    </row>
    <row r="36" spans="4:4" x14ac:dyDescent="0.25">
      <c r="D36" t="str">
        <f t="shared" ca="1" si="0"/>
        <v/>
      </c>
    </row>
    <row r="37" spans="4:4" x14ac:dyDescent="0.25">
      <c r="D37" t="str">
        <f t="shared" ca="1" si="0"/>
        <v/>
      </c>
    </row>
    <row r="38" spans="4:4" x14ac:dyDescent="0.25">
      <c r="D38" t="str">
        <f t="shared" ca="1" si="0"/>
        <v/>
      </c>
    </row>
    <row r="39" spans="4:4" x14ac:dyDescent="0.25">
      <c r="D39" t="str">
        <f t="shared" ca="1" si="0"/>
        <v/>
      </c>
    </row>
    <row r="40" spans="4:4" x14ac:dyDescent="0.25">
      <c r="D40" t="str">
        <f t="shared" ca="1" si="0"/>
        <v/>
      </c>
    </row>
    <row r="41" spans="4:4" x14ac:dyDescent="0.25">
      <c r="D41" t="str">
        <f t="shared" ca="1" si="0"/>
        <v/>
      </c>
    </row>
    <row r="42" spans="4:4" x14ac:dyDescent="0.25">
      <c r="D42" t="str">
        <f t="shared" ca="1" si="0"/>
        <v/>
      </c>
    </row>
    <row r="43" spans="4:4" x14ac:dyDescent="0.25">
      <c r="D43" t="str">
        <f t="shared" ca="1" si="0"/>
        <v/>
      </c>
    </row>
    <row r="44" spans="4:4" x14ac:dyDescent="0.25">
      <c r="D44" t="str">
        <f t="shared" ca="1" si="0"/>
        <v/>
      </c>
    </row>
    <row r="45" spans="4:4" x14ac:dyDescent="0.25">
      <c r="D45" t="str">
        <f t="shared" ca="1" si="0"/>
        <v/>
      </c>
    </row>
    <row r="46" spans="4:4" x14ac:dyDescent="0.25">
      <c r="D46" t="str">
        <f t="shared" ca="1" si="0"/>
        <v/>
      </c>
    </row>
    <row r="47" spans="4:4" x14ac:dyDescent="0.25">
      <c r="D47" t="str">
        <f t="shared" ca="1" si="0"/>
        <v/>
      </c>
    </row>
    <row r="48" spans="4:4" x14ac:dyDescent="0.25">
      <c r="D48" t="str">
        <f t="shared" ca="1" si="0"/>
        <v/>
      </c>
    </row>
    <row r="49" spans="4:4" x14ac:dyDescent="0.25">
      <c r="D49" t="str">
        <f t="shared" ca="1" si="0"/>
        <v/>
      </c>
    </row>
    <row r="50" spans="4:4" x14ac:dyDescent="0.25">
      <c r="D50" t="str">
        <f t="shared" ca="1" si="0"/>
        <v/>
      </c>
    </row>
    <row r="51" spans="4:4" x14ac:dyDescent="0.25">
      <c r="D51" t="str">
        <f t="shared" ca="1" si="0"/>
        <v/>
      </c>
    </row>
    <row r="52" spans="4:4" x14ac:dyDescent="0.25">
      <c r="D52" t="str">
        <f t="shared" ca="1" si="0"/>
        <v/>
      </c>
    </row>
    <row r="53" spans="4:4" x14ac:dyDescent="0.25">
      <c r="D53" t="str">
        <f t="shared" ca="1" si="0"/>
        <v/>
      </c>
    </row>
    <row r="54" spans="4:4" x14ac:dyDescent="0.25">
      <c r="D54" t="str">
        <f t="shared" ca="1" si="0"/>
        <v/>
      </c>
    </row>
    <row r="55" spans="4:4" x14ac:dyDescent="0.25">
      <c r="D55" t="str">
        <f t="shared" ca="1" si="0"/>
        <v/>
      </c>
    </row>
    <row r="56" spans="4:4" x14ac:dyDescent="0.25">
      <c r="D56" t="str">
        <f t="shared" ca="1" si="0"/>
        <v/>
      </c>
    </row>
    <row r="57" spans="4:4" x14ac:dyDescent="0.25">
      <c r="D57" t="str">
        <f t="shared" ca="1" si="0"/>
        <v/>
      </c>
    </row>
    <row r="58" spans="4:4" x14ac:dyDescent="0.25">
      <c r="D58" t="str">
        <f t="shared" ca="1" si="0"/>
        <v/>
      </c>
    </row>
    <row r="59" spans="4:4" x14ac:dyDescent="0.25">
      <c r="D59" t="str">
        <f t="shared" ca="1" si="0"/>
        <v/>
      </c>
    </row>
    <row r="60" spans="4:4" x14ac:dyDescent="0.25">
      <c r="D60" t="str">
        <f t="shared" ca="1" si="0"/>
        <v/>
      </c>
    </row>
    <row r="61" spans="4:4" x14ac:dyDescent="0.25">
      <c r="D61" t="str">
        <f t="shared" ca="1" si="0"/>
        <v/>
      </c>
    </row>
    <row r="62" spans="4:4" x14ac:dyDescent="0.25">
      <c r="D62" t="str">
        <f t="shared" ca="1" si="0"/>
        <v/>
      </c>
    </row>
    <row r="63" spans="4:4" x14ac:dyDescent="0.25">
      <c r="D63" t="str">
        <f t="shared" ca="1" si="0"/>
        <v/>
      </c>
    </row>
    <row r="64" spans="4:4" x14ac:dyDescent="0.25">
      <c r="D64" t="str">
        <f t="shared" ca="1" si="0"/>
        <v/>
      </c>
    </row>
    <row r="65" spans="4:4" x14ac:dyDescent="0.25">
      <c r="D65" t="str">
        <f t="shared" ca="1" si="0"/>
        <v/>
      </c>
    </row>
    <row r="66" spans="4:4" x14ac:dyDescent="0.25">
      <c r="D66" t="str">
        <f t="shared" ref="D66:D129" ca="1" si="1">IF(A66="","",IF(C66&lt;&gt;"",IF(C66&lt;=B66,"Met - On Time","Met - Late"),IF(TODAY()&gt;B66,"Missed",IF(B66-TODAY()&lt;=14,"Due Soon","On Track"))))</f>
        <v/>
      </c>
    </row>
    <row r="67" spans="4:4" x14ac:dyDescent="0.25">
      <c r="D67" t="str">
        <f t="shared" ca="1" si="1"/>
        <v/>
      </c>
    </row>
    <row r="68" spans="4:4" x14ac:dyDescent="0.25">
      <c r="D68" t="str">
        <f t="shared" ca="1" si="1"/>
        <v/>
      </c>
    </row>
    <row r="69" spans="4:4" x14ac:dyDescent="0.25">
      <c r="D69" t="str">
        <f t="shared" ca="1" si="1"/>
        <v/>
      </c>
    </row>
    <row r="70" spans="4:4" x14ac:dyDescent="0.25">
      <c r="D70" t="str">
        <f t="shared" ca="1" si="1"/>
        <v/>
      </c>
    </row>
    <row r="71" spans="4:4" x14ac:dyDescent="0.25">
      <c r="D71" t="str">
        <f t="shared" ca="1" si="1"/>
        <v/>
      </c>
    </row>
    <row r="72" spans="4:4" x14ac:dyDescent="0.25">
      <c r="D72" t="str">
        <f t="shared" ca="1" si="1"/>
        <v/>
      </c>
    </row>
    <row r="73" spans="4:4" x14ac:dyDescent="0.25">
      <c r="D73" t="str">
        <f t="shared" ca="1" si="1"/>
        <v/>
      </c>
    </row>
    <row r="74" spans="4:4" x14ac:dyDescent="0.25">
      <c r="D74" t="str">
        <f t="shared" ca="1" si="1"/>
        <v/>
      </c>
    </row>
    <row r="75" spans="4:4" x14ac:dyDescent="0.25">
      <c r="D75" t="str">
        <f t="shared" ca="1" si="1"/>
        <v/>
      </c>
    </row>
    <row r="76" spans="4:4" x14ac:dyDescent="0.25">
      <c r="D76" t="str">
        <f t="shared" ca="1" si="1"/>
        <v/>
      </c>
    </row>
    <row r="77" spans="4:4" x14ac:dyDescent="0.25">
      <c r="D77" t="str">
        <f t="shared" ca="1" si="1"/>
        <v/>
      </c>
    </row>
    <row r="78" spans="4:4" x14ac:dyDescent="0.25">
      <c r="D78" t="str">
        <f t="shared" ca="1" si="1"/>
        <v/>
      </c>
    </row>
    <row r="79" spans="4:4" x14ac:dyDescent="0.25">
      <c r="D79" t="str">
        <f t="shared" ca="1" si="1"/>
        <v/>
      </c>
    </row>
    <row r="80" spans="4:4" x14ac:dyDescent="0.25">
      <c r="D80" t="str">
        <f t="shared" ca="1" si="1"/>
        <v/>
      </c>
    </row>
    <row r="81" spans="4:4" x14ac:dyDescent="0.25">
      <c r="D81" t="str">
        <f t="shared" ca="1" si="1"/>
        <v/>
      </c>
    </row>
    <row r="82" spans="4:4" x14ac:dyDescent="0.25">
      <c r="D82" t="str">
        <f t="shared" ca="1" si="1"/>
        <v/>
      </c>
    </row>
    <row r="83" spans="4:4" x14ac:dyDescent="0.25">
      <c r="D83" t="str">
        <f t="shared" ca="1" si="1"/>
        <v/>
      </c>
    </row>
    <row r="84" spans="4:4" x14ac:dyDescent="0.25">
      <c r="D84" t="str">
        <f t="shared" ca="1" si="1"/>
        <v/>
      </c>
    </row>
    <row r="85" spans="4:4" x14ac:dyDescent="0.25">
      <c r="D85" t="str">
        <f t="shared" ca="1" si="1"/>
        <v/>
      </c>
    </row>
    <row r="86" spans="4:4" x14ac:dyDescent="0.25">
      <c r="D86" t="str">
        <f t="shared" ca="1" si="1"/>
        <v/>
      </c>
    </row>
    <row r="87" spans="4:4" x14ac:dyDescent="0.25">
      <c r="D87" t="str">
        <f t="shared" ca="1" si="1"/>
        <v/>
      </c>
    </row>
    <row r="88" spans="4:4" x14ac:dyDescent="0.25">
      <c r="D88" t="str">
        <f t="shared" ca="1" si="1"/>
        <v/>
      </c>
    </row>
    <row r="89" spans="4:4" x14ac:dyDescent="0.25">
      <c r="D89" t="str">
        <f t="shared" ca="1" si="1"/>
        <v/>
      </c>
    </row>
    <row r="90" spans="4:4" x14ac:dyDescent="0.25">
      <c r="D90" t="str">
        <f t="shared" ca="1" si="1"/>
        <v/>
      </c>
    </row>
    <row r="91" spans="4:4" x14ac:dyDescent="0.25">
      <c r="D91" t="str">
        <f t="shared" ca="1" si="1"/>
        <v/>
      </c>
    </row>
    <row r="92" spans="4:4" x14ac:dyDescent="0.25">
      <c r="D92" t="str">
        <f t="shared" ca="1" si="1"/>
        <v/>
      </c>
    </row>
    <row r="93" spans="4:4" x14ac:dyDescent="0.25">
      <c r="D93" t="str">
        <f t="shared" ca="1" si="1"/>
        <v/>
      </c>
    </row>
    <row r="94" spans="4:4" x14ac:dyDescent="0.25">
      <c r="D94" t="str">
        <f t="shared" ca="1" si="1"/>
        <v/>
      </c>
    </row>
    <row r="95" spans="4:4" x14ac:dyDescent="0.25">
      <c r="D95" t="str">
        <f t="shared" ca="1" si="1"/>
        <v/>
      </c>
    </row>
    <row r="96" spans="4:4" x14ac:dyDescent="0.25">
      <c r="D96" t="str">
        <f t="shared" ca="1" si="1"/>
        <v/>
      </c>
    </row>
    <row r="97" spans="4:4" x14ac:dyDescent="0.25">
      <c r="D97" t="str">
        <f t="shared" ca="1" si="1"/>
        <v/>
      </c>
    </row>
    <row r="98" spans="4:4" x14ac:dyDescent="0.25">
      <c r="D98" t="str">
        <f t="shared" ca="1" si="1"/>
        <v/>
      </c>
    </row>
    <row r="99" spans="4:4" x14ac:dyDescent="0.25">
      <c r="D99" t="str">
        <f t="shared" ca="1" si="1"/>
        <v/>
      </c>
    </row>
    <row r="100" spans="4:4" x14ac:dyDescent="0.25">
      <c r="D100" t="str">
        <f t="shared" ca="1" si="1"/>
        <v/>
      </c>
    </row>
    <row r="101" spans="4:4" x14ac:dyDescent="0.25">
      <c r="D101" t="str">
        <f t="shared" ca="1" si="1"/>
        <v/>
      </c>
    </row>
    <row r="102" spans="4:4" x14ac:dyDescent="0.25">
      <c r="D102" t="str">
        <f t="shared" ca="1" si="1"/>
        <v/>
      </c>
    </row>
    <row r="103" spans="4:4" x14ac:dyDescent="0.25">
      <c r="D103" t="str">
        <f t="shared" ca="1" si="1"/>
        <v/>
      </c>
    </row>
    <row r="104" spans="4:4" x14ac:dyDescent="0.25">
      <c r="D104" t="str">
        <f t="shared" ca="1" si="1"/>
        <v/>
      </c>
    </row>
    <row r="105" spans="4:4" x14ac:dyDescent="0.25">
      <c r="D105" t="str">
        <f t="shared" ca="1" si="1"/>
        <v/>
      </c>
    </row>
    <row r="106" spans="4:4" x14ac:dyDescent="0.25">
      <c r="D106" t="str">
        <f t="shared" ca="1" si="1"/>
        <v/>
      </c>
    </row>
    <row r="107" spans="4:4" x14ac:dyDescent="0.25">
      <c r="D107" t="str">
        <f t="shared" ca="1" si="1"/>
        <v/>
      </c>
    </row>
    <row r="108" spans="4:4" x14ac:dyDescent="0.25">
      <c r="D108" t="str">
        <f t="shared" ca="1" si="1"/>
        <v/>
      </c>
    </row>
    <row r="109" spans="4:4" x14ac:dyDescent="0.25">
      <c r="D109" t="str">
        <f t="shared" ca="1" si="1"/>
        <v/>
      </c>
    </row>
    <row r="110" spans="4:4" x14ac:dyDescent="0.25">
      <c r="D110" t="str">
        <f t="shared" ca="1" si="1"/>
        <v/>
      </c>
    </row>
    <row r="111" spans="4:4" x14ac:dyDescent="0.25">
      <c r="D111" t="str">
        <f t="shared" ca="1" si="1"/>
        <v/>
      </c>
    </row>
    <row r="112" spans="4:4" x14ac:dyDescent="0.25">
      <c r="D112" t="str">
        <f t="shared" ca="1" si="1"/>
        <v/>
      </c>
    </row>
    <row r="113" spans="4:4" x14ac:dyDescent="0.25">
      <c r="D113" t="str">
        <f t="shared" ca="1" si="1"/>
        <v/>
      </c>
    </row>
    <row r="114" spans="4:4" x14ac:dyDescent="0.25">
      <c r="D114" t="str">
        <f t="shared" ca="1" si="1"/>
        <v/>
      </c>
    </row>
    <row r="115" spans="4:4" x14ac:dyDescent="0.25">
      <c r="D115" t="str">
        <f t="shared" ca="1" si="1"/>
        <v/>
      </c>
    </row>
    <row r="116" spans="4:4" x14ac:dyDescent="0.25">
      <c r="D116" t="str">
        <f t="shared" ca="1" si="1"/>
        <v/>
      </c>
    </row>
    <row r="117" spans="4:4" x14ac:dyDescent="0.25">
      <c r="D117" t="str">
        <f t="shared" ca="1" si="1"/>
        <v/>
      </c>
    </row>
    <row r="118" spans="4:4" x14ac:dyDescent="0.25">
      <c r="D118" t="str">
        <f t="shared" ca="1" si="1"/>
        <v/>
      </c>
    </row>
    <row r="119" spans="4:4" x14ac:dyDescent="0.25">
      <c r="D119" t="str">
        <f t="shared" ca="1" si="1"/>
        <v/>
      </c>
    </row>
    <row r="120" spans="4:4" x14ac:dyDescent="0.25">
      <c r="D120" t="str">
        <f t="shared" ca="1" si="1"/>
        <v/>
      </c>
    </row>
    <row r="121" spans="4:4" x14ac:dyDescent="0.25">
      <c r="D121" t="str">
        <f t="shared" ca="1" si="1"/>
        <v/>
      </c>
    </row>
    <row r="122" spans="4:4" x14ac:dyDescent="0.25">
      <c r="D122" t="str">
        <f t="shared" ca="1" si="1"/>
        <v/>
      </c>
    </row>
    <row r="123" spans="4:4" x14ac:dyDescent="0.25">
      <c r="D123" t="str">
        <f t="shared" ca="1" si="1"/>
        <v/>
      </c>
    </row>
    <row r="124" spans="4:4" x14ac:dyDescent="0.25">
      <c r="D124" t="str">
        <f t="shared" ca="1" si="1"/>
        <v/>
      </c>
    </row>
    <row r="125" spans="4:4" x14ac:dyDescent="0.25">
      <c r="D125" t="str">
        <f t="shared" ca="1" si="1"/>
        <v/>
      </c>
    </row>
    <row r="126" spans="4:4" x14ac:dyDescent="0.25">
      <c r="D126" t="str">
        <f t="shared" ca="1" si="1"/>
        <v/>
      </c>
    </row>
    <row r="127" spans="4:4" x14ac:dyDescent="0.25">
      <c r="D127" t="str">
        <f t="shared" ca="1" si="1"/>
        <v/>
      </c>
    </row>
    <row r="128" spans="4:4" x14ac:dyDescent="0.25">
      <c r="D128" t="str">
        <f t="shared" ca="1" si="1"/>
        <v/>
      </c>
    </row>
    <row r="129" spans="4:4" x14ac:dyDescent="0.25">
      <c r="D129" t="str">
        <f t="shared" ca="1" si="1"/>
        <v/>
      </c>
    </row>
    <row r="130" spans="4:4" x14ac:dyDescent="0.25">
      <c r="D130" t="str">
        <f t="shared" ref="D130:D193" ca="1" si="2">IF(A130="","",IF(C130&lt;&gt;"",IF(C130&lt;=B130,"Met - On Time","Met - Late"),IF(TODAY()&gt;B130,"Missed",IF(B130-TODAY()&lt;=14,"Due Soon","On Track"))))</f>
        <v/>
      </c>
    </row>
    <row r="131" spans="4:4" x14ac:dyDescent="0.25">
      <c r="D131" t="str">
        <f t="shared" ca="1" si="2"/>
        <v/>
      </c>
    </row>
    <row r="132" spans="4:4" x14ac:dyDescent="0.25">
      <c r="D132" t="str">
        <f t="shared" ca="1" si="2"/>
        <v/>
      </c>
    </row>
    <row r="133" spans="4:4" x14ac:dyDescent="0.25">
      <c r="D133" t="str">
        <f t="shared" ca="1" si="2"/>
        <v/>
      </c>
    </row>
    <row r="134" spans="4:4" x14ac:dyDescent="0.25">
      <c r="D134" t="str">
        <f t="shared" ca="1" si="2"/>
        <v/>
      </c>
    </row>
    <row r="135" spans="4:4" x14ac:dyDescent="0.25">
      <c r="D135" t="str">
        <f t="shared" ca="1" si="2"/>
        <v/>
      </c>
    </row>
    <row r="136" spans="4:4" x14ac:dyDescent="0.25">
      <c r="D136" t="str">
        <f t="shared" ca="1" si="2"/>
        <v/>
      </c>
    </row>
    <row r="137" spans="4:4" x14ac:dyDescent="0.25">
      <c r="D137" t="str">
        <f t="shared" ca="1" si="2"/>
        <v/>
      </c>
    </row>
    <row r="138" spans="4:4" x14ac:dyDescent="0.25">
      <c r="D138" t="str">
        <f t="shared" ca="1" si="2"/>
        <v/>
      </c>
    </row>
    <row r="139" spans="4:4" x14ac:dyDescent="0.25">
      <c r="D139" t="str">
        <f t="shared" ca="1" si="2"/>
        <v/>
      </c>
    </row>
    <row r="140" spans="4:4" x14ac:dyDescent="0.25">
      <c r="D140" t="str">
        <f t="shared" ca="1" si="2"/>
        <v/>
      </c>
    </row>
    <row r="141" spans="4:4" x14ac:dyDescent="0.25">
      <c r="D141" t="str">
        <f t="shared" ca="1" si="2"/>
        <v/>
      </c>
    </row>
    <row r="142" spans="4:4" x14ac:dyDescent="0.25">
      <c r="D142" t="str">
        <f t="shared" ca="1" si="2"/>
        <v/>
      </c>
    </row>
    <row r="143" spans="4:4" x14ac:dyDescent="0.25">
      <c r="D143" t="str">
        <f t="shared" ca="1" si="2"/>
        <v/>
      </c>
    </row>
    <row r="144" spans="4:4" x14ac:dyDescent="0.25">
      <c r="D144" t="str">
        <f t="shared" ca="1" si="2"/>
        <v/>
      </c>
    </row>
    <row r="145" spans="4:4" x14ac:dyDescent="0.25">
      <c r="D145" t="str">
        <f t="shared" ca="1" si="2"/>
        <v/>
      </c>
    </row>
    <row r="146" spans="4:4" x14ac:dyDescent="0.25">
      <c r="D146" t="str">
        <f t="shared" ca="1" si="2"/>
        <v/>
      </c>
    </row>
    <row r="147" spans="4:4" x14ac:dyDescent="0.25">
      <c r="D147" t="str">
        <f t="shared" ca="1" si="2"/>
        <v/>
      </c>
    </row>
    <row r="148" spans="4:4" x14ac:dyDescent="0.25">
      <c r="D148" t="str">
        <f t="shared" ca="1" si="2"/>
        <v/>
      </c>
    </row>
    <row r="149" spans="4:4" x14ac:dyDescent="0.25">
      <c r="D149" t="str">
        <f t="shared" ca="1" si="2"/>
        <v/>
      </c>
    </row>
    <row r="150" spans="4:4" x14ac:dyDescent="0.25">
      <c r="D150" t="str">
        <f t="shared" ca="1" si="2"/>
        <v/>
      </c>
    </row>
    <row r="151" spans="4:4" x14ac:dyDescent="0.25">
      <c r="D151" t="str">
        <f t="shared" ca="1" si="2"/>
        <v/>
      </c>
    </row>
    <row r="152" spans="4:4" x14ac:dyDescent="0.25">
      <c r="D152" t="str">
        <f t="shared" ca="1" si="2"/>
        <v/>
      </c>
    </row>
    <row r="153" spans="4:4" x14ac:dyDescent="0.25">
      <c r="D153" t="str">
        <f t="shared" ca="1" si="2"/>
        <v/>
      </c>
    </row>
    <row r="154" spans="4:4" x14ac:dyDescent="0.25">
      <c r="D154" t="str">
        <f t="shared" ca="1" si="2"/>
        <v/>
      </c>
    </row>
    <row r="155" spans="4:4" x14ac:dyDescent="0.25">
      <c r="D155" t="str">
        <f t="shared" ca="1" si="2"/>
        <v/>
      </c>
    </row>
    <row r="156" spans="4:4" x14ac:dyDescent="0.25">
      <c r="D156" t="str">
        <f t="shared" ca="1" si="2"/>
        <v/>
      </c>
    </row>
    <row r="157" spans="4:4" x14ac:dyDescent="0.25">
      <c r="D157" t="str">
        <f t="shared" ca="1" si="2"/>
        <v/>
      </c>
    </row>
    <row r="158" spans="4:4" x14ac:dyDescent="0.25">
      <c r="D158" t="str">
        <f t="shared" ca="1" si="2"/>
        <v/>
      </c>
    </row>
    <row r="159" spans="4:4" x14ac:dyDescent="0.25">
      <c r="D159" t="str">
        <f t="shared" ca="1" si="2"/>
        <v/>
      </c>
    </row>
    <row r="160" spans="4:4" x14ac:dyDescent="0.25">
      <c r="D160" t="str">
        <f t="shared" ca="1" si="2"/>
        <v/>
      </c>
    </row>
    <row r="161" spans="4:4" x14ac:dyDescent="0.25">
      <c r="D161" t="str">
        <f t="shared" ca="1" si="2"/>
        <v/>
      </c>
    </row>
    <row r="162" spans="4:4" x14ac:dyDescent="0.25">
      <c r="D162" t="str">
        <f t="shared" ca="1" si="2"/>
        <v/>
      </c>
    </row>
    <row r="163" spans="4:4" x14ac:dyDescent="0.25">
      <c r="D163" t="str">
        <f t="shared" ca="1" si="2"/>
        <v/>
      </c>
    </row>
    <row r="164" spans="4:4" x14ac:dyDescent="0.25">
      <c r="D164" t="str">
        <f t="shared" ca="1" si="2"/>
        <v/>
      </c>
    </row>
    <row r="165" spans="4:4" x14ac:dyDescent="0.25">
      <c r="D165" t="str">
        <f t="shared" ca="1" si="2"/>
        <v/>
      </c>
    </row>
    <row r="166" spans="4:4" x14ac:dyDescent="0.25">
      <c r="D166" t="str">
        <f t="shared" ca="1" si="2"/>
        <v/>
      </c>
    </row>
    <row r="167" spans="4:4" x14ac:dyDescent="0.25">
      <c r="D167" t="str">
        <f t="shared" ca="1" si="2"/>
        <v/>
      </c>
    </row>
    <row r="168" spans="4:4" x14ac:dyDescent="0.25">
      <c r="D168" t="str">
        <f t="shared" ca="1" si="2"/>
        <v/>
      </c>
    </row>
    <row r="169" spans="4:4" x14ac:dyDescent="0.25">
      <c r="D169" t="str">
        <f t="shared" ca="1" si="2"/>
        <v/>
      </c>
    </row>
    <row r="170" spans="4:4" x14ac:dyDescent="0.25">
      <c r="D170" t="str">
        <f t="shared" ca="1" si="2"/>
        <v/>
      </c>
    </row>
    <row r="171" spans="4:4" x14ac:dyDescent="0.25">
      <c r="D171" t="str">
        <f t="shared" ca="1" si="2"/>
        <v/>
      </c>
    </row>
    <row r="172" spans="4:4" x14ac:dyDescent="0.25">
      <c r="D172" t="str">
        <f t="shared" ca="1" si="2"/>
        <v/>
      </c>
    </row>
    <row r="173" spans="4:4" x14ac:dyDescent="0.25">
      <c r="D173" t="str">
        <f t="shared" ca="1" si="2"/>
        <v/>
      </c>
    </row>
    <row r="174" spans="4:4" x14ac:dyDescent="0.25">
      <c r="D174" t="str">
        <f t="shared" ca="1" si="2"/>
        <v/>
      </c>
    </row>
    <row r="175" spans="4:4" x14ac:dyDescent="0.25">
      <c r="D175" t="str">
        <f t="shared" ca="1" si="2"/>
        <v/>
      </c>
    </row>
    <row r="176" spans="4:4" x14ac:dyDescent="0.25">
      <c r="D176" t="str">
        <f t="shared" ca="1" si="2"/>
        <v/>
      </c>
    </row>
    <row r="177" spans="4:4" x14ac:dyDescent="0.25">
      <c r="D177" t="str">
        <f t="shared" ca="1" si="2"/>
        <v/>
      </c>
    </row>
    <row r="178" spans="4:4" x14ac:dyDescent="0.25">
      <c r="D178" t="str">
        <f t="shared" ca="1" si="2"/>
        <v/>
      </c>
    </row>
    <row r="179" spans="4:4" x14ac:dyDescent="0.25">
      <c r="D179" t="str">
        <f t="shared" ca="1" si="2"/>
        <v/>
      </c>
    </row>
    <row r="180" spans="4:4" x14ac:dyDescent="0.25">
      <c r="D180" t="str">
        <f t="shared" ca="1" si="2"/>
        <v/>
      </c>
    </row>
    <row r="181" spans="4:4" x14ac:dyDescent="0.25">
      <c r="D181" t="str">
        <f t="shared" ca="1" si="2"/>
        <v/>
      </c>
    </row>
    <row r="182" spans="4:4" x14ac:dyDescent="0.25">
      <c r="D182" t="str">
        <f t="shared" ca="1" si="2"/>
        <v/>
      </c>
    </row>
    <row r="183" spans="4:4" x14ac:dyDescent="0.25">
      <c r="D183" t="str">
        <f t="shared" ca="1" si="2"/>
        <v/>
      </c>
    </row>
    <row r="184" spans="4:4" x14ac:dyDescent="0.25">
      <c r="D184" t="str">
        <f t="shared" ca="1" si="2"/>
        <v/>
      </c>
    </row>
    <row r="185" spans="4:4" x14ac:dyDescent="0.25">
      <c r="D185" t="str">
        <f t="shared" ca="1" si="2"/>
        <v/>
      </c>
    </row>
    <row r="186" spans="4:4" x14ac:dyDescent="0.25">
      <c r="D186" t="str">
        <f t="shared" ca="1" si="2"/>
        <v/>
      </c>
    </row>
    <row r="187" spans="4:4" x14ac:dyDescent="0.25">
      <c r="D187" t="str">
        <f t="shared" ca="1" si="2"/>
        <v/>
      </c>
    </row>
    <row r="188" spans="4:4" x14ac:dyDescent="0.25">
      <c r="D188" t="str">
        <f t="shared" ca="1" si="2"/>
        <v/>
      </c>
    </row>
    <row r="189" spans="4:4" x14ac:dyDescent="0.25">
      <c r="D189" t="str">
        <f t="shared" ca="1" si="2"/>
        <v/>
      </c>
    </row>
    <row r="190" spans="4:4" x14ac:dyDescent="0.25">
      <c r="D190" t="str">
        <f t="shared" ca="1" si="2"/>
        <v/>
      </c>
    </row>
    <row r="191" spans="4:4" x14ac:dyDescent="0.25">
      <c r="D191" t="str">
        <f t="shared" ca="1" si="2"/>
        <v/>
      </c>
    </row>
    <row r="192" spans="4:4" x14ac:dyDescent="0.25">
      <c r="D192" t="str">
        <f t="shared" ca="1" si="2"/>
        <v/>
      </c>
    </row>
    <row r="193" spans="4:4" x14ac:dyDescent="0.25">
      <c r="D193" t="str">
        <f t="shared" ca="1" si="2"/>
        <v/>
      </c>
    </row>
    <row r="194" spans="4:4" x14ac:dyDescent="0.25">
      <c r="D194" t="str">
        <f t="shared" ref="D194:D257" ca="1" si="3">IF(A194="","",IF(C194&lt;&gt;"",IF(C194&lt;=B194,"Met - On Time","Met - Late"),IF(TODAY()&gt;B194,"Missed",IF(B194-TODAY()&lt;=14,"Due Soon","On Track"))))</f>
        <v/>
      </c>
    </row>
    <row r="195" spans="4:4" x14ac:dyDescent="0.25">
      <c r="D195" t="str">
        <f t="shared" ca="1" si="3"/>
        <v/>
      </c>
    </row>
    <row r="196" spans="4:4" x14ac:dyDescent="0.25">
      <c r="D196" t="str">
        <f t="shared" ca="1" si="3"/>
        <v/>
      </c>
    </row>
    <row r="197" spans="4:4" x14ac:dyDescent="0.25">
      <c r="D197" t="str">
        <f t="shared" ca="1" si="3"/>
        <v/>
      </c>
    </row>
    <row r="198" spans="4:4" x14ac:dyDescent="0.25">
      <c r="D198" t="str">
        <f t="shared" ca="1" si="3"/>
        <v/>
      </c>
    </row>
    <row r="199" spans="4:4" x14ac:dyDescent="0.25">
      <c r="D199" t="str">
        <f t="shared" ca="1" si="3"/>
        <v/>
      </c>
    </row>
    <row r="200" spans="4:4" x14ac:dyDescent="0.25">
      <c r="D200" t="str">
        <f t="shared" ca="1" si="3"/>
        <v/>
      </c>
    </row>
    <row r="201" spans="4:4" x14ac:dyDescent="0.25">
      <c r="D201" t="str">
        <f t="shared" ca="1" si="3"/>
        <v/>
      </c>
    </row>
    <row r="202" spans="4:4" x14ac:dyDescent="0.25">
      <c r="D202" t="str">
        <f t="shared" ca="1" si="3"/>
        <v/>
      </c>
    </row>
    <row r="203" spans="4:4" x14ac:dyDescent="0.25">
      <c r="D203" t="str">
        <f t="shared" ca="1" si="3"/>
        <v/>
      </c>
    </row>
    <row r="204" spans="4:4" x14ac:dyDescent="0.25">
      <c r="D204" t="str">
        <f t="shared" ca="1" si="3"/>
        <v/>
      </c>
    </row>
    <row r="205" spans="4:4" x14ac:dyDescent="0.25">
      <c r="D205" t="str">
        <f t="shared" ca="1" si="3"/>
        <v/>
      </c>
    </row>
    <row r="206" spans="4:4" x14ac:dyDescent="0.25">
      <c r="D206" t="str">
        <f t="shared" ca="1" si="3"/>
        <v/>
      </c>
    </row>
    <row r="207" spans="4:4" x14ac:dyDescent="0.25">
      <c r="D207" t="str">
        <f t="shared" ca="1" si="3"/>
        <v/>
      </c>
    </row>
    <row r="208" spans="4:4" x14ac:dyDescent="0.25">
      <c r="D208" t="str">
        <f t="shared" ca="1" si="3"/>
        <v/>
      </c>
    </row>
    <row r="209" spans="4:4" x14ac:dyDescent="0.25">
      <c r="D209" t="str">
        <f t="shared" ca="1" si="3"/>
        <v/>
      </c>
    </row>
    <row r="210" spans="4:4" x14ac:dyDescent="0.25">
      <c r="D210" t="str">
        <f t="shared" ca="1" si="3"/>
        <v/>
      </c>
    </row>
    <row r="211" spans="4:4" x14ac:dyDescent="0.25">
      <c r="D211" t="str">
        <f t="shared" ca="1" si="3"/>
        <v/>
      </c>
    </row>
    <row r="212" spans="4:4" x14ac:dyDescent="0.25">
      <c r="D212" t="str">
        <f t="shared" ca="1" si="3"/>
        <v/>
      </c>
    </row>
    <row r="213" spans="4:4" x14ac:dyDescent="0.25">
      <c r="D213" t="str">
        <f t="shared" ca="1" si="3"/>
        <v/>
      </c>
    </row>
    <row r="214" spans="4:4" x14ac:dyDescent="0.25">
      <c r="D214" t="str">
        <f t="shared" ca="1" si="3"/>
        <v/>
      </c>
    </row>
    <row r="215" spans="4:4" x14ac:dyDescent="0.25">
      <c r="D215" t="str">
        <f t="shared" ca="1" si="3"/>
        <v/>
      </c>
    </row>
    <row r="216" spans="4:4" x14ac:dyDescent="0.25">
      <c r="D216" t="str">
        <f t="shared" ca="1" si="3"/>
        <v/>
      </c>
    </row>
    <row r="217" spans="4:4" x14ac:dyDescent="0.25">
      <c r="D217" t="str">
        <f t="shared" ca="1" si="3"/>
        <v/>
      </c>
    </row>
    <row r="218" spans="4:4" x14ac:dyDescent="0.25">
      <c r="D218" t="str">
        <f t="shared" ca="1" si="3"/>
        <v/>
      </c>
    </row>
    <row r="219" spans="4:4" x14ac:dyDescent="0.25">
      <c r="D219" t="str">
        <f t="shared" ca="1" si="3"/>
        <v/>
      </c>
    </row>
    <row r="220" spans="4:4" x14ac:dyDescent="0.25">
      <c r="D220" t="str">
        <f t="shared" ca="1" si="3"/>
        <v/>
      </c>
    </row>
    <row r="221" spans="4:4" x14ac:dyDescent="0.25">
      <c r="D221" t="str">
        <f t="shared" ca="1" si="3"/>
        <v/>
      </c>
    </row>
    <row r="222" spans="4:4" x14ac:dyDescent="0.25">
      <c r="D222" t="str">
        <f t="shared" ca="1" si="3"/>
        <v/>
      </c>
    </row>
    <row r="223" spans="4:4" x14ac:dyDescent="0.25">
      <c r="D223" t="str">
        <f t="shared" ca="1" si="3"/>
        <v/>
      </c>
    </row>
    <row r="224" spans="4:4" x14ac:dyDescent="0.25">
      <c r="D224" t="str">
        <f t="shared" ca="1" si="3"/>
        <v/>
      </c>
    </row>
    <row r="225" spans="4:4" x14ac:dyDescent="0.25">
      <c r="D225" t="str">
        <f t="shared" ca="1" si="3"/>
        <v/>
      </c>
    </row>
    <row r="226" spans="4:4" x14ac:dyDescent="0.25">
      <c r="D226" t="str">
        <f t="shared" ca="1" si="3"/>
        <v/>
      </c>
    </row>
    <row r="227" spans="4:4" x14ac:dyDescent="0.25">
      <c r="D227" t="str">
        <f t="shared" ca="1" si="3"/>
        <v/>
      </c>
    </row>
    <row r="228" spans="4:4" x14ac:dyDescent="0.25">
      <c r="D228" t="str">
        <f t="shared" ca="1" si="3"/>
        <v/>
      </c>
    </row>
    <row r="229" spans="4:4" x14ac:dyDescent="0.25">
      <c r="D229" t="str">
        <f t="shared" ca="1" si="3"/>
        <v/>
      </c>
    </row>
    <row r="230" spans="4:4" x14ac:dyDescent="0.25">
      <c r="D230" t="str">
        <f t="shared" ca="1" si="3"/>
        <v/>
      </c>
    </row>
    <row r="231" spans="4:4" x14ac:dyDescent="0.25">
      <c r="D231" t="str">
        <f t="shared" ca="1" si="3"/>
        <v/>
      </c>
    </row>
    <row r="232" spans="4:4" x14ac:dyDescent="0.25">
      <c r="D232" t="str">
        <f t="shared" ca="1" si="3"/>
        <v/>
      </c>
    </row>
    <row r="233" spans="4:4" x14ac:dyDescent="0.25">
      <c r="D233" t="str">
        <f t="shared" ca="1" si="3"/>
        <v/>
      </c>
    </row>
    <row r="234" spans="4:4" x14ac:dyDescent="0.25">
      <c r="D234" t="str">
        <f t="shared" ca="1" si="3"/>
        <v/>
      </c>
    </row>
    <row r="235" spans="4:4" x14ac:dyDescent="0.25">
      <c r="D235" t="str">
        <f t="shared" ca="1" si="3"/>
        <v/>
      </c>
    </row>
    <row r="236" spans="4:4" x14ac:dyDescent="0.25">
      <c r="D236" t="str">
        <f t="shared" ca="1" si="3"/>
        <v/>
      </c>
    </row>
    <row r="237" spans="4:4" x14ac:dyDescent="0.25">
      <c r="D237" t="str">
        <f t="shared" ca="1" si="3"/>
        <v/>
      </c>
    </row>
    <row r="238" spans="4:4" x14ac:dyDescent="0.25">
      <c r="D238" t="str">
        <f t="shared" ca="1" si="3"/>
        <v/>
      </c>
    </row>
    <row r="239" spans="4:4" x14ac:dyDescent="0.25">
      <c r="D239" t="str">
        <f t="shared" ca="1" si="3"/>
        <v/>
      </c>
    </row>
    <row r="240" spans="4:4" x14ac:dyDescent="0.25">
      <c r="D240" t="str">
        <f t="shared" ca="1" si="3"/>
        <v/>
      </c>
    </row>
    <row r="241" spans="4:4" x14ac:dyDescent="0.25">
      <c r="D241" t="str">
        <f t="shared" ca="1" si="3"/>
        <v/>
      </c>
    </row>
    <row r="242" spans="4:4" x14ac:dyDescent="0.25">
      <c r="D242" t="str">
        <f t="shared" ca="1" si="3"/>
        <v/>
      </c>
    </row>
    <row r="243" spans="4:4" x14ac:dyDescent="0.25">
      <c r="D243" t="str">
        <f t="shared" ca="1" si="3"/>
        <v/>
      </c>
    </row>
    <row r="244" spans="4:4" x14ac:dyDescent="0.25">
      <c r="D244" t="str">
        <f t="shared" ca="1" si="3"/>
        <v/>
      </c>
    </row>
    <row r="245" spans="4:4" x14ac:dyDescent="0.25">
      <c r="D245" t="str">
        <f t="shared" ca="1" si="3"/>
        <v/>
      </c>
    </row>
    <row r="246" spans="4:4" x14ac:dyDescent="0.25">
      <c r="D246" t="str">
        <f t="shared" ca="1" si="3"/>
        <v/>
      </c>
    </row>
    <row r="247" spans="4:4" x14ac:dyDescent="0.25">
      <c r="D247" t="str">
        <f t="shared" ca="1" si="3"/>
        <v/>
      </c>
    </row>
    <row r="248" spans="4:4" x14ac:dyDescent="0.25">
      <c r="D248" t="str">
        <f t="shared" ca="1" si="3"/>
        <v/>
      </c>
    </row>
    <row r="249" spans="4:4" x14ac:dyDescent="0.25">
      <c r="D249" t="str">
        <f t="shared" ca="1" si="3"/>
        <v/>
      </c>
    </row>
    <row r="250" spans="4:4" x14ac:dyDescent="0.25">
      <c r="D250" t="str">
        <f t="shared" ca="1" si="3"/>
        <v/>
      </c>
    </row>
    <row r="251" spans="4:4" x14ac:dyDescent="0.25">
      <c r="D251" t="str">
        <f t="shared" ca="1" si="3"/>
        <v/>
      </c>
    </row>
    <row r="252" spans="4:4" x14ac:dyDescent="0.25">
      <c r="D252" t="str">
        <f t="shared" ca="1" si="3"/>
        <v/>
      </c>
    </row>
    <row r="253" spans="4:4" x14ac:dyDescent="0.25">
      <c r="D253" t="str">
        <f t="shared" ca="1" si="3"/>
        <v/>
      </c>
    </row>
    <row r="254" spans="4:4" x14ac:dyDescent="0.25">
      <c r="D254" t="str">
        <f t="shared" ca="1" si="3"/>
        <v/>
      </c>
    </row>
    <row r="255" spans="4:4" x14ac:dyDescent="0.25">
      <c r="D255" t="str">
        <f t="shared" ca="1" si="3"/>
        <v/>
      </c>
    </row>
    <row r="256" spans="4:4" x14ac:dyDescent="0.25">
      <c r="D256" t="str">
        <f t="shared" ca="1" si="3"/>
        <v/>
      </c>
    </row>
    <row r="257" spans="4:4" x14ac:dyDescent="0.25">
      <c r="D257" t="str">
        <f t="shared" ca="1" si="3"/>
        <v/>
      </c>
    </row>
    <row r="258" spans="4:4" x14ac:dyDescent="0.25">
      <c r="D258" t="str">
        <f t="shared" ref="D258:D295" ca="1" si="4">IF(A258="","",IF(C258&lt;&gt;"",IF(C258&lt;=B258,"Met - On Time","Met - Late"),IF(TODAY()&gt;B258,"Missed",IF(B258-TODAY()&lt;=14,"Due Soon","On Track"))))</f>
        <v/>
      </c>
    </row>
    <row r="259" spans="4:4" x14ac:dyDescent="0.25">
      <c r="D259" t="str">
        <f t="shared" ca="1" si="4"/>
        <v/>
      </c>
    </row>
    <row r="260" spans="4:4" x14ac:dyDescent="0.25">
      <c r="D260" t="str">
        <f t="shared" ca="1" si="4"/>
        <v/>
      </c>
    </row>
    <row r="261" spans="4:4" x14ac:dyDescent="0.25">
      <c r="D261" t="str">
        <f t="shared" ca="1" si="4"/>
        <v/>
      </c>
    </row>
    <row r="262" spans="4:4" x14ac:dyDescent="0.25">
      <c r="D262" t="str">
        <f t="shared" ca="1" si="4"/>
        <v/>
      </c>
    </row>
    <row r="263" spans="4:4" x14ac:dyDescent="0.25">
      <c r="D263" t="str">
        <f t="shared" ca="1" si="4"/>
        <v/>
      </c>
    </row>
    <row r="264" spans="4:4" x14ac:dyDescent="0.25">
      <c r="D264" t="str">
        <f t="shared" ca="1" si="4"/>
        <v/>
      </c>
    </row>
    <row r="265" spans="4:4" x14ac:dyDescent="0.25">
      <c r="D265" t="str">
        <f t="shared" ca="1" si="4"/>
        <v/>
      </c>
    </row>
    <row r="266" spans="4:4" x14ac:dyDescent="0.25">
      <c r="D266" t="str">
        <f t="shared" ca="1" si="4"/>
        <v/>
      </c>
    </row>
    <row r="267" spans="4:4" x14ac:dyDescent="0.25">
      <c r="D267" t="str">
        <f t="shared" ca="1" si="4"/>
        <v/>
      </c>
    </row>
    <row r="268" spans="4:4" x14ac:dyDescent="0.25">
      <c r="D268" t="str">
        <f t="shared" ca="1" si="4"/>
        <v/>
      </c>
    </row>
    <row r="269" spans="4:4" x14ac:dyDescent="0.25">
      <c r="D269" t="str">
        <f t="shared" ca="1" si="4"/>
        <v/>
      </c>
    </row>
    <row r="270" spans="4:4" x14ac:dyDescent="0.25">
      <c r="D270" t="str">
        <f t="shared" ca="1" si="4"/>
        <v/>
      </c>
    </row>
    <row r="271" spans="4:4" x14ac:dyDescent="0.25">
      <c r="D271" t="str">
        <f t="shared" ca="1" si="4"/>
        <v/>
      </c>
    </row>
    <row r="272" spans="4:4" x14ac:dyDescent="0.25">
      <c r="D272" t="str">
        <f t="shared" ca="1" si="4"/>
        <v/>
      </c>
    </row>
    <row r="273" spans="4:4" x14ac:dyDescent="0.25">
      <c r="D273" t="str">
        <f t="shared" ca="1" si="4"/>
        <v/>
      </c>
    </row>
    <row r="274" spans="4:4" x14ac:dyDescent="0.25">
      <c r="D274" t="str">
        <f t="shared" ca="1" si="4"/>
        <v/>
      </c>
    </row>
    <row r="275" spans="4:4" x14ac:dyDescent="0.25">
      <c r="D275" t="str">
        <f t="shared" ca="1" si="4"/>
        <v/>
      </c>
    </row>
    <row r="276" spans="4:4" x14ac:dyDescent="0.25">
      <c r="D276" t="str">
        <f t="shared" ca="1" si="4"/>
        <v/>
      </c>
    </row>
    <row r="277" spans="4:4" x14ac:dyDescent="0.25">
      <c r="D277" t="str">
        <f t="shared" ca="1" si="4"/>
        <v/>
      </c>
    </row>
    <row r="278" spans="4:4" x14ac:dyDescent="0.25">
      <c r="D278" t="str">
        <f t="shared" ca="1" si="4"/>
        <v/>
      </c>
    </row>
    <row r="279" spans="4:4" x14ac:dyDescent="0.25">
      <c r="D279" t="str">
        <f t="shared" ca="1" si="4"/>
        <v/>
      </c>
    </row>
    <row r="280" spans="4:4" x14ac:dyDescent="0.25">
      <c r="D280" t="str">
        <f t="shared" ca="1" si="4"/>
        <v/>
      </c>
    </row>
    <row r="281" spans="4:4" x14ac:dyDescent="0.25">
      <c r="D281" t="str">
        <f t="shared" ca="1" si="4"/>
        <v/>
      </c>
    </row>
    <row r="282" spans="4:4" x14ac:dyDescent="0.25">
      <c r="D282" t="str">
        <f t="shared" ca="1" si="4"/>
        <v/>
      </c>
    </row>
    <row r="283" spans="4:4" x14ac:dyDescent="0.25">
      <c r="D283" t="str">
        <f t="shared" ca="1" si="4"/>
        <v/>
      </c>
    </row>
    <row r="284" spans="4:4" x14ac:dyDescent="0.25">
      <c r="D284" t="str">
        <f t="shared" ca="1" si="4"/>
        <v/>
      </c>
    </row>
    <row r="285" spans="4:4" x14ac:dyDescent="0.25">
      <c r="D285" t="str">
        <f t="shared" ca="1" si="4"/>
        <v/>
      </c>
    </row>
    <row r="286" spans="4:4" x14ac:dyDescent="0.25">
      <c r="D286" t="str">
        <f t="shared" ca="1" si="4"/>
        <v/>
      </c>
    </row>
    <row r="287" spans="4:4" x14ac:dyDescent="0.25">
      <c r="D287" t="str">
        <f t="shared" ca="1" si="4"/>
        <v/>
      </c>
    </row>
    <row r="288" spans="4:4" x14ac:dyDescent="0.25">
      <c r="D288" t="str">
        <f t="shared" ca="1" si="4"/>
        <v/>
      </c>
    </row>
    <row r="289" spans="1:4" x14ac:dyDescent="0.25">
      <c r="D289" t="str">
        <f t="shared" ca="1" si="4"/>
        <v/>
      </c>
    </row>
    <row r="290" spans="1:4" x14ac:dyDescent="0.25">
      <c r="D290" t="str">
        <f t="shared" ca="1" si="4"/>
        <v/>
      </c>
    </row>
    <row r="291" spans="1:4" x14ac:dyDescent="0.25">
      <c r="D291" t="str">
        <f t="shared" ca="1" si="4"/>
        <v/>
      </c>
    </row>
    <row r="292" spans="1:4" x14ac:dyDescent="0.25">
      <c r="D292" t="str">
        <f t="shared" ca="1" si="4"/>
        <v/>
      </c>
    </row>
    <row r="293" spans="1:4" x14ac:dyDescent="0.25">
      <c r="D293" t="str">
        <f t="shared" ca="1" si="4"/>
        <v/>
      </c>
    </row>
    <row r="294" spans="1:4" x14ac:dyDescent="0.25">
      <c r="D294" t="str">
        <f t="shared" ca="1" si="4"/>
        <v/>
      </c>
    </row>
    <row r="295" spans="1:4" x14ac:dyDescent="0.25">
      <c r="D295" t="str">
        <f t="shared" ca="1" si="4"/>
        <v/>
      </c>
    </row>
    <row r="298" spans="1:4" x14ac:dyDescent="0.25">
      <c r="A298" s="3" t="s">
        <v>378</v>
      </c>
    </row>
  </sheetData>
  <conditionalFormatting sqref="D2:D296">
    <cfRule type="cellIs" dxfId="11" priority="2" operator="equal">
      <formula>"Missed"</formula>
    </cfRule>
    <cfRule type="cellIs" dxfId="10" priority="3" operator="equal">
      <formula>"Met - Late"</formula>
    </cfRule>
    <cfRule type="cellIs" dxfId="9" priority="4" operator="equal">
      <formula>"Due Soon"</formula>
    </cfRule>
  </conditionalFormatting>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A1A1A"/>
    <pageSetUpPr fitToPage="1"/>
  </sheetPr>
  <dimension ref="A1:H298"/>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1" width="8" customWidth="1"/>
    <col min="2" max="2" width="14" customWidth="1"/>
    <col min="3" max="3" width="26" customWidth="1"/>
    <col min="4" max="5" width="18" customWidth="1"/>
    <col min="6" max="6" width="22" customWidth="1"/>
    <col min="7" max="7" width="12" customWidth="1"/>
    <col min="8" max="8" width="22" customWidth="1"/>
  </cols>
  <sheetData>
    <row r="1" spans="1:8" ht="31.5" customHeight="1" x14ac:dyDescent="0.25">
      <c r="A1" s="18" t="s">
        <v>379</v>
      </c>
      <c r="B1" s="18" t="s">
        <v>380</v>
      </c>
      <c r="C1" s="18" t="s">
        <v>381</v>
      </c>
      <c r="D1" s="18" t="s">
        <v>382</v>
      </c>
      <c r="E1" s="18" t="s">
        <v>383</v>
      </c>
      <c r="F1" s="18" t="s">
        <v>384</v>
      </c>
      <c r="G1" s="18" t="s">
        <v>220</v>
      </c>
      <c r="H1" s="18" t="s">
        <v>373</v>
      </c>
    </row>
    <row r="298" spans="1:1" x14ac:dyDescent="0.25">
      <c r="A298" s="3" t="s">
        <v>385</v>
      </c>
    </row>
  </sheetData>
  <conditionalFormatting sqref="G2:G296">
    <cfRule type="cellIs" dxfId="8" priority="2" operator="equal">
      <formula>"Delayed"</formula>
    </cfRule>
    <cfRule type="cellIs" dxfId="7" priority="3" operator="equal">
      <formula>"At Risk"</formula>
    </cfRule>
  </conditionalFormatting>
  <dataValidations count="1">
    <dataValidation type="list" allowBlank="1" sqref="G2:G496" xr:uid="{00000000-0002-0000-0E00-000000000000}">
      <formula1>"On Track,At Risk,Delayed,Complete"</formula1>
      <formula2>0</formula2>
    </dataValidation>
  </dataValidations>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A1A1A"/>
    <pageSetUpPr fitToPage="1"/>
  </sheetPr>
  <dimension ref="A1:H301"/>
  <sheetViews>
    <sheetView showGridLines="0" zoomScaleNormal="100" workbookViewId="0">
      <pane ySplit="1" topLeftCell="A2" activePane="bottomLeft" state="frozen"/>
      <selection pane="bottomLeft" activeCell="A2" sqref="A2"/>
    </sheetView>
  </sheetViews>
  <sheetFormatPr defaultColWidth="8.7109375" defaultRowHeight="15" x14ac:dyDescent="0.25"/>
  <cols>
    <col min="1" max="2" width="12" customWidth="1"/>
    <col min="3" max="3" width="18" customWidth="1"/>
    <col min="4" max="4" width="30" customWidth="1"/>
    <col min="5" max="5" width="18" customWidth="1"/>
    <col min="6" max="6" width="16" customWidth="1"/>
    <col min="7" max="7" width="22" customWidth="1"/>
    <col min="8" max="8" width="20" customWidth="1"/>
  </cols>
  <sheetData>
    <row r="1" spans="1:8" ht="31.5" customHeight="1" x14ac:dyDescent="0.25">
      <c r="A1" s="18" t="s">
        <v>386</v>
      </c>
      <c r="B1" s="18" t="s">
        <v>387</v>
      </c>
      <c r="C1" s="18" t="s">
        <v>388</v>
      </c>
      <c r="D1" s="18" t="s">
        <v>278</v>
      </c>
      <c r="E1" s="18" t="s">
        <v>389</v>
      </c>
      <c r="F1" s="18" t="s">
        <v>353</v>
      </c>
      <c r="G1" s="18" t="s">
        <v>390</v>
      </c>
      <c r="H1" s="18" t="s">
        <v>391</v>
      </c>
    </row>
    <row r="301" spans="1:1" x14ac:dyDescent="0.25">
      <c r="A301" s="3" t="s">
        <v>392</v>
      </c>
    </row>
  </sheetData>
  <dataValidations count="1">
    <dataValidation type="list" allowBlank="1" sqref="H2:H499" xr:uid="{00000000-0002-0000-0F00-000000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A1A1A"/>
    <pageSetUpPr fitToPage="1"/>
  </sheetPr>
  <dimension ref="A2:S307"/>
  <sheetViews>
    <sheetView showGridLines="0" zoomScaleNormal="100" workbookViewId="0">
      <pane ySplit="5" topLeftCell="A6" activePane="bottomLeft" state="frozen"/>
      <selection pane="bottomLeft" activeCell="A6" sqref="A6"/>
    </sheetView>
  </sheetViews>
  <sheetFormatPr defaultColWidth="8.7109375" defaultRowHeight="15" x14ac:dyDescent="0.25"/>
  <cols>
    <col min="1" max="2" width="20" customWidth="1"/>
    <col min="3" max="4" width="16" customWidth="1"/>
    <col min="5" max="5" width="13" customWidth="1"/>
    <col min="6" max="6" width="14" customWidth="1"/>
    <col min="7" max="7" width="16" customWidth="1"/>
    <col min="8" max="8" width="14" customWidth="1"/>
    <col min="9" max="9" width="26" customWidth="1"/>
    <col min="10" max="10" width="14" customWidth="1"/>
    <col min="11" max="11" width="24" customWidth="1"/>
    <col min="12" max="14" width="14" customWidth="1"/>
    <col min="15" max="15" width="3" customWidth="1"/>
    <col min="16" max="16" width="18" customWidth="1"/>
    <col min="17" max="17" width="10" customWidth="1"/>
    <col min="18" max="18" width="20" customWidth="1"/>
    <col min="19" max="19" width="10" customWidth="1"/>
  </cols>
  <sheetData>
    <row r="2" spans="1:19" x14ac:dyDescent="0.25">
      <c r="B2" s="12" t="s">
        <v>393</v>
      </c>
      <c r="C2" t="str">
        <f>IF('Project Info'!C5="","",'Project Info'!C5)</f>
        <v>Norcross, GA</v>
      </c>
      <c r="P2" s="4" t="s">
        <v>394</v>
      </c>
      <c r="Q2">
        <f>SUMPRODUCT((A6:A303&lt;&gt;"")*1)</f>
        <v>0</v>
      </c>
      <c r="R2" s="4" t="s">
        <v>395</v>
      </c>
      <c r="S2">
        <f>COUNTIF(E6:E303,"In Hand")</f>
        <v>0</v>
      </c>
    </row>
    <row r="3" spans="1:19" x14ac:dyDescent="0.25">
      <c r="B3" s="12" t="s">
        <v>396</v>
      </c>
      <c r="C3" t="str">
        <f>IF('Project Info'!C9="","",'Project Info'!C9)</f>
        <v>Gwinnett County, GA; Norcross, GA</v>
      </c>
      <c r="P3" s="4" t="s">
        <v>397</v>
      </c>
      <c r="Q3">
        <f ca="1">COUNTIF(J6:J303,"ACTION NEEDED")</f>
        <v>0</v>
      </c>
      <c r="R3" s="4" t="s">
        <v>398</v>
      </c>
      <c r="S3">
        <f ca="1">COUNTIF(J6:J303,"EXPIRING SOON")</f>
        <v>0</v>
      </c>
    </row>
    <row r="5" spans="1:19" ht="31.5" customHeight="1" x14ac:dyDescent="0.25">
      <c r="A5" s="18" t="s">
        <v>399</v>
      </c>
      <c r="B5" s="18" t="s">
        <v>400</v>
      </c>
      <c r="C5" s="18" t="s">
        <v>351</v>
      </c>
      <c r="D5" s="18" t="s">
        <v>401</v>
      </c>
      <c r="E5" s="18" t="s">
        <v>220</v>
      </c>
      <c r="F5" s="18" t="s">
        <v>402</v>
      </c>
      <c r="G5" s="18" t="s">
        <v>403</v>
      </c>
      <c r="H5" s="18" t="s">
        <v>404</v>
      </c>
      <c r="I5" s="18" t="s">
        <v>405</v>
      </c>
      <c r="J5" s="18" t="s">
        <v>406</v>
      </c>
      <c r="K5" s="18" t="s">
        <v>226</v>
      </c>
      <c r="L5" s="18" t="s">
        <v>227</v>
      </c>
      <c r="M5" s="18" t="s">
        <v>230</v>
      </c>
      <c r="N5" s="18" t="s">
        <v>231</v>
      </c>
    </row>
    <row r="6" spans="1:19" x14ac:dyDescent="0.25">
      <c r="J6" t="str">
        <f t="shared" ref="J6:J69" ca="1" si="0">IF(A6="","",IF(OR(E6="Rejected",E6="Expired"),"ACTION NEEDED",IF(AND(B6="Yes",E6="Not Started"),"ACTION NEEDED",IF(AND(E6="In Hand",H6&lt;&gt;"",H6-TODAY()&lt;=30,H6-TODAY()&gt;=0),"EXPIRING SOON",""))))</f>
        <v/>
      </c>
      <c r="M6" s="13" t="str">
        <f t="shared" ref="M6:M69" si="1">IF(A6="","",MAX(F6+0,G6+0))</f>
        <v/>
      </c>
      <c r="N6" t="str">
        <f t="shared" ref="N6:N69" ca="1" si="2">IF(A6="","",IF(OR(E6="In Hand",E6="Rejected"),"",TODAY()-M6))</f>
        <v/>
      </c>
    </row>
    <row r="7" spans="1:19" x14ac:dyDescent="0.25">
      <c r="J7" t="str">
        <f t="shared" ca="1" si="0"/>
        <v/>
      </c>
      <c r="M7" s="13" t="str">
        <f t="shared" si="1"/>
        <v/>
      </c>
      <c r="N7" t="str">
        <f t="shared" ca="1" si="2"/>
        <v/>
      </c>
    </row>
    <row r="8" spans="1:19" x14ac:dyDescent="0.25">
      <c r="J8" t="str">
        <f t="shared" ca="1" si="0"/>
        <v/>
      </c>
      <c r="M8" s="13" t="str">
        <f t="shared" si="1"/>
        <v/>
      </c>
      <c r="N8" t="str">
        <f t="shared" ca="1" si="2"/>
        <v/>
      </c>
    </row>
    <row r="9" spans="1:19" x14ac:dyDescent="0.25">
      <c r="J9" t="str">
        <f t="shared" ca="1" si="0"/>
        <v/>
      </c>
      <c r="M9" s="13" t="str">
        <f t="shared" si="1"/>
        <v/>
      </c>
      <c r="N9" t="str">
        <f t="shared" ca="1" si="2"/>
        <v/>
      </c>
    </row>
    <row r="10" spans="1:19" x14ac:dyDescent="0.25">
      <c r="J10" t="str">
        <f t="shared" ca="1" si="0"/>
        <v/>
      </c>
      <c r="M10" s="13" t="str">
        <f t="shared" si="1"/>
        <v/>
      </c>
      <c r="N10" t="str">
        <f t="shared" ca="1" si="2"/>
        <v/>
      </c>
    </row>
    <row r="11" spans="1:19" x14ac:dyDescent="0.25">
      <c r="J11" t="str">
        <f t="shared" ca="1" si="0"/>
        <v/>
      </c>
      <c r="M11" s="13" t="str">
        <f t="shared" si="1"/>
        <v/>
      </c>
      <c r="N11" t="str">
        <f t="shared" ca="1" si="2"/>
        <v/>
      </c>
    </row>
    <row r="12" spans="1:19" x14ac:dyDescent="0.25">
      <c r="J12" t="str">
        <f t="shared" ca="1" si="0"/>
        <v/>
      </c>
      <c r="M12" s="13" t="str">
        <f t="shared" si="1"/>
        <v/>
      </c>
      <c r="N12" t="str">
        <f t="shared" ca="1" si="2"/>
        <v/>
      </c>
    </row>
    <row r="13" spans="1:19" x14ac:dyDescent="0.25">
      <c r="J13" t="str">
        <f t="shared" ca="1" si="0"/>
        <v/>
      </c>
      <c r="M13" s="13" t="str">
        <f t="shared" si="1"/>
        <v/>
      </c>
      <c r="N13" t="str">
        <f t="shared" ca="1" si="2"/>
        <v/>
      </c>
    </row>
    <row r="14" spans="1:19" x14ac:dyDescent="0.25">
      <c r="J14" t="str">
        <f t="shared" ca="1" si="0"/>
        <v/>
      </c>
      <c r="M14" s="13" t="str">
        <f t="shared" si="1"/>
        <v/>
      </c>
      <c r="N14" t="str">
        <f t="shared" ca="1" si="2"/>
        <v/>
      </c>
    </row>
    <row r="15" spans="1:19" x14ac:dyDescent="0.25">
      <c r="J15" t="str">
        <f t="shared" ca="1" si="0"/>
        <v/>
      </c>
      <c r="M15" s="13" t="str">
        <f t="shared" si="1"/>
        <v/>
      </c>
      <c r="N15" t="str">
        <f t="shared" ca="1" si="2"/>
        <v/>
      </c>
    </row>
    <row r="16" spans="1:19" x14ac:dyDescent="0.25">
      <c r="J16" t="str">
        <f t="shared" ca="1" si="0"/>
        <v/>
      </c>
      <c r="M16" s="13" t="str">
        <f t="shared" si="1"/>
        <v/>
      </c>
      <c r="N16" t="str">
        <f t="shared" ca="1" si="2"/>
        <v/>
      </c>
    </row>
    <row r="17" spans="10:14" x14ac:dyDescent="0.25">
      <c r="J17" t="str">
        <f t="shared" ca="1" si="0"/>
        <v/>
      </c>
      <c r="M17" s="13" t="str">
        <f t="shared" si="1"/>
        <v/>
      </c>
      <c r="N17" t="str">
        <f t="shared" ca="1" si="2"/>
        <v/>
      </c>
    </row>
    <row r="18" spans="10:14" x14ac:dyDescent="0.25">
      <c r="J18" t="str">
        <f t="shared" ca="1" si="0"/>
        <v/>
      </c>
      <c r="M18" s="13" t="str">
        <f t="shared" si="1"/>
        <v/>
      </c>
      <c r="N18" t="str">
        <f t="shared" ca="1" si="2"/>
        <v/>
      </c>
    </row>
    <row r="19" spans="10:14" x14ac:dyDescent="0.25">
      <c r="J19" t="str">
        <f t="shared" ca="1" si="0"/>
        <v/>
      </c>
      <c r="M19" s="13" t="str">
        <f t="shared" si="1"/>
        <v/>
      </c>
      <c r="N19" t="str">
        <f t="shared" ca="1" si="2"/>
        <v/>
      </c>
    </row>
    <row r="20" spans="10:14" x14ac:dyDescent="0.25">
      <c r="J20" t="str">
        <f t="shared" ca="1" si="0"/>
        <v/>
      </c>
      <c r="M20" s="13" t="str">
        <f t="shared" si="1"/>
        <v/>
      </c>
      <c r="N20" t="str">
        <f t="shared" ca="1" si="2"/>
        <v/>
      </c>
    </row>
    <row r="21" spans="10:14" x14ac:dyDescent="0.25">
      <c r="J21" t="str">
        <f t="shared" ca="1" si="0"/>
        <v/>
      </c>
      <c r="M21" s="13" t="str">
        <f t="shared" si="1"/>
        <v/>
      </c>
      <c r="N21" t="str">
        <f t="shared" ca="1" si="2"/>
        <v/>
      </c>
    </row>
    <row r="22" spans="10:14" x14ac:dyDescent="0.25">
      <c r="J22" t="str">
        <f t="shared" ca="1" si="0"/>
        <v/>
      </c>
      <c r="M22" s="13" t="str">
        <f t="shared" si="1"/>
        <v/>
      </c>
      <c r="N22" t="str">
        <f t="shared" ca="1" si="2"/>
        <v/>
      </c>
    </row>
    <row r="23" spans="10:14" x14ac:dyDescent="0.25">
      <c r="J23" t="str">
        <f t="shared" ca="1" si="0"/>
        <v/>
      </c>
      <c r="M23" s="13" t="str">
        <f t="shared" si="1"/>
        <v/>
      </c>
      <c r="N23" t="str">
        <f t="shared" ca="1" si="2"/>
        <v/>
      </c>
    </row>
    <row r="24" spans="10:14" x14ac:dyDescent="0.25">
      <c r="J24" t="str">
        <f t="shared" ca="1" si="0"/>
        <v/>
      </c>
      <c r="M24" s="13" t="str">
        <f t="shared" si="1"/>
        <v/>
      </c>
      <c r="N24" t="str">
        <f t="shared" ca="1" si="2"/>
        <v/>
      </c>
    </row>
    <row r="25" spans="10:14" x14ac:dyDescent="0.25">
      <c r="J25" t="str">
        <f t="shared" ca="1" si="0"/>
        <v/>
      </c>
      <c r="M25" s="13" t="str">
        <f t="shared" si="1"/>
        <v/>
      </c>
      <c r="N25" t="str">
        <f t="shared" ca="1" si="2"/>
        <v/>
      </c>
    </row>
    <row r="26" spans="10:14" x14ac:dyDescent="0.25">
      <c r="J26" t="str">
        <f t="shared" ca="1" si="0"/>
        <v/>
      </c>
      <c r="M26" s="13" t="str">
        <f t="shared" si="1"/>
        <v/>
      </c>
      <c r="N26" t="str">
        <f t="shared" ca="1" si="2"/>
        <v/>
      </c>
    </row>
    <row r="27" spans="10:14" x14ac:dyDescent="0.25">
      <c r="J27" t="str">
        <f t="shared" ca="1" si="0"/>
        <v/>
      </c>
      <c r="M27" s="13" t="str">
        <f t="shared" si="1"/>
        <v/>
      </c>
      <c r="N27" t="str">
        <f t="shared" ca="1" si="2"/>
        <v/>
      </c>
    </row>
    <row r="28" spans="10:14" x14ac:dyDescent="0.25">
      <c r="J28" t="str">
        <f t="shared" ca="1" si="0"/>
        <v/>
      </c>
      <c r="M28" s="13" t="str">
        <f t="shared" si="1"/>
        <v/>
      </c>
      <c r="N28" t="str">
        <f t="shared" ca="1" si="2"/>
        <v/>
      </c>
    </row>
    <row r="29" spans="10:14" x14ac:dyDescent="0.25">
      <c r="J29" t="str">
        <f t="shared" ca="1" si="0"/>
        <v/>
      </c>
      <c r="M29" s="13" t="str">
        <f t="shared" si="1"/>
        <v/>
      </c>
      <c r="N29" t="str">
        <f t="shared" ca="1" si="2"/>
        <v/>
      </c>
    </row>
    <row r="30" spans="10:14" x14ac:dyDescent="0.25">
      <c r="J30" t="str">
        <f t="shared" ca="1" si="0"/>
        <v/>
      </c>
      <c r="M30" s="13" t="str">
        <f t="shared" si="1"/>
        <v/>
      </c>
      <c r="N30" t="str">
        <f t="shared" ca="1" si="2"/>
        <v/>
      </c>
    </row>
    <row r="31" spans="10:14" x14ac:dyDescent="0.25">
      <c r="J31" t="str">
        <f t="shared" ca="1" si="0"/>
        <v/>
      </c>
      <c r="M31" s="13" t="str">
        <f t="shared" si="1"/>
        <v/>
      </c>
      <c r="N31" t="str">
        <f t="shared" ca="1" si="2"/>
        <v/>
      </c>
    </row>
    <row r="32" spans="10:14" x14ac:dyDescent="0.25">
      <c r="J32" t="str">
        <f t="shared" ca="1" si="0"/>
        <v/>
      </c>
      <c r="M32" s="13" t="str">
        <f t="shared" si="1"/>
        <v/>
      </c>
      <c r="N32" t="str">
        <f t="shared" ca="1" si="2"/>
        <v/>
      </c>
    </row>
    <row r="33" spans="10:14" x14ac:dyDescent="0.25">
      <c r="J33" t="str">
        <f t="shared" ca="1" si="0"/>
        <v/>
      </c>
      <c r="M33" s="13" t="str">
        <f t="shared" si="1"/>
        <v/>
      </c>
      <c r="N33" t="str">
        <f t="shared" ca="1" si="2"/>
        <v/>
      </c>
    </row>
    <row r="34" spans="10:14" x14ac:dyDescent="0.25">
      <c r="J34" t="str">
        <f t="shared" ca="1" si="0"/>
        <v/>
      </c>
      <c r="M34" s="13" t="str">
        <f t="shared" si="1"/>
        <v/>
      </c>
      <c r="N34" t="str">
        <f t="shared" ca="1" si="2"/>
        <v/>
      </c>
    </row>
    <row r="35" spans="10:14" x14ac:dyDescent="0.25">
      <c r="J35" t="str">
        <f t="shared" ca="1" si="0"/>
        <v/>
      </c>
      <c r="M35" s="13" t="str">
        <f t="shared" si="1"/>
        <v/>
      </c>
      <c r="N35" t="str">
        <f t="shared" ca="1" si="2"/>
        <v/>
      </c>
    </row>
    <row r="36" spans="10:14" x14ac:dyDescent="0.25">
      <c r="J36" t="str">
        <f t="shared" ca="1" si="0"/>
        <v/>
      </c>
      <c r="M36" s="13" t="str">
        <f t="shared" si="1"/>
        <v/>
      </c>
      <c r="N36" t="str">
        <f t="shared" ca="1" si="2"/>
        <v/>
      </c>
    </row>
    <row r="37" spans="10:14" x14ac:dyDescent="0.25">
      <c r="J37" t="str">
        <f t="shared" ca="1" si="0"/>
        <v/>
      </c>
      <c r="M37" s="13" t="str">
        <f t="shared" si="1"/>
        <v/>
      </c>
      <c r="N37" t="str">
        <f t="shared" ca="1" si="2"/>
        <v/>
      </c>
    </row>
    <row r="38" spans="10:14" x14ac:dyDescent="0.25">
      <c r="J38" t="str">
        <f t="shared" ca="1" si="0"/>
        <v/>
      </c>
      <c r="M38" s="13" t="str">
        <f t="shared" si="1"/>
        <v/>
      </c>
      <c r="N38" t="str">
        <f t="shared" ca="1" si="2"/>
        <v/>
      </c>
    </row>
    <row r="39" spans="10:14" x14ac:dyDescent="0.25">
      <c r="J39" t="str">
        <f t="shared" ca="1" si="0"/>
        <v/>
      </c>
      <c r="M39" s="13" t="str">
        <f t="shared" si="1"/>
        <v/>
      </c>
      <c r="N39" t="str">
        <f t="shared" ca="1" si="2"/>
        <v/>
      </c>
    </row>
    <row r="40" spans="10:14" x14ac:dyDescent="0.25">
      <c r="J40" t="str">
        <f t="shared" ca="1" si="0"/>
        <v/>
      </c>
      <c r="M40" s="13" t="str">
        <f t="shared" si="1"/>
        <v/>
      </c>
      <c r="N40" t="str">
        <f t="shared" ca="1" si="2"/>
        <v/>
      </c>
    </row>
    <row r="41" spans="10:14" x14ac:dyDescent="0.25">
      <c r="J41" t="str">
        <f t="shared" ca="1" si="0"/>
        <v/>
      </c>
      <c r="M41" s="13" t="str">
        <f t="shared" si="1"/>
        <v/>
      </c>
      <c r="N41" t="str">
        <f t="shared" ca="1" si="2"/>
        <v/>
      </c>
    </row>
    <row r="42" spans="10:14" x14ac:dyDescent="0.25">
      <c r="J42" t="str">
        <f t="shared" ca="1" si="0"/>
        <v/>
      </c>
      <c r="M42" s="13" t="str">
        <f t="shared" si="1"/>
        <v/>
      </c>
      <c r="N42" t="str">
        <f t="shared" ca="1" si="2"/>
        <v/>
      </c>
    </row>
    <row r="43" spans="10:14" x14ac:dyDescent="0.25">
      <c r="J43" t="str">
        <f t="shared" ca="1" si="0"/>
        <v/>
      </c>
      <c r="M43" s="13" t="str">
        <f t="shared" si="1"/>
        <v/>
      </c>
      <c r="N43" t="str">
        <f t="shared" ca="1" si="2"/>
        <v/>
      </c>
    </row>
    <row r="44" spans="10:14" x14ac:dyDescent="0.25">
      <c r="J44" t="str">
        <f t="shared" ca="1" si="0"/>
        <v/>
      </c>
      <c r="M44" s="13" t="str">
        <f t="shared" si="1"/>
        <v/>
      </c>
      <c r="N44" t="str">
        <f t="shared" ca="1" si="2"/>
        <v/>
      </c>
    </row>
    <row r="45" spans="10:14" x14ac:dyDescent="0.25">
      <c r="J45" t="str">
        <f t="shared" ca="1" si="0"/>
        <v/>
      </c>
      <c r="M45" s="13" t="str">
        <f t="shared" si="1"/>
        <v/>
      </c>
      <c r="N45" t="str">
        <f t="shared" ca="1" si="2"/>
        <v/>
      </c>
    </row>
    <row r="46" spans="10:14" x14ac:dyDescent="0.25">
      <c r="J46" t="str">
        <f t="shared" ca="1" si="0"/>
        <v/>
      </c>
      <c r="M46" s="13" t="str">
        <f t="shared" si="1"/>
        <v/>
      </c>
      <c r="N46" t="str">
        <f t="shared" ca="1" si="2"/>
        <v/>
      </c>
    </row>
    <row r="47" spans="10:14" x14ac:dyDescent="0.25">
      <c r="J47" t="str">
        <f t="shared" ca="1" si="0"/>
        <v/>
      </c>
      <c r="M47" s="13" t="str">
        <f t="shared" si="1"/>
        <v/>
      </c>
      <c r="N47" t="str">
        <f t="shared" ca="1" si="2"/>
        <v/>
      </c>
    </row>
    <row r="48" spans="10:14" x14ac:dyDescent="0.25">
      <c r="J48" t="str">
        <f t="shared" ca="1" si="0"/>
        <v/>
      </c>
      <c r="M48" s="13" t="str">
        <f t="shared" si="1"/>
        <v/>
      </c>
      <c r="N48" t="str">
        <f t="shared" ca="1" si="2"/>
        <v/>
      </c>
    </row>
    <row r="49" spans="10:14" x14ac:dyDescent="0.25">
      <c r="J49" t="str">
        <f t="shared" ca="1" si="0"/>
        <v/>
      </c>
      <c r="M49" s="13" t="str">
        <f t="shared" si="1"/>
        <v/>
      </c>
      <c r="N49" t="str">
        <f t="shared" ca="1" si="2"/>
        <v/>
      </c>
    </row>
    <row r="50" spans="10:14" x14ac:dyDescent="0.25">
      <c r="J50" t="str">
        <f t="shared" ca="1" si="0"/>
        <v/>
      </c>
      <c r="M50" s="13" t="str">
        <f t="shared" si="1"/>
        <v/>
      </c>
      <c r="N50" t="str">
        <f t="shared" ca="1" si="2"/>
        <v/>
      </c>
    </row>
    <row r="51" spans="10:14" x14ac:dyDescent="0.25">
      <c r="J51" t="str">
        <f t="shared" ca="1" si="0"/>
        <v/>
      </c>
      <c r="M51" s="13" t="str">
        <f t="shared" si="1"/>
        <v/>
      </c>
      <c r="N51" t="str">
        <f t="shared" ca="1" si="2"/>
        <v/>
      </c>
    </row>
    <row r="52" spans="10:14" x14ac:dyDescent="0.25">
      <c r="J52" t="str">
        <f t="shared" ca="1" si="0"/>
        <v/>
      </c>
      <c r="M52" s="13" t="str">
        <f t="shared" si="1"/>
        <v/>
      </c>
      <c r="N52" t="str">
        <f t="shared" ca="1" si="2"/>
        <v/>
      </c>
    </row>
    <row r="53" spans="10:14" x14ac:dyDescent="0.25">
      <c r="J53" t="str">
        <f t="shared" ca="1" si="0"/>
        <v/>
      </c>
      <c r="M53" s="13" t="str">
        <f t="shared" si="1"/>
        <v/>
      </c>
      <c r="N53" t="str">
        <f t="shared" ca="1" si="2"/>
        <v/>
      </c>
    </row>
    <row r="54" spans="10:14" x14ac:dyDescent="0.25">
      <c r="J54" t="str">
        <f t="shared" ca="1" si="0"/>
        <v/>
      </c>
      <c r="M54" s="13" t="str">
        <f t="shared" si="1"/>
        <v/>
      </c>
      <c r="N54" t="str">
        <f t="shared" ca="1" si="2"/>
        <v/>
      </c>
    </row>
    <row r="55" spans="10:14" x14ac:dyDescent="0.25">
      <c r="J55" t="str">
        <f t="shared" ca="1" si="0"/>
        <v/>
      </c>
      <c r="M55" s="13" t="str">
        <f t="shared" si="1"/>
        <v/>
      </c>
      <c r="N55" t="str">
        <f t="shared" ca="1" si="2"/>
        <v/>
      </c>
    </row>
    <row r="56" spans="10:14" x14ac:dyDescent="0.25">
      <c r="J56" t="str">
        <f t="shared" ca="1" si="0"/>
        <v/>
      </c>
      <c r="M56" s="13" t="str">
        <f t="shared" si="1"/>
        <v/>
      </c>
      <c r="N56" t="str">
        <f t="shared" ca="1" si="2"/>
        <v/>
      </c>
    </row>
    <row r="57" spans="10:14" x14ac:dyDescent="0.25">
      <c r="J57" t="str">
        <f t="shared" ca="1" si="0"/>
        <v/>
      </c>
      <c r="M57" s="13" t="str">
        <f t="shared" si="1"/>
        <v/>
      </c>
      <c r="N57" t="str">
        <f t="shared" ca="1" si="2"/>
        <v/>
      </c>
    </row>
    <row r="58" spans="10:14" x14ac:dyDescent="0.25">
      <c r="J58" t="str">
        <f t="shared" ca="1" si="0"/>
        <v/>
      </c>
      <c r="M58" s="13" t="str">
        <f t="shared" si="1"/>
        <v/>
      </c>
      <c r="N58" t="str">
        <f t="shared" ca="1" si="2"/>
        <v/>
      </c>
    </row>
    <row r="59" spans="10:14" x14ac:dyDescent="0.25">
      <c r="J59" t="str">
        <f t="shared" ca="1" si="0"/>
        <v/>
      </c>
      <c r="M59" s="13" t="str">
        <f t="shared" si="1"/>
        <v/>
      </c>
      <c r="N59" t="str">
        <f t="shared" ca="1" si="2"/>
        <v/>
      </c>
    </row>
    <row r="60" spans="10:14" x14ac:dyDescent="0.25">
      <c r="J60" t="str">
        <f t="shared" ca="1" si="0"/>
        <v/>
      </c>
      <c r="M60" s="13" t="str">
        <f t="shared" si="1"/>
        <v/>
      </c>
      <c r="N60" t="str">
        <f t="shared" ca="1" si="2"/>
        <v/>
      </c>
    </row>
    <row r="61" spans="10:14" x14ac:dyDescent="0.25">
      <c r="J61" t="str">
        <f t="shared" ca="1" si="0"/>
        <v/>
      </c>
      <c r="M61" s="13" t="str">
        <f t="shared" si="1"/>
        <v/>
      </c>
      <c r="N61" t="str">
        <f t="shared" ca="1" si="2"/>
        <v/>
      </c>
    </row>
    <row r="62" spans="10:14" x14ac:dyDescent="0.25">
      <c r="J62" t="str">
        <f t="shared" ca="1" si="0"/>
        <v/>
      </c>
      <c r="M62" s="13" t="str">
        <f t="shared" si="1"/>
        <v/>
      </c>
      <c r="N62" t="str">
        <f t="shared" ca="1" si="2"/>
        <v/>
      </c>
    </row>
    <row r="63" spans="10:14" x14ac:dyDescent="0.25">
      <c r="J63" t="str">
        <f t="shared" ca="1" si="0"/>
        <v/>
      </c>
      <c r="M63" s="13" t="str">
        <f t="shared" si="1"/>
        <v/>
      </c>
      <c r="N63" t="str">
        <f t="shared" ca="1" si="2"/>
        <v/>
      </c>
    </row>
    <row r="64" spans="10:14" x14ac:dyDescent="0.25">
      <c r="J64" t="str">
        <f t="shared" ca="1" si="0"/>
        <v/>
      </c>
      <c r="M64" s="13" t="str">
        <f t="shared" si="1"/>
        <v/>
      </c>
      <c r="N64" t="str">
        <f t="shared" ca="1" si="2"/>
        <v/>
      </c>
    </row>
    <row r="65" spans="10:14" x14ac:dyDescent="0.25">
      <c r="J65" t="str">
        <f t="shared" ca="1" si="0"/>
        <v/>
      </c>
      <c r="M65" s="13" t="str">
        <f t="shared" si="1"/>
        <v/>
      </c>
      <c r="N65" t="str">
        <f t="shared" ca="1" si="2"/>
        <v/>
      </c>
    </row>
    <row r="66" spans="10:14" x14ac:dyDescent="0.25">
      <c r="J66" t="str">
        <f t="shared" ca="1" si="0"/>
        <v/>
      </c>
      <c r="M66" s="13" t="str">
        <f t="shared" si="1"/>
        <v/>
      </c>
      <c r="N66" t="str">
        <f t="shared" ca="1" si="2"/>
        <v/>
      </c>
    </row>
    <row r="67" spans="10:14" x14ac:dyDescent="0.25">
      <c r="J67" t="str">
        <f t="shared" ca="1" si="0"/>
        <v/>
      </c>
      <c r="M67" s="13" t="str">
        <f t="shared" si="1"/>
        <v/>
      </c>
      <c r="N67" t="str">
        <f t="shared" ca="1" si="2"/>
        <v/>
      </c>
    </row>
    <row r="68" spans="10:14" x14ac:dyDescent="0.25">
      <c r="J68" t="str">
        <f t="shared" ca="1" si="0"/>
        <v/>
      </c>
      <c r="M68" s="13" t="str">
        <f t="shared" si="1"/>
        <v/>
      </c>
      <c r="N68" t="str">
        <f t="shared" ca="1" si="2"/>
        <v/>
      </c>
    </row>
    <row r="69" spans="10:14" x14ac:dyDescent="0.25">
      <c r="J69" t="str">
        <f t="shared" ca="1" si="0"/>
        <v/>
      </c>
      <c r="M69" s="13" t="str">
        <f t="shared" si="1"/>
        <v/>
      </c>
      <c r="N69" t="str">
        <f t="shared" ca="1" si="2"/>
        <v/>
      </c>
    </row>
    <row r="70" spans="10:14" x14ac:dyDescent="0.25">
      <c r="J70" t="str">
        <f t="shared" ref="J70:J133" ca="1" si="3">IF(A70="","",IF(OR(E70="Rejected",E70="Expired"),"ACTION NEEDED",IF(AND(B70="Yes",E70="Not Started"),"ACTION NEEDED",IF(AND(E70="In Hand",H70&lt;&gt;"",H70-TODAY()&lt;=30,H70-TODAY()&gt;=0),"EXPIRING SOON",""))))</f>
        <v/>
      </c>
      <c r="M70" s="13" t="str">
        <f t="shared" ref="M70:M133" si="4">IF(A70="","",MAX(F70+0,G70+0))</f>
        <v/>
      </c>
      <c r="N70" t="str">
        <f t="shared" ref="N70:N133" ca="1" si="5">IF(A70="","",IF(OR(E70="In Hand",E70="Rejected"),"",TODAY()-M70))</f>
        <v/>
      </c>
    </row>
    <row r="71" spans="10:14" x14ac:dyDescent="0.25">
      <c r="J71" t="str">
        <f t="shared" ca="1" si="3"/>
        <v/>
      </c>
      <c r="M71" s="13" t="str">
        <f t="shared" si="4"/>
        <v/>
      </c>
      <c r="N71" t="str">
        <f t="shared" ca="1" si="5"/>
        <v/>
      </c>
    </row>
    <row r="72" spans="10:14" x14ac:dyDescent="0.25">
      <c r="J72" t="str">
        <f t="shared" ca="1" si="3"/>
        <v/>
      </c>
      <c r="M72" s="13" t="str">
        <f t="shared" si="4"/>
        <v/>
      </c>
      <c r="N72" t="str">
        <f t="shared" ca="1" si="5"/>
        <v/>
      </c>
    </row>
    <row r="73" spans="10:14" x14ac:dyDescent="0.25">
      <c r="J73" t="str">
        <f t="shared" ca="1" si="3"/>
        <v/>
      </c>
      <c r="M73" s="13" t="str">
        <f t="shared" si="4"/>
        <v/>
      </c>
      <c r="N73" t="str">
        <f t="shared" ca="1" si="5"/>
        <v/>
      </c>
    </row>
    <row r="74" spans="10:14" x14ac:dyDescent="0.25">
      <c r="J74" t="str">
        <f t="shared" ca="1" si="3"/>
        <v/>
      </c>
      <c r="M74" s="13" t="str">
        <f t="shared" si="4"/>
        <v/>
      </c>
      <c r="N74" t="str">
        <f t="shared" ca="1" si="5"/>
        <v/>
      </c>
    </row>
    <row r="75" spans="10:14" x14ac:dyDescent="0.25">
      <c r="J75" t="str">
        <f t="shared" ca="1" si="3"/>
        <v/>
      </c>
      <c r="M75" s="13" t="str">
        <f t="shared" si="4"/>
        <v/>
      </c>
      <c r="N75" t="str">
        <f t="shared" ca="1" si="5"/>
        <v/>
      </c>
    </row>
    <row r="76" spans="10:14" x14ac:dyDescent="0.25">
      <c r="J76" t="str">
        <f t="shared" ca="1" si="3"/>
        <v/>
      </c>
      <c r="M76" s="13" t="str">
        <f t="shared" si="4"/>
        <v/>
      </c>
      <c r="N76" t="str">
        <f t="shared" ca="1" si="5"/>
        <v/>
      </c>
    </row>
    <row r="77" spans="10:14" x14ac:dyDescent="0.25">
      <c r="J77" t="str">
        <f t="shared" ca="1" si="3"/>
        <v/>
      </c>
      <c r="M77" s="13" t="str">
        <f t="shared" si="4"/>
        <v/>
      </c>
      <c r="N77" t="str">
        <f t="shared" ca="1" si="5"/>
        <v/>
      </c>
    </row>
    <row r="78" spans="10:14" x14ac:dyDescent="0.25">
      <c r="J78" t="str">
        <f t="shared" ca="1" si="3"/>
        <v/>
      </c>
      <c r="M78" s="13" t="str">
        <f t="shared" si="4"/>
        <v/>
      </c>
      <c r="N78" t="str">
        <f t="shared" ca="1" si="5"/>
        <v/>
      </c>
    </row>
    <row r="79" spans="10:14" x14ac:dyDescent="0.25">
      <c r="J79" t="str">
        <f t="shared" ca="1" si="3"/>
        <v/>
      </c>
      <c r="M79" s="13" t="str">
        <f t="shared" si="4"/>
        <v/>
      </c>
      <c r="N79" t="str">
        <f t="shared" ca="1" si="5"/>
        <v/>
      </c>
    </row>
    <row r="80" spans="10:14" x14ac:dyDescent="0.25">
      <c r="J80" t="str">
        <f t="shared" ca="1" si="3"/>
        <v/>
      </c>
      <c r="M80" s="13" t="str">
        <f t="shared" si="4"/>
        <v/>
      </c>
      <c r="N80" t="str">
        <f t="shared" ca="1" si="5"/>
        <v/>
      </c>
    </row>
    <row r="81" spans="10:14" x14ac:dyDescent="0.25">
      <c r="J81" t="str">
        <f t="shared" ca="1" si="3"/>
        <v/>
      </c>
      <c r="M81" s="13" t="str">
        <f t="shared" si="4"/>
        <v/>
      </c>
      <c r="N81" t="str">
        <f t="shared" ca="1" si="5"/>
        <v/>
      </c>
    </row>
    <row r="82" spans="10:14" x14ac:dyDescent="0.25">
      <c r="J82" t="str">
        <f t="shared" ca="1" si="3"/>
        <v/>
      </c>
      <c r="M82" s="13" t="str">
        <f t="shared" si="4"/>
        <v/>
      </c>
      <c r="N82" t="str">
        <f t="shared" ca="1" si="5"/>
        <v/>
      </c>
    </row>
    <row r="83" spans="10:14" x14ac:dyDescent="0.25">
      <c r="J83" t="str">
        <f t="shared" ca="1" si="3"/>
        <v/>
      </c>
      <c r="M83" s="13" t="str">
        <f t="shared" si="4"/>
        <v/>
      </c>
      <c r="N83" t="str">
        <f t="shared" ca="1" si="5"/>
        <v/>
      </c>
    </row>
    <row r="84" spans="10:14" x14ac:dyDescent="0.25">
      <c r="J84" t="str">
        <f t="shared" ca="1" si="3"/>
        <v/>
      </c>
      <c r="M84" s="13" t="str">
        <f t="shared" si="4"/>
        <v/>
      </c>
      <c r="N84" t="str">
        <f t="shared" ca="1" si="5"/>
        <v/>
      </c>
    </row>
    <row r="85" spans="10:14" x14ac:dyDescent="0.25">
      <c r="J85" t="str">
        <f t="shared" ca="1" si="3"/>
        <v/>
      </c>
      <c r="M85" s="13" t="str">
        <f t="shared" si="4"/>
        <v/>
      </c>
      <c r="N85" t="str">
        <f t="shared" ca="1" si="5"/>
        <v/>
      </c>
    </row>
    <row r="86" spans="10:14" x14ac:dyDescent="0.25">
      <c r="J86" t="str">
        <f t="shared" ca="1" si="3"/>
        <v/>
      </c>
      <c r="M86" s="13" t="str">
        <f t="shared" si="4"/>
        <v/>
      </c>
      <c r="N86" t="str">
        <f t="shared" ca="1" si="5"/>
        <v/>
      </c>
    </row>
    <row r="87" spans="10:14" x14ac:dyDescent="0.25">
      <c r="J87" t="str">
        <f t="shared" ca="1" si="3"/>
        <v/>
      </c>
      <c r="M87" s="13" t="str">
        <f t="shared" si="4"/>
        <v/>
      </c>
      <c r="N87" t="str">
        <f t="shared" ca="1" si="5"/>
        <v/>
      </c>
    </row>
    <row r="88" spans="10:14" x14ac:dyDescent="0.25">
      <c r="J88" t="str">
        <f t="shared" ca="1" si="3"/>
        <v/>
      </c>
      <c r="M88" s="13" t="str">
        <f t="shared" si="4"/>
        <v/>
      </c>
      <c r="N88" t="str">
        <f t="shared" ca="1" si="5"/>
        <v/>
      </c>
    </row>
    <row r="89" spans="10:14" x14ac:dyDescent="0.25">
      <c r="J89" t="str">
        <f t="shared" ca="1" si="3"/>
        <v/>
      </c>
      <c r="M89" s="13" t="str">
        <f t="shared" si="4"/>
        <v/>
      </c>
      <c r="N89" t="str">
        <f t="shared" ca="1" si="5"/>
        <v/>
      </c>
    </row>
    <row r="90" spans="10:14" x14ac:dyDescent="0.25">
      <c r="J90" t="str">
        <f t="shared" ca="1" si="3"/>
        <v/>
      </c>
      <c r="M90" s="13" t="str">
        <f t="shared" si="4"/>
        <v/>
      </c>
      <c r="N90" t="str">
        <f t="shared" ca="1" si="5"/>
        <v/>
      </c>
    </row>
    <row r="91" spans="10:14" x14ac:dyDescent="0.25">
      <c r="J91" t="str">
        <f t="shared" ca="1" si="3"/>
        <v/>
      </c>
      <c r="M91" s="13" t="str">
        <f t="shared" si="4"/>
        <v/>
      </c>
      <c r="N91" t="str">
        <f t="shared" ca="1" si="5"/>
        <v/>
      </c>
    </row>
    <row r="92" spans="10:14" x14ac:dyDescent="0.25">
      <c r="J92" t="str">
        <f t="shared" ca="1" si="3"/>
        <v/>
      </c>
      <c r="M92" s="13" t="str">
        <f t="shared" si="4"/>
        <v/>
      </c>
      <c r="N92" t="str">
        <f t="shared" ca="1" si="5"/>
        <v/>
      </c>
    </row>
    <row r="93" spans="10:14" x14ac:dyDescent="0.25">
      <c r="J93" t="str">
        <f t="shared" ca="1" si="3"/>
        <v/>
      </c>
      <c r="M93" s="13" t="str">
        <f t="shared" si="4"/>
        <v/>
      </c>
      <c r="N93" t="str">
        <f t="shared" ca="1" si="5"/>
        <v/>
      </c>
    </row>
    <row r="94" spans="10:14" x14ac:dyDescent="0.25">
      <c r="J94" t="str">
        <f t="shared" ca="1" si="3"/>
        <v/>
      </c>
      <c r="M94" s="13" t="str">
        <f t="shared" si="4"/>
        <v/>
      </c>
      <c r="N94" t="str">
        <f t="shared" ca="1" si="5"/>
        <v/>
      </c>
    </row>
    <row r="95" spans="10:14" x14ac:dyDescent="0.25">
      <c r="J95" t="str">
        <f t="shared" ca="1" si="3"/>
        <v/>
      </c>
      <c r="M95" s="13" t="str">
        <f t="shared" si="4"/>
        <v/>
      </c>
      <c r="N95" t="str">
        <f t="shared" ca="1" si="5"/>
        <v/>
      </c>
    </row>
    <row r="96" spans="10:14" x14ac:dyDescent="0.25">
      <c r="J96" t="str">
        <f t="shared" ca="1" si="3"/>
        <v/>
      </c>
      <c r="M96" s="13" t="str">
        <f t="shared" si="4"/>
        <v/>
      </c>
      <c r="N96" t="str">
        <f t="shared" ca="1" si="5"/>
        <v/>
      </c>
    </row>
    <row r="97" spans="10:14" x14ac:dyDescent="0.25">
      <c r="J97" t="str">
        <f t="shared" ca="1" si="3"/>
        <v/>
      </c>
      <c r="M97" s="13" t="str">
        <f t="shared" si="4"/>
        <v/>
      </c>
      <c r="N97" t="str">
        <f t="shared" ca="1" si="5"/>
        <v/>
      </c>
    </row>
    <row r="98" spans="10:14" x14ac:dyDescent="0.25">
      <c r="J98" t="str">
        <f t="shared" ca="1" si="3"/>
        <v/>
      </c>
      <c r="M98" s="13" t="str">
        <f t="shared" si="4"/>
        <v/>
      </c>
      <c r="N98" t="str">
        <f t="shared" ca="1" si="5"/>
        <v/>
      </c>
    </row>
    <row r="99" spans="10:14" x14ac:dyDescent="0.25">
      <c r="J99" t="str">
        <f t="shared" ca="1" si="3"/>
        <v/>
      </c>
      <c r="M99" s="13" t="str">
        <f t="shared" si="4"/>
        <v/>
      </c>
      <c r="N99" t="str">
        <f t="shared" ca="1" si="5"/>
        <v/>
      </c>
    </row>
    <row r="100" spans="10:14" x14ac:dyDescent="0.25">
      <c r="J100" t="str">
        <f t="shared" ca="1" si="3"/>
        <v/>
      </c>
      <c r="M100" s="13" t="str">
        <f t="shared" si="4"/>
        <v/>
      </c>
      <c r="N100" t="str">
        <f t="shared" ca="1" si="5"/>
        <v/>
      </c>
    </row>
    <row r="101" spans="10:14" x14ac:dyDescent="0.25">
      <c r="J101" t="str">
        <f t="shared" ca="1" si="3"/>
        <v/>
      </c>
      <c r="M101" s="13" t="str">
        <f t="shared" si="4"/>
        <v/>
      </c>
      <c r="N101" t="str">
        <f t="shared" ca="1" si="5"/>
        <v/>
      </c>
    </row>
    <row r="102" spans="10:14" x14ac:dyDescent="0.25">
      <c r="J102" t="str">
        <f t="shared" ca="1" si="3"/>
        <v/>
      </c>
      <c r="M102" s="13" t="str">
        <f t="shared" si="4"/>
        <v/>
      </c>
      <c r="N102" t="str">
        <f t="shared" ca="1" si="5"/>
        <v/>
      </c>
    </row>
    <row r="103" spans="10:14" x14ac:dyDescent="0.25">
      <c r="J103" t="str">
        <f t="shared" ca="1" si="3"/>
        <v/>
      </c>
      <c r="M103" s="13" t="str">
        <f t="shared" si="4"/>
        <v/>
      </c>
      <c r="N103" t="str">
        <f t="shared" ca="1" si="5"/>
        <v/>
      </c>
    </row>
    <row r="104" spans="10:14" x14ac:dyDescent="0.25">
      <c r="J104" t="str">
        <f t="shared" ca="1" si="3"/>
        <v/>
      </c>
      <c r="M104" s="13" t="str">
        <f t="shared" si="4"/>
        <v/>
      </c>
      <c r="N104" t="str">
        <f t="shared" ca="1" si="5"/>
        <v/>
      </c>
    </row>
    <row r="105" spans="10:14" x14ac:dyDescent="0.25">
      <c r="J105" t="str">
        <f t="shared" ca="1" si="3"/>
        <v/>
      </c>
      <c r="M105" s="13" t="str">
        <f t="shared" si="4"/>
        <v/>
      </c>
      <c r="N105" t="str">
        <f t="shared" ca="1" si="5"/>
        <v/>
      </c>
    </row>
    <row r="106" spans="10:14" x14ac:dyDescent="0.25">
      <c r="J106" t="str">
        <f t="shared" ca="1" si="3"/>
        <v/>
      </c>
      <c r="M106" s="13" t="str">
        <f t="shared" si="4"/>
        <v/>
      </c>
      <c r="N106" t="str">
        <f t="shared" ca="1" si="5"/>
        <v/>
      </c>
    </row>
    <row r="107" spans="10:14" x14ac:dyDescent="0.25">
      <c r="J107" t="str">
        <f t="shared" ca="1" si="3"/>
        <v/>
      </c>
      <c r="M107" s="13" t="str">
        <f t="shared" si="4"/>
        <v/>
      </c>
      <c r="N107" t="str">
        <f t="shared" ca="1" si="5"/>
        <v/>
      </c>
    </row>
    <row r="108" spans="10:14" x14ac:dyDescent="0.25">
      <c r="J108" t="str">
        <f t="shared" ca="1" si="3"/>
        <v/>
      </c>
      <c r="M108" s="13" t="str">
        <f t="shared" si="4"/>
        <v/>
      </c>
      <c r="N108" t="str">
        <f t="shared" ca="1" si="5"/>
        <v/>
      </c>
    </row>
    <row r="109" spans="10:14" x14ac:dyDescent="0.25">
      <c r="J109" t="str">
        <f t="shared" ca="1" si="3"/>
        <v/>
      </c>
      <c r="M109" s="13" t="str">
        <f t="shared" si="4"/>
        <v/>
      </c>
      <c r="N109" t="str">
        <f t="shared" ca="1" si="5"/>
        <v/>
      </c>
    </row>
    <row r="110" spans="10:14" x14ac:dyDescent="0.25">
      <c r="J110" t="str">
        <f t="shared" ca="1" si="3"/>
        <v/>
      </c>
      <c r="M110" s="13" t="str">
        <f t="shared" si="4"/>
        <v/>
      </c>
      <c r="N110" t="str">
        <f t="shared" ca="1" si="5"/>
        <v/>
      </c>
    </row>
    <row r="111" spans="10:14" x14ac:dyDescent="0.25">
      <c r="J111" t="str">
        <f t="shared" ca="1" si="3"/>
        <v/>
      </c>
      <c r="M111" s="13" t="str">
        <f t="shared" si="4"/>
        <v/>
      </c>
      <c r="N111" t="str">
        <f t="shared" ca="1" si="5"/>
        <v/>
      </c>
    </row>
    <row r="112" spans="10:14" x14ac:dyDescent="0.25">
      <c r="J112" t="str">
        <f t="shared" ca="1" si="3"/>
        <v/>
      </c>
      <c r="M112" s="13" t="str">
        <f t="shared" si="4"/>
        <v/>
      </c>
      <c r="N112" t="str">
        <f t="shared" ca="1" si="5"/>
        <v/>
      </c>
    </row>
    <row r="113" spans="10:14" x14ac:dyDescent="0.25">
      <c r="J113" t="str">
        <f t="shared" ca="1" si="3"/>
        <v/>
      </c>
      <c r="M113" s="13" t="str">
        <f t="shared" si="4"/>
        <v/>
      </c>
      <c r="N113" t="str">
        <f t="shared" ca="1" si="5"/>
        <v/>
      </c>
    </row>
    <row r="114" spans="10:14" x14ac:dyDescent="0.25">
      <c r="J114" t="str">
        <f t="shared" ca="1" si="3"/>
        <v/>
      </c>
      <c r="M114" s="13" t="str">
        <f t="shared" si="4"/>
        <v/>
      </c>
      <c r="N114" t="str">
        <f t="shared" ca="1" si="5"/>
        <v/>
      </c>
    </row>
    <row r="115" spans="10:14" x14ac:dyDescent="0.25">
      <c r="J115" t="str">
        <f t="shared" ca="1" si="3"/>
        <v/>
      </c>
      <c r="M115" s="13" t="str">
        <f t="shared" si="4"/>
        <v/>
      </c>
      <c r="N115" t="str">
        <f t="shared" ca="1" si="5"/>
        <v/>
      </c>
    </row>
    <row r="116" spans="10:14" x14ac:dyDescent="0.25">
      <c r="J116" t="str">
        <f t="shared" ca="1" si="3"/>
        <v/>
      </c>
      <c r="M116" s="13" t="str">
        <f t="shared" si="4"/>
        <v/>
      </c>
      <c r="N116" t="str">
        <f t="shared" ca="1" si="5"/>
        <v/>
      </c>
    </row>
    <row r="117" spans="10:14" x14ac:dyDescent="0.25">
      <c r="J117" t="str">
        <f t="shared" ca="1" si="3"/>
        <v/>
      </c>
      <c r="M117" s="13" t="str">
        <f t="shared" si="4"/>
        <v/>
      </c>
      <c r="N117" t="str">
        <f t="shared" ca="1" si="5"/>
        <v/>
      </c>
    </row>
    <row r="118" spans="10:14" x14ac:dyDescent="0.25">
      <c r="J118" t="str">
        <f t="shared" ca="1" si="3"/>
        <v/>
      </c>
      <c r="M118" s="13" t="str">
        <f t="shared" si="4"/>
        <v/>
      </c>
      <c r="N118" t="str">
        <f t="shared" ca="1" si="5"/>
        <v/>
      </c>
    </row>
    <row r="119" spans="10:14" x14ac:dyDescent="0.25">
      <c r="J119" t="str">
        <f t="shared" ca="1" si="3"/>
        <v/>
      </c>
      <c r="M119" s="13" t="str">
        <f t="shared" si="4"/>
        <v/>
      </c>
      <c r="N119" t="str">
        <f t="shared" ca="1" si="5"/>
        <v/>
      </c>
    </row>
    <row r="120" spans="10:14" x14ac:dyDescent="0.25">
      <c r="J120" t="str">
        <f t="shared" ca="1" si="3"/>
        <v/>
      </c>
      <c r="M120" s="13" t="str">
        <f t="shared" si="4"/>
        <v/>
      </c>
      <c r="N120" t="str">
        <f t="shared" ca="1" si="5"/>
        <v/>
      </c>
    </row>
    <row r="121" spans="10:14" x14ac:dyDescent="0.25">
      <c r="J121" t="str">
        <f t="shared" ca="1" si="3"/>
        <v/>
      </c>
      <c r="M121" s="13" t="str">
        <f t="shared" si="4"/>
        <v/>
      </c>
      <c r="N121" t="str">
        <f t="shared" ca="1" si="5"/>
        <v/>
      </c>
    </row>
    <row r="122" spans="10:14" x14ac:dyDescent="0.25">
      <c r="J122" t="str">
        <f t="shared" ca="1" si="3"/>
        <v/>
      </c>
      <c r="M122" s="13" t="str">
        <f t="shared" si="4"/>
        <v/>
      </c>
      <c r="N122" t="str">
        <f t="shared" ca="1" si="5"/>
        <v/>
      </c>
    </row>
    <row r="123" spans="10:14" x14ac:dyDescent="0.25">
      <c r="J123" t="str">
        <f t="shared" ca="1" si="3"/>
        <v/>
      </c>
      <c r="M123" s="13" t="str">
        <f t="shared" si="4"/>
        <v/>
      </c>
      <c r="N123" t="str">
        <f t="shared" ca="1" si="5"/>
        <v/>
      </c>
    </row>
    <row r="124" spans="10:14" x14ac:dyDescent="0.25">
      <c r="J124" t="str">
        <f t="shared" ca="1" si="3"/>
        <v/>
      </c>
      <c r="M124" s="13" t="str">
        <f t="shared" si="4"/>
        <v/>
      </c>
      <c r="N124" t="str">
        <f t="shared" ca="1" si="5"/>
        <v/>
      </c>
    </row>
    <row r="125" spans="10:14" x14ac:dyDescent="0.25">
      <c r="J125" t="str">
        <f t="shared" ca="1" si="3"/>
        <v/>
      </c>
      <c r="M125" s="13" t="str">
        <f t="shared" si="4"/>
        <v/>
      </c>
      <c r="N125" t="str">
        <f t="shared" ca="1" si="5"/>
        <v/>
      </c>
    </row>
    <row r="126" spans="10:14" x14ac:dyDescent="0.25">
      <c r="J126" t="str">
        <f t="shared" ca="1" si="3"/>
        <v/>
      </c>
      <c r="M126" s="13" t="str">
        <f t="shared" si="4"/>
        <v/>
      </c>
      <c r="N126" t="str">
        <f t="shared" ca="1" si="5"/>
        <v/>
      </c>
    </row>
    <row r="127" spans="10:14" x14ac:dyDescent="0.25">
      <c r="J127" t="str">
        <f t="shared" ca="1" si="3"/>
        <v/>
      </c>
      <c r="M127" s="13" t="str">
        <f t="shared" si="4"/>
        <v/>
      </c>
      <c r="N127" t="str">
        <f t="shared" ca="1" si="5"/>
        <v/>
      </c>
    </row>
    <row r="128" spans="10:14" x14ac:dyDescent="0.25">
      <c r="J128" t="str">
        <f t="shared" ca="1" si="3"/>
        <v/>
      </c>
      <c r="M128" s="13" t="str">
        <f t="shared" si="4"/>
        <v/>
      </c>
      <c r="N128" t="str">
        <f t="shared" ca="1" si="5"/>
        <v/>
      </c>
    </row>
    <row r="129" spans="10:14" x14ac:dyDescent="0.25">
      <c r="J129" t="str">
        <f t="shared" ca="1" si="3"/>
        <v/>
      </c>
      <c r="M129" s="13" t="str">
        <f t="shared" si="4"/>
        <v/>
      </c>
      <c r="N129" t="str">
        <f t="shared" ca="1" si="5"/>
        <v/>
      </c>
    </row>
    <row r="130" spans="10:14" x14ac:dyDescent="0.25">
      <c r="J130" t="str">
        <f t="shared" ca="1" si="3"/>
        <v/>
      </c>
      <c r="M130" s="13" t="str">
        <f t="shared" si="4"/>
        <v/>
      </c>
      <c r="N130" t="str">
        <f t="shared" ca="1" si="5"/>
        <v/>
      </c>
    </row>
    <row r="131" spans="10:14" x14ac:dyDescent="0.25">
      <c r="J131" t="str">
        <f t="shared" ca="1" si="3"/>
        <v/>
      </c>
      <c r="M131" s="13" t="str">
        <f t="shared" si="4"/>
        <v/>
      </c>
      <c r="N131" t="str">
        <f t="shared" ca="1" si="5"/>
        <v/>
      </c>
    </row>
    <row r="132" spans="10:14" x14ac:dyDescent="0.25">
      <c r="J132" t="str">
        <f t="shared" ca="1" si="3"/>
        <v/>
      </c>
      <c r="M132" s="13" t="str">
        <f t="shared" si="4"/>
        <v/>
      </c>
      <c r="N132" t="str">
        <f t="shared" ca="1" si="5"/>
        <v/>
      </c>
    </row>
    <row r="133" spans="10:14" x14ac:dyDescent="0.25">
      <c r="J133" t="str">
        <f t="shared" ca="1" si="3"/>
        <v/>
      </c>
      <c r="M133" s="13" t="str">
        <f t="shared" si="4"/>
        <v/>
      </c>
      <c r="N133" t="str">
        <f t="shared" ca="1" si="5"/>
        <v/>
      </c>
    </row>
    <row r="134" spans="10:14" x14ac:dyDescent="0.25">
      <c r="J134" t="str">
        <f t="shared" ref="J134:J197" ca="1" si="6">IF(A134="","",IF(OR(E134="Rejected",E134="Expired"),"ACTION NEEDED",IF(AND(B134="Yes",E134="Not Started"),"ACTION NEEDED",IF(AND(E134="In Hand",H134&lt;&gt;"",H134-TODAY()&lt;=30,H134-TODAY()&gt;=0),"EXPIRING SOON",""))))</f>
        <v/>
      </c>
      <c r="M134" s="13" t="str">
        <f t="shared" ref="M134:M197" si="7">IF(A134="","",MAX(F134+0,G134+0))</f>
        <v/>
      </c>
      <c r="N134" t="str">
        <f t="shared" ref="N134:N197" ca="1" si="8">IF(A134="","",IF(OR(E134="In Hand",E134="Rejected"),"",TODAY()-M134))</f>
        <v/>
      </c>
    </row>
    <row r="135" spans="10:14" x14ac:dyDescent="0.25">
      <c r="J135" t="str">
        <f t="shared" ca="1" si="6"/>
        <v/>
      </c>
      <c r="M135" s="13" t="str">
        <f t="shared" si="7"/>
        <v/>
      </c>
      <c r="N135" t="str">
        <f t="shared" ca="1" si="8"/>
        <v/>
      </c>
    </row>
    <row r="136" spans="10:14" x14ac:dyDescent="0.25">
      <c r="J136" t="str">
        <f t="shared" ca="1" si="6"/>
        <v/>
      </c>
      <c r="M136" s="13" t="str">
        <f t="shared" si="7"/>
        <v/>
      </c>
      <c r="N136" t="str">
        <f t="shared" ca="1" si="8"/>
        <v/>
      </c>
    </row>
    <row r="137" spans="10:14" x14ac:dyDescent="0.25">
      <c r="J137" t="str">
        <f t="shared" ca="1" si="6"/>
        <v/>
      </c>
      <c r="M137" s="13" t="str">
        <f t="shared" si="7"/>
        <v/>
      </c>
      <c r="N137" t="str">
        <f t="shared" ca="1" si="8"/>
        <v/>
      </c>
    </row>
    <row r="138" spans="10:14" x14ac:dyDescent="0.25">
      <c r="J138" t="str">
        <f t="shared" ca="1" si="6"/>
        <v/>
      </c>
      <c r="M138" s="13" t="str">
        <f t="shared" si="7"/>
        <v/>
      </c>
      <c r="N138" t="str">
        <f t="shared" ca="1" si="8"/>
        <v/>
      </c>
    </row>
    <row r="139" spans="10:14" x14ac:dyDescent="0.25">
      <c r="J139" t="str">
        <f t="shared" ca="1" si="6"/>
        <v/>
      </c>
      <c r="M139" s="13" t="str">
        <f t="shared" si="7"/>
        <v/>
      </c>
      <c r="N139" t="str">
        <f t="shared" ca="1" si="8"/>
        <v/>
      </c>
    </row>
    <row r="140" spans="10:14" x14ac:dyDescent="0.25">
      <c r="J140" t="str">
        <f t="shared" ca="1" si="6"/>
        <v/>
      </c>
      <c r="M140" s="13" t="str">
        <f t="shared" si="7"/>
        <v/>
      </c>
      <c r="N140" t="str">
        <f t="shared" ca="1" si="8"/>
        <v/>
      </c>
    </row>
    <row r="141" spans="10:14" x14ac:dyDescent="0.25">
      <c r="J141" t="str">
        <f t="shared" ca="1" si="6"/>
        <v/>
      </c>
      <c r="M141" s="13" t="str">
        <f t="shared" si="7"/>
        <v/>
      </c>
      <c r="N141" t="str">
        <f t="shared" ca="1" si="8"/>
        <v/>
      </c>
    </row>
    <row r="142" spans="10:14" x14ac:dyDescent="0.25">
      <c r="J142" t="str">
        <f t="shared" ca="1" si="6"/>
        <v/>
      </c>
      <c r="M142" s="13" t="str">
        <f t="shared" si="7"/>
        <v/>
      </c>
      <c r="N142" t="str">
        <f t="shared" ca="1" si="8"/>
        <v/>
      </c>
    </row>
    <row r="143" spans="10:14" x14ac:dyDescent="0.25">
      <c r="J143" t="str">
        <f t="shared" ca="1" si="6"/>
        <v/>
      </c>
      <c r="M143" s="13" t="str">
        <f t="shared" si="7"/>
        <v/>
      </c>
      <c r="N143" t="str">
        <f t="shared" ca="1" si="8"/>
        <v/>
      </c>
    </row>
    <row r="144" spans="10:14" x14ac:dyDescent="0.25">
      <c r="J144" t="str">
        <f t="shared" ca="1" si="6"/>
        <v/>
      </c>
      <c r="M144" s="13" t="str">
        <f t="shared" si="7"/>
        <v/>
      </c>
      <c r="N144" t="str">
        <f t="shared" ca="1" si="8"/>
        <v/>
      </c>
    </row>
    <row r="145" spans="10:14" x14ac:dyDescent="0.25">
      <c r="J145" t="str">
        <f t="shared" ca="1" si="6"/>
        <v/>
      </c>
      <c r="M145" s="13" t="str">
        <f t="shared" si="7"/>
        <v/>
      </c>
      <c r="N145" t="str">
        <f t="shared" ca="1" si="8"/>
        <v/>
      </c>
    </row>
    <row r="146" spans="10:14" x14ac:dyDescent="0.25">
      <c r="J146" t="str">
        <f t="shared" ca="1" si="6"/>
        <v/>
      </c>
      <c r="M146" s="13" t="str">
        <f t="shared" si="7"/>
        <v/>
      </c>
      <c r="N146" t="str">
        <f t="shared" ca="1" si="8"/>
        <v/>
      </c>
    </row>
    <row r="147" spans="10:14" x14ac:dyDescent="0.25">
      <c r="J147" t="str">
        <f t="shared" ca="1" si="6"/>
        <v/>
      </c>
      <c r="M147" s="13" t="str">
        <f t="shared" si="7"/>
        <v/>
      </c>
      <c r="N147" t="str">
        <f t="shared" ca="1" si="8"/>
        <v/>
      </c>
    </row>
    <row r="148" spans="10:14" x14ac:dyDescent="0.25">
      <c r="J148" t="str">
        <f t="shared" ca="1" si="6"/>
        <v/>
      </c>
      <c r="M148" s="13" t="str">
        <f t="shared" si="7"/>
        <v/>
      </c>
      <c r="N148" t="str">
        <f t="shared" ca="1" si="8"/>
        <v/>
      </c>
    </row>
    <row r="149" spans="10:14" x14ac:dyDescent="0.25">
      <c r="J149" t="str">
        <f t="shared" ca="1" si="6"/>
        <v/>
      </c>
      <c r="M149" s="13" t="str">
        <f t="shared" si="7"/>
        <v/>
      </c>
      <c r="N149" t="str">
        <f t="shared" ca="1" si="8"/>
        <v/>
      </c>
    </row>
    <row r="150" spans="10:14" x14ac:dyDescent="0.25">
      <c r="J150" t="str">
        <f t="shared" ca="1" si="6"/>
        <v/>
      </c>
      <c r="M150" s="13" t="str">
        <f t="shared" si="7"/>
        <v/>
      </c>
      <c r="N150" t="str">
        <f t="shared" ca="1" si="8"/>
        <v/>
      </c>
    </row>
    <row r="151" spans="10:14" x14ac:dyDescent="0.25">
      <c r="J151" t="str">
        <f t="shared" ca="1" si="6"/>
        <v/>
      </c>
      <c r="M151" s="13" t="str">
        <f t="shared" si="7"/>
        <v/>
      </c>
      <c r="N151" t="str">
        <f t="shared" ca="1" si="8"/>
        <v/>
      </c>
    </row>
    <row r="152" spans="10:14" x14ac:dyDescent="0.25">
      <c r="J152" t="str">
        <f t="shared" ca="1" si="6"/>
        <v/>
      </c>
      <c r="M152" s="13" t="str">
        <f t="shared" si="7"/>
        <v/>
      </c>
      <c r="N152" t="str">
        <f t="shared" ca="1" si="8"/>
        <v/>
      </c>
    </row>
    <row r="153" spans="10:14" x14ac:dyDescent="0.25">
      <c r="J153" t="str">
        <f t="shared" ca="1" si="6"/>
        <v/>
      </c>
      <c r="M153" s="13" t="str">
        <f t="shared" si="7"/>
        <v/>
      </c>
      <c r="N153" t="str">
        <f t="shared" ca="1" si="8"/>
        <v/>
      </c>
    </row>
    <row r="154" spans="10:14" x14ac:dyDescent="0.25">
      <c r="J154" t="str">
        <f t="shared" ca="1" si="6"/>
        <v/>
      </c>
      <c r="M154" s="13" t="str">
        <f t="shared" si="7"/>
        <v/>
      </c>
      <c r="N154" t="str">
        <f t="shared" ca="1" si="8"/>
        <v/>
      </c>
    </row>
    <row r="155" spans="10:14" x14ac:dyDescent="0.25">
      <c r="J155" t="str">
        <f t="shared" ca="1" si="6"/>
        <v/>
      </c>
      <c r="M155" s="13" t="str">
        <f t="shared" si="7"/>
        <v/>
      </c>
      <c r="N155" t="str">
        <f t="shared" ca="1" si="8"/>
        <v/>
      </c>
    </row>
    <row r="156" spans="10:14" x14ac:dyDescent="0.25">
      <c r="J156" t="str">
        <f t="shared" ca="1" si="6"/>
        <v/>
      </c>
      <c r="M156" s="13" t="str">
        <f t="shared" si="7"/>
        <v/>
      </c>
      <c r="N156" t="str">
        <f t="shared" ca="1" si="8"/>
        <v/>
      </c>
    </row>
    <row r="157" spans="10:14" x14ac:dyDescent="0.25">
      <c r="J157" t="str">
        <f t="shared" ca="1" si="6"/>
        <v/>
      </c>
      <c r="M157" s="13" t="str">
        <f t="shared" si="7"/>
        <v/>
      </c>
      <c r="N157" t="str">
        <f t="shared" ca="1" si="8"/>
        <v/>
      </c>
    </row>
    <row r="158" spans="10:14" x14ac:dyDescent="0.25">
      <c r="J158" t="str">
        <f t="shared" ca="1" si="6"/>
        <v/>
      </c>
      <c r="M158" s="13" t="str">
        <f t="shared" si="7"/>
        <v/>
      </c>
      <c r="N158" t="str">
        <f t="shared" ca="1" si="8"/>
        <v/>
      </c>
    </row>
    <row r="159" spans="10:14" x14ac:dyDescent="0.25">
      <c r="J159" t="str">
        <f t="shared" ca="1" si="6"/>
        <v/>
      </c>
      <c r="M159" s="13" t="str">
        <f t="shared" si="7"/>
        <v/>
      </c>
      <c r="N159" t="str">
        <f t="shared" ca="1" si="8"/>
        <v/>
      </c>
    </row>
    <row r="160" spans="10:14" x14ac:dyDescent="0.25">
      <c r="J160" t="str">
        <f t="shared" ca="1" si="6"/>
        <v/>
      </c>
      <c r="M160" s="13" t="str">
        <f t="shared" si="7"/>
        <v/>
      </c>
      <c r="N160" t="str">
        <f t="shared" ca="1" si="8"/>
        <v/>
      </c>
    </row>
    <row r="161" spans="10:14" x14ac:dyDescent="0.25">
      <c r="J161" t="str">
        <f t="shared" ca="1" si="6"/>
        <v/>
      </c>
      <c r="M161" s="13" t="str">
        <f t="shared" si="7"/>
        <v/>
      </c>
      <c r="N161" t="str">
        <f t="shared" ca="1" si="8"/>
        <v/>
      </c>
    </row>
    <row r="162" spans="10:14" x14ac:dyDescent="0.25">
      <c r="J162" t="str">
        <f t="shared" ca="1" si="6"/>
        <v/>
      </c>
      <c r="M162" s="13" t="str">
        <f t="shared" si="7"/>
        <v/>
      </c>
      <c r="N162" t="str">
        <f t="shared" ca="1" si="8"/>
        <v/>
      </c>
    </row>
    <row r="163" spans="10:14" x14ac:dyDescent="0.25">
      <c r="J163" t="str">
        <f t="shared" ca="1" si="6"/>
        <v/>
      </c>
      <c r="M163" s="13" t="str">
        <f t="shared" si="7"/>
        <v/>
      </c>
      <c r="N163" t="str">
        <f t="shared" ca="1" si="8"/>
        <v/>
      </c>
    </row>
    <row r="164" spans="10:14" x14ac:dyDescent="0.25">
      <c r="J164" t="str">
        <f t="shared" ca="1" si="6"/>
        <v/>
      </c>
      <c r="M164" s="13" t="str">
        <f t="shared" si="7"/>
        <v/>
      </c>
      <c r="N164" t="str">
        <f t="shared" ca="1" si="8"/>
        <v/>
      </c>
    </row>
    <row r="165" spans="10:14" x14ac:dyDescent="0.25">
      <c r="J165" t="str">
        <f t="shared" ca="1" si="6"/>
        <v/>
      </c>
      <c r="M165" s="13" t="str">
        <f t="shared" si="7"/>
        <v/>
      </c>
      <c r="N165" t="str">
        <f t="shared" ca="1" si="8"/>
        <v/>
      </c>
    </row>
    <row r="166" spans="10:14" x14ac:dyDescent="0.25">
      <c r="J166" t="str">
        <f t="shared" ca="1" si="6"/>
        <v/>
      </c>
      <c r="M166" s="13" t="str">
        <f t="shared" si="7"/>
        <v/>
      </c>
      <c r="N166" t="str">
        <f t="shared" ca="1" si="8"/>
        <v/>
      </c>
    </row>
    <row r="167" spans="10:14" x14ac:dyDescent="0.25">
      <c r="J167" t="str">
        <f t="shared" ca="1" si="6"/>
        <v/>
      </c>
      <c r="M167" s="13" t="str">
        <f t="shared" si="7"/>
        <v/>
      </c>
      <c r="N167" t="str">
        <f t="shared" ca="1" si="8"/>
        <v/>
      </c>
    </row>
    <row r="168" spans="10:14" x14ac:dyDescent="0.25">
      <c r="J168" t="str">
        <f t="shared" ca="1" si="6"/>
        <v/>
      </c>
      <c r="M168" s="13" t="str">
        <f t="shared" si="7"/>
        <v/>
      </c>
      <c r="N168" t="str">
        <f t="shared" ca="1" si="8"/>
        <v/>
      </c>
    </row>
    <row r="169" spans="10:14" x14ac:dyDescent="0.25">
      <c r="J169" t="str">
        <f t="shared" ca="1" si="6"/>
        <v/>
      </c>
      <c r="M169" s="13" t="str">
        <f t="shared" si="7"/>
        <v/>
      </c>
      <c r="N169" t="str">
        <f t="shared" ca="1" si="8"/>
        <v/>
      </c>
    </row>
    <row r="170" spans="10:14" x14ac:dyDescent="0.25">
      <c r="J170" t="str">
        <f t="shared" ca="1" si="6"/>
        <v/>
      </c>
      <c r="M170" s="13" t="str">
        <f t="shared" si="7"/>
        <v/>
      </c>
      <c r="N170" t="str">
        <f t="shared" ca="1" si="8"/>
        <v/>
      </c>
    </row>
    <row r="171" spans="10:14" x14ac:dyDescent="0.25">
      <c r="J171" t="str">
        <f t="shared" ca="1" si="6"/>
        <v/>
      </c>
      <c r="M171" s="13" t="str">
        <f t="shared" si="7"/>
        <v/>
      </c>
      <c r="N171" t="str">
        <f t="shared" ca="1" si="8"/>
        <v/>
      </c>
    </row>
    <row r="172" spans="10:14" x14ac:dyDescent="0.25">
      <c r="J172" t="str">
        <f t="shared" ca="1" si="6"/>
        <v/>
      </c>
      <c r="M172" s="13" t="str">
        <f t="shared" si="7"/>
        <v/>
      </c>
      <c r="N172" t="str">
        <f t="shared" ca="1" si="8"/>
        <v/>
      </c>
    </row>
    <row r="173" spans="10:14" x14ac:dyDescent="0.25">
      <c r="J173" t="str">
        <f t="shared" ca="1" si="6"/>
        <v/>
      </c>
      <c r="M173" s="13" t="str">
        <f t="shared" si="7"/>
        <v/>
      </c>
      <c r="N173" t="str">
        <f t="shared" ca="1" si="8"/>
        <v/>
      </c>
    </row>
    <row r="174" spans="10:14" x14ac:dyDescent="0.25">
      <c r="J174" t="str">
        <f t="shared" ca="1" si="6"/>
        <v/>
      </c>
      <c r="M174" s="13" t="str">
        <f t="shared" si="7"/>
        <v/>
      </c>
      <c r="N174" t="str">
        <f t="shared" ca="1" si="8"/>
        <v/>
      </c>
    </row>
    <row r="175" spans="10:14" x14ac:dyDescent="0.25">
      <c r="J175" t="str">
        <f t="shared" ca="1" si="6"/>
        <v/>
      </c>
      <c r="M175" s="13" t="str">
        <f t="shared" si="7"/>
        <v/>
      </c>
      <c r="N175" t="str">
        <f t="shared" ca="1" si="8"/>
        <v/>
      </c>
    </row>
    <row r="176" spans="10:14" x14ac:dyDescent="0.25">
      <c r="J176" t="str">
        <f t="shared" ca="1" si="6"/>
        <v/>
      </c>
      <c r="M176" s="13" t="str">
        <f t="shared" si="7"/>
        <v/>
      </c>
      <c r="N176" t="str">
        <f t="shared" ca="1" si="8"/>
        <v/>
      </c>
    </row>
    <row r="177" spans="10:14" x14ac:dyDescent="0.25">
      <c r="J177" t="str">
        <f t="shared" ca="1" si="6"/>
        <v/>
      </c>
      <c r="M177" s="13" t="str">
        <f t="shared" si="7"/>
        <v/>
      </c>
      <c r="N177" t="str">
        <f t="shared" ca="1" si="8"/>
        <v/>
      </c>
    </row>
    <row r="178" spans="10:14" x14ac:dyDescent="0.25">
      <c r="J178" t="str">
        <f t="shared" ca="1" si="6"/>
        <v/>
      </c>
      <c r="M178" s="13" t="str">
        <f t="shared" si="7"/>
        <v/>
      </c>
      <c r="N178" t="str">
        <f t="shared" ca="1" si="8"/>
        <v/>
      </c>
    </row>
    <row r="179" spans="10:14" x14ac:dyDescent="0.25">
      <c r="J179" t="str">
        <f t="shared" ca="1" si="6"/>
        <v/>
      </c>
      <c r="M179" s="13" t="str">
        <f t="shared" si="7"/>
        <v/>
      </c>
      <c r="N179" t="str">
        <f t="shared" ca="1" si="8"/>
        <v/>
      </c>
    </row>
    <row r="180" spans="10:14" x14ac:dyDescent="0.25">
      <c r="J180" t="str">
        <f t="shared" ca="1" si="6"/>
        <v/>
      </c>
      <c r="M180" s="13" t="str">
        <f t="shared" si="7"/>
        <v/>
      </c>
      <c r="N180" t="str">
        <f t="shared" ca="1" si="8"/>
        <v/>
      </c>
    </row>
    <row r="181" spans="10:14" x14ac:dyDescent="0.25">
      <c r="J181" t="str">
        <f t="shared" ca="1" si="6"/>
        <v/>
      </c>
      <c r="M181" s="13" t="str">
        <f t="shared" si="7"/>
        <v/>
      </c>
      <c r="N181" t="str">
        <f t="shared" ca="1" si="8"/>
        <v/>
      </c>
    </row>
    <row r="182" spans="10:14" x14ac:dyDescent="0.25">
      <c r="J182" t="str">
        <f t="shared" ca="1" si="6"/>
        <v/>
      </c>
      <c r="M182" s="13" t="str">
        <f t="shared" si="7"/>
        <v/>
      </c>
      <c r="N182" t="str">
        <f t="shared" ca="1" si="8"/>
        <v/>
      </c>
    </row>
    <row r="183" spans="10:14" x14ac:dyDescent="0.25">
      <c r="J183" t="str">
        <f t="shared" ca="1" si="6"/>
        <v/>
      </c>
      <c r="M183" s="13" t="str">
        <f t="shared" si="7"/>
        <v/>
      </c>
      <c r="N183" t="str">
        <f t="shared" ca="1" si="8"/>
        <v/>
      </c>
    </row>
    <row r="184" spans="10:14" x14ac:dyDescent="0.25">
      <c r="J184" t="str">
        <f t="shared" ca="1" si="6"/>
        <v/>
      </c>
      <c r="M184" s="13" t="str">
        <f t="shared" si="7"/>
        <v/>
      </c>
      <c r="N184" t="str">
        <f t="shared" ca="1" si="8"/>
        <v/>
      </c>
    </row>
    <row r="185" spans="10:14" x14ac:dyDescent="0.25">
      <c r="J185" t="str">
        <f t="shared" ca="1" si="6"/>
        <v/>
      </c>
      <c r="M185" s="13" t="str">
        <f t="shared" si="7"/>
        <v/>
      </c>
      <c r="N185" t="str">
        <f t="shared" ca="1" si="8"/>
        <v/>
      </c>
    </row>
    <row r="186" spans="10:14" x14ac:dyDescent="0.25">
      <c r="J186" t="str">
        <f t="shared" ca="1" si="6"/>
        <v/>
      </c>
      <c r="M186" s="13" t="str">
        <f t="shared" si="7"/>
        <v/>
      </c>
      <c r="N186" t="str">
        <f t="shared" ca="1" si="8"/>
        <v/>
      </c>
    </row>
    <row r="187" spans="10:14" x14ac:dyDescent="0.25">
      <c r="J187" t="str">
        <f t="shared" ca="1" si="6"/>
        <v/>
      </c>
      <c r="M187" s="13" t="str">
        <f t="shared" si="7"/>
        <v/>
      </c>
      <c r="N187" t="str">
        <f t="shared" ca="1" si="8"/>
        <v/>
      </c>
    </row>
    <row r="188" spans="10:14" x14ac:dyDescent="0.25">
      <c r="J188" t="str">
        <f t="shared" ca="1" si="6"/>
        <v/>
      </c>
      <c r="M188" s="13" t="str">
        <f t="shared" si="7"/>
        <v/>
      </c>
      <c r="N188" t="str">
        <f t="shared" ca="1" si="8"/>
        <v/>
      </c>
    </row>
    <row r="189" spans="10:14" x14ac:dyDescent="0.25">
      <c r="J189" t="str">
        <f t="shared" ca="1" si="6"/>
        <v/>
      </c>
      <c r="M189" s="13" t="str">
        <f t="shared" si="7"/>
        <v/>
      </c>
      <c r="N189" t="str">
        <f t="shared" ca="1" si="8"/>
        <v/>
      </c>
    </row>
    <row r="190" spans="10:14" x14ac:dyDescent="0.25">
      <c r="J190" t="str">
        <f t="shared" ca="1" si="6"/>
        <v/>
      </c>
      <c r="M190" s="13" t="str">
        <f t="shared" si="7"/>
        <v/>
      </c>
      <c r="N190" t="str">
        <f t="shared" ca="1" si="8"/>
        <v/>
      </c>
    </row>
    <row r="191" spans="10:14" x14ac:dyDescent="0.25">
      <c r="J191" t="str">
        <f t="shared" ca="1" si="6"/>
        <v/>
      </c>
      <c r="M191" s="13" t="str">
        <f t="shared" si="7"/>
        <v/>
      </c>
      <c r="N191" t="str">
        <f t="shared" ca="1" si="8"/>
        <v/>
      </c>
    </row>
    <row r="192" spans="10:14" x14ac:dyDescent="0.25">
      <c r="J192" t="str">
        <f t="shared" ca="1" si="6"/>
        <v/>
      </c>
      <c r="M192" s="13" t="str">
        <f t="shared" si="7"/>
        <v/>
      </c>
      <c r="N192" t="str">
        <f t="shared" ca="1" si="8"/>
        <v/>
      </c>
    </row>
    <row r="193" spans="10:14" x14ac:dyDescent="0.25">
      <c r="J193" t="str">
        <f t="shared" ca="1" si="6"/>
        <v/>
      </c>
      <c r="M193" s="13" t="str">
        <f t="shared" si="7"/>
        <v/>
      </c>
      <c r="N193" t="str">
        <f t="shared" ca="1" si="8"/>
        <v/>
      </c>
    </row>
    <row r="194" spans="10:14" x14ac:dyDescent="0.25">
      <c r="J194" t="str">
        <f t="shared" ca="1" si="6"/>
        <v/>
      </c>
      <c r="M194" s="13" t="str">
        <f t="shared" si="7"/>
        <v/>
      </c>
      <c r="N194" t="str">
        <f t="shared" ca="1" si="8"/>
        <v/>
      </c>
    </row>
    <row r="195" spans="10:14" x14ac:dyDescent="0.25">
      <c r="J195" t="str">
        <f t="shared" ca="1" si="6"/>
        <v/>
      </c>
      <c r="M195" s="13" t="str">
        <f t="shared" si="7"/>
        <v/>
      </c>
      <c r="N195" t="str">
        <f t="shared" ca="1" si="8"/>
        <v/>
      </c>
    </row>
    <row r="196" spans="10:14" x14ac:dyDescent="0.25">
      <c r="J196" t="str">
        <f t="shared" ca="1" si="6"/>
        <v/>
      </c>
      <c r="M196" s="13" t="str">
        <f t="shared" si="7"/>
        <v/>
      </c>
      <c r="N196" t="str">
        <f t="shared" ca="1" si="8"/>
        <v/>
      </c>
    </row>
    <row r="197" spans="10:14" x14ac:dyDescent="0.25">
      <c r="J197" t="str">
        <f t="shared" ca="1" si="6"/>
        <v/>
      </c>
      <c r="M197" s="13" t="str">
        <f t="shared" si="7"/>
        <v/>
      </c>
      <c r="N197" t="str">
        <f t="shared" ca="1" si="8"/>
        <v/>
      </c>
    </row>
    <row r="198" spans="10:14" x14ac:dyDescent="0.25">
      <c r="J198" t="str">
        <f t="shared" ref="J198:J261" ca="1" si="9">IF(A198="","",IF(OR(E198="Rejected",E198="Expired"),"ACTION NEEDED",IF(AND(B198="Yes",E198="Not Started"),"ACTION NEEDED",IF(AND(E198="In Hand",H198&lt;&gt;"",H198-TODAY()&lt;=30,H198-TODAY()&gt;=0),"EXPIRING SOON",""))))</f>
        <v/>
      </c>
      <c r="M198" s="13" t="str">
        <f t="shared" ref="M198:M261" si="10">IF(A198="","",MAX(F198+0,G198+0))</f>
        <v/>
      </c>
      <c r="N198" t="str">
        <f t="shared" ref="N198:N261" ca="1" si="11">IF(A198="","",IF(OR(E198="In Hand",E198="Rejected"),"",TODAY()-M198))</f>
        <v/>
      </c>
    </row>
    <row r="199" spans="10:14" x14ac:dyDescent="0.25">
      <c r="J199" t="str">
        <f t="shared" ca="1" si="9"/>
        <v/>
      </c>
      <c r="M199" s="13" t="str">
        <f t="shared" si="10"/>
        <v/>
      </c>
      <c r="N199" t="str">
        <f t="shared" ca="1" si="11"/>
        <v/>
      </c>
    </row>
    <row r="200" spans="10:14" x14ac:dyDescent="0.25">
      <c r="J200" t="str">
        <f t="shared" ca="1" si="9"/>
        <v/>
      </c>
      <c r="M200" s="13" t="str">
        <f t="shared" si="10"/>
        <v/>
      </c>
      <c r="N200" t="str">
        <f t="shared" ca="1" si="11"/>
        <v/>
      </c>
    </row>
    <row r="201" spans="10:14" x14ac:dyDescent="0.25">
      <c r="J201" t="str">
        <f t="shared" ca="1" si="9"/>
        <v/>
      </c>
      <c r="M201" s="13" t="str">
        <f t="shared" si="10"/>
        <v/>
      </c>
      <c r="N201" t="str">
        <f t="shared" ca="1" si="11"/>
        <v/>
      </c>
    </row>
    <row r="202" spans="10:14" x14ac:dyDescent="0.25">
      <c r="J202" t="str">
        <f t="shared" ca="1" si="9"/>
        <v/>
      </c>
      <c r="M202" s="13" t="str">
        <f t="shared" si="10"/>
        <v/>
      </c>
      <c r="N202" t="str">
        <f t="shared" ca="1" si="11"/>
        <v/>
      </c>
    </row>
    <row r="203" spans="10:14" x14ac:dyDescent="0.25">
      <c r="J203" t="str">
        <f t="shared" ca="1" si="9"/>
        <v/>
      </c>
      <c r="M203" s="13" t="str">
        <f t="shared" si="10"/>
        <v/>
      </c>
      <c r="N203" t="str">
        <f t="shared" ca="1" si="11"/>
        <v/>
      </c>
    </row>
    <row r="204" spans="10:14" x14ac:dyDescent="0.25">
      <c r="J204" t="str">
        <f t="shared" ca="1" si="9"/>
        <v/>
      </c>
      <c r="M204" s="13" t="str">
        <f t="shared" si="10"/>
        <v/>
      </c>
      <c r="N204" t="str">
        <f t="shared" ca="1" si="11"/>
        <v/>
      </c>
    </row>
    <row r="205" spans="10:14" x14ac:dyDescent="0.25">
      <c r="J205" t="str">
        <f t="shared" ca="1" si="9"/>
        <v/>
      </c>
      <c r="M205" s="13" t="str">
        <f t="shared" si="10"/>
        <v/>
      </c>
      <c r="N205" t="str">
        <f t="shared" ca="1" si="11"/>
        <v/>
      </c>
    </row>
    <row r="206" spans="10:14" x14ac:dyDescent="0.25">
      <c r="J206" t="str">
        <f t="shared" ca="1" si="9"/>
        <v/>
      </c>
      <c r="M206" s="13" t="str">
        <f t="shared" si="10"/>
        <v/>
      </c>
      <c r="N206" t="str">
        <f t="shared" ca="1" si="11"/>
        <v/>
      </c>
    </row>
    <row r="207" spans="10:14" x14ac:dyDescent="0.25">
      <c r="J207" t="str">
        <f t="shared" ca="1" si="9"/>
        <v/>
      </c>
      <c r="M207" s="13" t="str">
        <f t="shared" si="10"/>
        <v/>
      </c>
      <c r="N207" t="str">
        <f t="shared" ca="1" si="11"/>
        <v/>
      </c>
    </row>
    <row r="208" spans="10:14" x14ac:dyDescent="0.25">
      <c r="J208" t="str">
        <f t="shared" ca="1" si="9"/>
        <v/>
      </c>
      <c r="M208" s="13" t="str">
        <f t="shared" si="10"/>
        <v/>
      </c>
      <c r="N208" t="str">
        <f t="shared" ca="1" si="11"/>
        <v/>
      </c>
    </row>
    <row r="209" spans="10:14" x14ac:dyDescent="0.25">
      <c r="J209" t="str">
        <f t="shared" ca="1" si="9"/>
        <v/>
      </c>
      <c r="M209" s="13" t="str">
        <f t="shared" si="10"/>
        <v/>
      </c>
      <c r="N209" t="str">
        <f t="shared" ca="1" si="11"/>
        <v/>
      </c>
    </row>
    <row r="210" spans="10:14" x14ac:dyDescent="0.25">
      <c r="J210" t="str">
        <f t="shared" ca="1" si="9"/>
        <v/>
      </c>
      <c r="M210" s="13" t="str">
        <f t="shared" si="10"/>
        <v/>
      </c>
      <c r="N210" t="str">
        <f t="shared" ca="1" si="11"/>
        <v/>
      </c>
    </row>
    <row r="211" spans="10:14" x14ac:dyDescent="0.25">
      <c r="J211" t="str">
        <f t="shared" ca="1" si="9"/>
        <v/>
      </c>
      <c r="M211" s="13" t="str">
        <f t="shared" si="10"/>
        <v/>
      </c>
      <c r="N211" t="str">
        <f t="shared" ca="1" si="11"/>
        <v/>
      </c>
    </row>
    <row r="212" spans="10:14" x14ac:dyDescent="0.25">
      <c r="J212" t="str">
        <f t="shared" ca="1" si="9"/>
        <v/>
      </c>
      <c r="M212" s="13" t="str">
        <f t="shared" si="10"/>
        <v/>
      </c>
      <c r="N212" t="str">
        <f t="shared" ca="1" si="11"/>
        <v/>
      </c>
    </row>
    <row r="213" spans="10:14" x14ac:dyDescent="0.25">
      <c r="J213" t="str">
        <f t="shared" ca="1" si="9"/>
        <v/>
      </c>
      <c r="M213" s="13" t="str">
        <f t="shared" si="10"/>
        <v/>
      </c>
      <c r="N213" t="str">
        <f t="shared" ca="1" si="11"/>
        <v/>
      </c>
    </row>
    <row r="214" spans="10:14" x14ac:dyDescent="0.25">
      <c r="J214" t="str">
        <f t="shared" ca="1" si="9"/>
        <v/>
      </c>
      <c r="M214" s="13" t="str">
        <f t="shared" si="10"/>
        <v/>
      </c>
      <c r="N214" t="str">
        <f t="shared" ca="1" si="11"/>
        <v/>
      </c>
    </row>
    <row r="215" spans="10:14" x14ac:dyDescent="0.25">
      <c r="J215" t="str">
        <f t="shared" ca="1" si="9"/>
        <v/>
      </c>
      <c r="M215" s="13" t="str">
        <f t="shared" si="10"/>
        <v/>
      </c>
      <c r="N215" t="str">
        <f t="shared" ca="1" si="11"/>
        <v/>
      </c>
    </row>
    <row r="216" spans="10:14" x14ac:dyDescent="0.25">
      <c r="J216" t="str">
        <f t="shared" ca="1" si="9"/>
        <v/>
      </c>
      <c r="M216" s="13" t="str">
        <f t="shared" si="10"/>
        <v/>
      </c>
      <c r="N216" t="str">
        <f t="shared" ca="1" si="11"/>
        <v/>
      </c>
    </row>
    <row r="217" spans="10:14" x14ac:dyDescent="0.25">
      <c r="J217" t="str">
        <f t="shared" ca="1" si="9"/>
        <v/>
      </c>
      <c r="M217" s="13" t="str">
        <f t="shared" si="10"/>
        <v/>
      </c>
      <c r="N217" t="str">
        <f t="shared" ca="1" si="11"/>
        <v/>
      </c>
    </row>
    <row r="218" spans="10:14" x14ac:dyDescent="0.25">
      <c r="J218" t="str">
        <f t="shared" ca="1" si="9"/>
        <v/>
      </c>
      <c r="M218" s="13" t="str">
        <f t="shared" si="10"/>
        <v/>
      </c>
      <c r="N218" t="str">
        <f t="shared" ca="1" si="11"/>
        <v/>
      </c>
    </row>
    <row r="219" spans="10:14" x14ac:dyDescent="0.25">
      <c r="J219" t="str">
        <f t="shared" ca="1" si="9"/>
        <v/>
      </c>
      <c r="M219" s="13" t="str">
        <f t="shared" si="10"/>
        <v/>
      </c>
      <c r="N219" t="str">
        <f t="shared" ca="1" si="11"/>
        <v/>
      </c>
    </row>
    <row r="220" spans="10:14" x14ac:dyDescent="0.25">
      <c r="J220" t="str">
        <f t="shared" ca="1" si="9"/>
        <v/>
      </c>
      <c r="M220" s="13" t="str">
        <f t="shared" si="10"/>
        <v/>
      </c>
      <c r="N220" t="str">
        <f t="shared" ca="1" si="11"/>
        <v/>
      </c>
    </row>
    <row r="221" spans="10:14" x14ac:dyDescent="0.25">
      <c r="J221" t="str">
        <f t="shared" ca="1" si="9"/>
        <v/>
      </c>
      <c r="M221" s="13" t="str">
        <f t="shared" si="10"/>
        <v/>
      </c>
      <c r="N221" t="str">
        <f t="shared" ca="1" si="11"/>
        <v/>
      </c>
    </row>
    <row r="222" spans="10:14" x14ac:dyDescent="0.25">
      <c r="J222" t="str">
        <f t="shared" ca="1" si="9"/>
        <v/>
      </c>
      <c r="M222" s="13" t="str">
        <f t="shared" si="10"/>
        <v/>
      </c>
      <c r="N222" t="str">
        <f t="shared" ca="1" si="11"/>
        <v/>
      </c>
    </row>
    <row r="223" spans="10:14" x14ac:dyDescent="0.25">
      <c r="J223" t="str">
        <f t="shared" ca="1" si="9"/>
        <v/>
      </c>
      <c r="M223" s="13" t="str">
        <f t="shared" si="10"/>
        <v/>
      </c>
      <c r="N223" t="str">
        <f t="shared" ca="1" si="11"/>
        <v/>
      </c>
    </row>
    <row r="224" spans="10:14" x14ac:dyDescent="0.25">
      <c r="J224" t="str">
        <f t="shared" ca="1" si="9"/>
        <v/>
      </c>
      <c r="M224" s="13" t="str">
        <f t="shared" si="10"/>
        <v/>
      </c>
      <c r="N224" t="str">
        <f t="shared" ca="1" si="11"/>
        <v/>
      </c>
    </row>
    <row r="225" spans="10:14" x14ac:dyDescent="0.25">
      <c r="J225" t="str">
        <f t="shared" ca="1" si="9"/>
        <v/>
      </c>
      <c r="M225" s="13" t="str">
        <f t="shared" si="10"/>
        <v/>
      </c>
      <c r="N225" t="str">
        <f t="shared" ca="1" si="11"/>
        <v/>
      </c>
    </row>
    <row r="226" spans="10:14" x14ac:dyDescent="0.25">
      <c r="J226" t="str">
        <f t="shared" ca="1" si="9"/>
        <v/>
      </c>
      <c r="M226" s="13" t="str">
        <f t="shared" si="10"/>
        <v/>
      </c>
      <c r="N226" t="str">
        <f t="shared" ca="1" si="11"/>
        <v/>
      </c>
    </row>
    <row r="227" spans="10:14" x14ac:dyDescent="0.25">
      <c r="J227" t="str">
        <f t="shared" ca="1" si="9"/>
        <v/>
      </c>
      <c r="M227" s="13" t="str">
        <f t="shared" si="10"/>
        <v/>
      </c>
      <c r="N227" t="str">
        <f t="shared" ca="1" si="11"/>
        <v/>
      </c>
    </row>
    <row r="228" spans="10:14" x14ac:dyDescent="0.25">
      <c r="J228" t="str">
        <f t="shared" ca="1" si="9"/>
        <v/>
      </c>
      <c r="M228" s="13" t="str">
        <f t="shared" si="10"/>
        <v/>
      </c>
      <c r="N228" t="str">
        <f t="shared" ca="1" si="11"/>
        <v/>
      </c>
    </row>
    <row r="229" spans="10:14" x14ac:dyDescent="0.25">
      <c r="J229" t="str">
        <f t="shared" ca="1" si="9"/>
        <v/>
      </c>
      <c r="M229" s="13" t="str">
        <f t="shared" si="10"/>
        <v/>
      </c>
      <c r="N229" t="str">
        <f t="shared" ca="1" si="11"/>
        <v/>
      </c>
    </row>
    <row r="230" spans="10:14" x14ac:dyDescent="0.25">
      <c r="J230" t="str">
        <f t="shared" ca="1" si="9"/>
        <v/>
      </c>
      <c r="M230" s="13" t="str">
        <f t="shared" si="10"/>
        <v/>
      </c>
      <c r="N230" t="str">
        <f t="shared" ca="1" si="11"/>
        <v/>
      </c>
    </row>
    <row r="231" spans="10:14" x14ac:dyDescent="0.25">
      <c r="J231" t="str">
        <f t="shared" ca="1" si="9"/>
        <v/>
      </c>
      <c r="M231" s="13" t="str">
        <f t="shared" si="10"/>
        <v/>
      </c>
      <c r="N231" t="str">
        <f t="shared" ca="1" si="11"/>
        <v/>
      </c>
    </row>
    <row r="232" spans="10:14" x14ac:dyDescent="0.25">
      <c r="J232" t="str">
        <f t="shared" ca="1" si="9"/>
        <v/>
      </c>
      <c r="M232" s="13" t="str">
        <f t="shared" si="10"/>
        <v/>
      </c>
      <c r="N232" t="str">
        <f t="shared" ca="1" si="11"/>
        <v/>
      </c>
    </row>
    <row r="233" spans="10:14" x14ac:dyDescent="0.25">
      <c r="J233" t="str">
        <f t="shared" ca="1" si="9"/>
        <v/>
      </c>
      <c r="M233" s="13" t="str">
        <f t="shared" si="10"/>
        <v/>
      </c>
      <c r="N233" t="str">
        <f t="shared" ca="1" si="11"/>
        <v/>
      </c>
    </row>
    <row r="234" spans="10:14" x14ac:dyDescent="0.25">
      <c r="J234" t="str">
        <f t="shared" ca="1" si="9"/>
        <v/>
      </c>
      <c r="M234" s="13" t="str">
        <f t="shared" si="10"/>
        <v/>
      </c>
      <c r="N234" t="str">
        <f t="shared" ca="1" si="11"/>
        <v/>
      </c>
    </row>
    <row r="235" spans="10:14" x14ac:dyDescent="0.25">
      <c r="J235" t="str">
        <f t="shared" ca="1" si="9"/>
        <v/>
      </c>
      <c r="M235" s="13" t="str">
        <f t="shared" si="10"/>
        <v/>
      </c>
      <c r="N235" t="str">
        <f t="shared" ca="1" si="11"/>
        <v/>
      </c>
    </row>
    <row r="236" spans="10:14" x14ac:dyDescent="0.25">
      <c r="J236" t="str">
        <f t="shared" ca="1" si="9"/>
        <v/>
      </c>
      <c r="M236" s="13" t="str">
        <f t="shared" si="10"/>
        <v/>
      </c>
      <c r="N236" t="str">
        <f t="shared" ca="1" si="11"/>
        <v/>
      </c>
    </row>
    <row r="237" spans="10:14" x14ac:dyDescent="0.25">
      <c r="J237" t="str">
        <f t="shared" ca="1" si="9"/>
        <v/>
      </c>
      <c r="M237" s="13" t="str">
        <f t="shared" si="10"/>
        <v/>
      </c>
      <c r="N237" t="str">
        <f t="shared" ca="1" si="11"/>
        <v/>
      </c>
    </row>
    <row r="238" spans="10:14" x14ac:dyDescent="0.25">
      <c r="J238" t="str">
        <f t="shared" ca="1" si="9"/>
        <v/>
      </c>
      <c r="M238" s="13" t="str">
        <f t="shared" si="10"/>
        <v/>
      </c>
      <c r="N238" t="str">
        <f t="shared" ca="1" si="11"/>
        <v/>
      </c>
    </row>
    <row r="239" spans="10:14" x14ac:dyDescent="0.25">
      <c r="J239" t="str">
        <f t="shared" ca="1" si="9"/>
        <v/>
      </c>
      <c r="M239" s="13" t="str">
        <f t="shared" si="10"/>
        <v/>
      </c>
      <c r="N239" t="str">
        <f t="shared" ca="1" si="11"/>
        <v/>
      </c>
    </row>
    <row r="240" spans="10:14" x14ac:dyDescent="0.25">
      <c r="J240" t="str">
        <f t="shared" ca="1" si="9"/>
        <v/>
      </c>
      <c r="M240" s="13" t="str">
        <f t="shared" si="10"/>
        <v/>
      </c>
      <c r="N240" t="str">
        <f t="shared" ca="1" si="11"/>
        <v/>
      </c>
    </row>
    <row r="241" spans="10:14" x14ac:dyDescent="0.25">
      <c r="J241" t="str">
        <f t="shared" ca="1" si="9"/>
        <v/>
      </c>
      <c r="M241" s="13" t="str">
        <f t="shared" si="10"/>
        <v/>
      </c>
      <c r="N241" t="str">
        <f t="shared" ca="1" si="11"/>
        <v/>
      </c>
    </row>
    <row r="242" spans="10:14" x14ac:dyDescent="0.25">
      <c r="J242" t="str">
        <f t="shared" ca="1" si="9"/>
        <v/>
      </c>
      <c r="M242" s="13" t="str">
        <f t="shared" si="10"/>
        <v/>
      </c>
      <c r="N242" t="str">
        <f t="shared" ca="1" si="11"/>
        <v/>
      </c>
    </row>
    <row r="243" spans="10:14" x14ac:dyDescent="0.25">
      <c r="J243" t="str">
        <f t="shared" ca="1" si="9"/>
        <v/>
      </c>
      <c r="M243" s="13" t="str">
        <f t="shared" si="10"/>
        <v/>
      </c>
      <c r="N243" t="str">
        <f t="shared" ca="1" si="11"/>
        <v/>
      </c>
    </row>
    <row r="244" spans="10:14" x14ac:dyDescent="0.25">
      <c r="J244" t="str">
        <f t="shared" ca="1" si="9"/>
        <v/>
      </c>
      <c r="M244" s="13" t="str">
        <f t="shared" si="10"/>
        <v/>
      </c>
      <c r="N244" t="str">
        <f t="shared" ca="1" si="11"/>
        <v/>
      </c>
    </row>
    <row r="245" spans="10:14" x14ac:dyDescent="0.25">
      <c r="J245" t="str">
        <f t="shared" ca="1" si="9"/>
        <v/>
      </c>
      <c r="M245" s="13" t="str">
        <f t="shared" si="10"/>
        <v/>
      </c>
      <c r="N245" t="str">
        <f t="shared" ca="1" si="11"/>
        <v/>
      </c>
    </row>
    <row r="246" spans="10:14" x14ac:dyDescent="0.25">
      <c r="J246" t="str">
        <f t="shared" ca="1" si="9"/>
        <v/>
      </c>
      <c r="M246" s="13" t="str">
        <f t="shared" si="10"/>
        <v/>
      </c>
      <c r="N246" t="str">
        <f t="shared" ca="1" si="11"/>
        <v/>
      </c>
    </row>
    <row r="247" spans="10:14" x14ac:dyDescent="0.25">
      <c r="J247" t="str">
        <f t="shared" ca="1" si="9"/>
        <v/>
      </c>
      <c r="M247" s="13" t="str">
        <f t="shared" si="10"/>
        <v/>
      </c>
      <c r="N247" t="str">
        <f t="shared" ca="1" si="11"/>
        <v/>
      </c>
    </row>
    <row r="248" spans="10:14" x14ac:dyDescent="0.25">
      <c r="J248" t="str">
        <f t="shared" ca="1" si="9"/>
        <v/>
      </c>
      <c r="M248" s="13" t="str">
        <f t="shared" si="10"/>
        <v/>
      </c>
      <c r="N248" t="str">
        <f t="shared" ca="1" si="11"/>
        <v/>
      </c>
    </row>
    <row r="249" spans="10:14" x14ac:dyDescent="0.25">
      <c r="J249" t="str">
        <f t="shared" ca="1" si="9"/>
        <v/>
      </c>
      <c r="M249" s="13" t="str">
        <f t="shared" si="10"/>
        <v/>
      </c>
      <c r="N249" t="str">
        <f t="shared" ca="1" si="11"/>
        <v/>
      </c>
    </row>
    <row r="250" spans="10:14" x14ac:dyDescent="0.25">
      <c r="J250" t="str">
        <f t="shared" ca="1" si="9"/>
        <v/>
      </c>
      <c r="M250" s="13" t="str">
        <f t="shared" si="10"/>
        <v/>
      </c>
      <c r="N250" t="str">
        <f t="shared" ca="1" si="11"/>
        <v/>
      </c>
    </row>
    <row r="251" spans="10:14" x14ac:dyDescent="0.25">
      <c r="J251" t="str">
        <f t="shared" ca="1" si="9"/>
        <v/>
      </c>
      <c r="M251" s="13" t="str">
        <f t="shared" si="10"/>
        <v/>
      </c>
      <c r="N251" t="str">
        <f t="shared" ca="1" si="11"/>
        <v/>
      </c>
    </row>
    <row r="252" spans="10:14" x14ac:dyDescent="0.25">
      <c r="J252" t="str">
        <f t="shared" ca="1" si="9"/>
        <v/>
      </c>
      <c r="M252" s="13" t="str">
        <f t="shared" si="10"/>
        <v/>
      </c>
      <c r="N252" t="str">
        <f t="shared" ca="1" si="11"/>
        <v/>
      </c>
    </row>
    <row r="253" spans="10:14" x14ac:dyDescent="0.25">
      <c r="J253" t="str">
        <f t="shared" ca="1" si="9"/>
        <v/>
      </c>
      <c r="M253" s="13" t="str">
        <f t="shared" si="10"/>
        <v/>
      </c>
      <c r="N253" t="str">
        <f t="shared" ca="1" si="11"/>
        <v/>
      </c>
    </row>
    <row r="254" spans="10:14" x14ac:dyDescent="0.25">
      <c r="J254" t="str">
        <f t="shared" ca="1" si="9"/>
        <v/>
      </c>
      <c r="M254" s="13" t="str">
        <f t="shared" si="10"/>
        <v/>
      </c>
      <c r="N254" t="str">
        <f t="shared" ca="1" si="11"/>
        <v/>
      </c>
    </row>
    <row r="255" spans="10:14" x14ac:dyDescent="0.25">
      <c r="J255" t="str">
        <f t="shared" ca="1" si="9"/>
        <v/>
      </c>
      <c r="M255" s="13" t="str">
        <f t="shared" si="10"/>
        <v/>
      </c>
      <c r="N255" t="str">
        <f t="shared" ca="1" si="11"/>
        <v/>
      </c>
    </row>
    <row r="256" spans="10:14" x14ac:dyDescent="0.25">
      <c r="J256" t="str">
        <f t="shared" ca="1" si="9"/>
        <v/>
      </c>
      <c r="M256" s="13" t="str">
        <f t="shared" si="10"/>
        <v/>
      </c>
      <c r="N256" t="str">
        <f t="shared" ca="1" si="11"/>
        <v/>
      </c>
    </row>
    <row r="257" spans="10:14" x14ac:dyDescent="0.25">
      <c r="J257" t="str">
        <f t="shared" ca="1" si="9"/>
        <v/>
      </c>
      <c r="M257" s="13" t="str">
        <f t="shared" si="10"/>
        <v/>
      </c>
      <c r="N257" t="str">
        <f t="shared" ca="1" si="11"/>
        <v/>
      </c>
    </row>
    <row r="258" spans="10:14" x14ac:dyDescent="0.25">
      <c r="J258" t="str">
        <f t="shared" ca="1" si="9"/>
        <v/>
      </c>
      <c r="M258" s="13" t="str">
        <f t="shared" si="10"/>
        <v/>
      </c>
      <c r="N258" t="str">
        <f t="shared" ca="1" si="11"/>
        <v/>
      </c>
    </row>
    <row r="259" spans="10:14" x14ac:dyDescent="0.25">
      <c r="J259" t="str">
        <f t="shared" ca="1" si="9"/>
        <v/>
      </c>
      <c r="M259" s="13" t="str">
        <f t="shared" si="10"/>
        <v/>
      </c>
      <c r="N259" t="str">
        <f t="shared" ca="1" si="11"/>
        <v/>
      </c>
    </row>
    <row r="260" spans="10:14" x14ac:dyDescent="0.25">
      <c r="J260" t="str">
        <f t="shared" ca="1" si="9"/>
        <v/>
      </c>
      <c r="M260" s="13" t="str">
        <f t="shared" si="10"/>
        <v/>
      </c>
      <c r="N260" t="str">
        <f t="shared" ca="1" si="11"/>
        <v/>
      </c>
    </row>
    <row r="261" spans="10:14" x14ac:dyDescent="0.25">
      <c r="J261" t="str">
        <f t="shared" ca="1" si="9"/>
        <v/>
      </c>
      <c r="M261" s="13" t="str">
        <f t="shared" si="10"/>
        <v/>
      </c>
      <c r="N261" t="str">
        <f t="shared" ca="1" si="11"/>
        <v/>
      </c>
    </row>
    <row r="262" spans="10:14" x14ac:dyDescent="0.25">
      <c r="J262" t="str">
        <f t="shared" ref="J262:J302" ca="1" si="12">IF(A262="","",IF(OR(E262="Rejected",E262="Expired"),"ACTION NEEDED",IF(AND(B262="Yes",E262="Not Started"),"ACTION NEEDED",IF(AND(E262="In Hand",H262&lt;&gt;"",H262-TODAY()&lt;=30,H262-TODAY()&gt;=0),"EXPIRING SOON",""))))</f>
        <v/>
      </c>
      <c r="M262" s="13" t="str">
        <f t="shared" ref="M262:M302" si="13">IF(A262="","",MAX(F262+0,G262+0))</f>
        <v/>
      </c>
      <c r="N262" t="str">
        <f t="shared" ref="N262:N302" ca="1" si="14">IF(A262="","",IF(OR(E262="In Hand",E262="Rejected"),"",TODAY()-M262))</f>
        <v/>
      </c>
    </row>
    <row r="263" spans="10:14" x14ac:dyDescent="0.25">
      <c r="J263" t="str">
        <f t="shared" ca="1" si="12"/>
        <v/>
      </c>
      <c r="M263" s="13" t="str">
        <f t="shared" si="13"/>
        <v/>
      </c>
      <c r="N263" t="str">
        <f t="shared" ca="1" si="14"/>
        <v/>
      </c>
    </row>
    <row r="264" spans="10:14" x14ac:dyDescent="0.25">
      <c r="J264" t="str">
        <f t="shared" ca="1" si="12"/>
        <v/>
      </c>
      <c r="M264" s="13" t="str">
        <f t="shared" si="13"/>
        <v/>
      </c>
      <c r="N264" t="str">
        <f t="shared" ca="1" si="14"/>
        <v/>
      </c>
    </row>
    <row r="265" spans="10:14" x14ac:dyDescent="0.25">
      <c r="J265" t="str">
        <f t="shared" ca="1" si="12"/>
        <v/>
      </c>
      <c r="M265" s="13" t="str">
        <f t="shared" si="13"/>
        <v/>
      </c>
      <c r="N265" t="str">
        <f t="shared" ca="1" si="14"/>
        <v/>
      </c>
    </row>
    <row r="266" spans="10:14" x14ac:dyDescent="0.25">
      <c r="J266" t="str">
        <f t="shared" ca="1" si="12"/>
        <v/>
      </c>
      <c r="M266" s="13" t="str">
        <f t="shared" si="13"/>
        <v/>
      </c>
      <c r="N266" t="str">
        <f t="shared" ca="1" si="14"/>
        <v/>
      </c>
    </row>
    <row r="267" spans="10:14" x14ac:dyDescent="0.25">
      <c r="J267" t="str">
        <f t="shared" ca="1" si="12"/>
        <v/>
      </c>
      <c r="M267" s="13" t="str">
        <f t="shared" si="13"/>
        <v/>
      </c>
      <c r="N267" t="str">
        <f t="shared" ca="1" si="14"/>
        <v/>
      </c>
    </row>
    <row r="268" spans="10:14" x14ac:dyDescent="0.25">
      <c r="J268" t="str">
        <f t="shared" ca="1" si="12"/>
        <v/>
      </c>
      <c r="M268" s="13" t="str">
        <f t="shared" si="13"/>
        <v/>
      </c>
      <c r="N268" t="str">
        <f t="shared" ca="1" si="14"/>
        <v/>
      </c>
    </row>
    <row r="269" spans="10:14" x14ac:dyDescent="0.25">
      <c r="J269" t="str">
        <f t="shared" ca="1" si="12"/>
        <v/>
      </c>
      <c r="M269" s="13" t="str">
        <f t="shared" si="13"/>
        <v/>
      </c>
      <c r="N269" t="str">
        <f t="shared" ca="1" si="14"/>
        <v/>
      </c>
    </row>
    <row r="270" spans="10:14" x14ac:dyDescent="0.25">
      <c r="J270" t="str">
        <f t="shared" ca="1" si="12"/>
        <v/>
      </c>
      <c r="M270" s="13" t="str">
        <f t="shared" si="13"/>
        <v/>
      </c>
      <c r="N270" t="str">
        <f t="shared" ca="1" si="14"/>
        <v/>
      </c>
    </row>
    <row r="271" spans="10:14" x14ac:dyDescent="0.25">
      <c r="J271" t="str">
        <f t="shared" ca="1" si="12"/>
        <v/>
      </c>
      <c r="M271" s="13" t="str">
        <f t="shared" si="13"/>
        <v/>
      </c>
      <c r="N271" t="str">
        <f t="shared" ca="1" si="14"/>
        <v/>
      </c>
    </row>
    <row r="272" spans="10:14" x14ac:dyDescent="0.25">
      <c r="J272" t="str">
        <f t="shared" ca="1" si="12"/>
        <v/>
      </c>
      <c r="M272" s="13" t="str">
        <f t="shared" si="13"/>
        <v/>
      </c>
      <c r="N272" t="str">
        <f t="shared" ca="1" si="14"/>
        <v/>
      </c>
    </row>
    <row r="273" spans="10:14" x14ac:dyDescent="0.25">
      <c r="J273" t="str">
        <f t="shared" ca="1" si="12"/>
        <v/>
      </c>
      <c r="M273" s="13" t="str">
        <f t="shared" si="13"/>
        <v/>
      </c>
      <c r="N273" t="str">
        <f t="shared" ca="1" si="14"/>
        <v/>
      </c>
    </row>
    <row r="274" spans="10:14" x14ac:dyDescent="0.25">
      <c r="J274" t="str">
        <f t="shared" ca="1" si="12"/>
        <v/>
      </c>
      <c r="M274" s="13" t="str">
        <f t="shared" si="13"/>
        <v/>
      </c>
      <c r="N274" t="str">
        <f t="shared" ca="1" si="14"/>
        <v/>
      </c>
    </row>
    <row r="275" spans="10:14" x14ac:dyDescent="0.25">
      <c r="J275" t="str">
        <f t="shared" ca="1" si="12"/>
        <v/>
      </c>
      <c r="M275" s="13" t="str">
        <f t="shared" si="13"/>
        <v/>
      </c>
      <c r="N275" t="str">
        <f t="shared" ca="1" si="14"/>
        <v/>
      </c>
    </row>
    <row r="276" spans="10:14" x14ac:dyDescent="0.25">
      <c r="J276" t="str">
        <f t="shared" ca="1" si="12"/>
        <v/>
      </c>
      <c r="M276" s="13" t="str">
        <f t="shared" si="13"/>
        <v/>
      </c>
      <c r="N276" t="str">
        <f t="shared" ca="1" si="14"/>
        <v/>
      </c>
    </row>
    <row r="277" spans="10:14" x14ac:dyDescent="0.25">
      <c r="J277" t="str">
        <f t="shared" ca="1" si="12"/>
        <v/>
      </c>
      <c r="M277" s="13" t="str">
        <f t="shared" si="13"/>
        <v/>
      </c>
      <c r="N277" t="str">
        <f t="shared" ca="1" si="14"/>
        <v/>
      </c>
    </row>
    <row r="278" spans="10:14" x14ac:dyDescent="0.25">
      <c r="J278" t="str">
        <f t="shared" ca="1" si="12"/>
        <v/>
      </c>
      <c r="M278" s="13" t="str">
        <f t="shared" si="13"/>
        <v/>
      </c>
      <c r="N278" t="str">
        <f t="shared" ca="1" si="14"/>
        <v/>
      </c>
    </row>
    <row r="279" spans="10:14" x14ac:dyDescent="0.25">
      <c r="J279" t="str">
        <f t="shared" ca="1" si="12"/>
        <v/>
      </c>
      <c r="M279" s="13" t="str">
        <f t="shared" si="13"/>
        <v/>
      </c>
      <c r="N279" t="str">
        <f t="shared" ca="1" si="14"/>
        <v/>
      </c>
    </row>
    <row r="280" spans="10:14" x14ac:dyDescent="0.25">
      <c r="J280" t="str">
        <f t="shared" ca="1" si="12"/>
        <v/>
      </c>
      <c r="M280" s="13" t="str">
        <f t="shared" si="13"/>
        <v/>
      </c>
      <c r="N280" t="str">
        <f t="shared" ca="1" si="14"/>
        <v/>
      </c>
    </row>
    <row r="281" spans="10:14" x14ac:dyDescent="0.25">
      <c r="J281" t="str">
        <f t="shared" ca="1" si="12"/>
        <v/>
      </c>
      <c r="M281" s="13" t="str">
        <f t="shared" si="13"/>
        <v/>
      </c>
      <c r="N281" t="str">
        <f t="shared" ca="1" si="14"/>
        <v/>
      </c>
    </row>
    <row r="282" spans="10:14" x14ac:dyDescent="0.25">
      <c r="J282" t="str">
        <f t="shared" ca="1" si="12"/>
        <v/>
      </c>
      <c r="M282" s="13" t="str">
        <f t="shared" si="13"/>
        <v/>
      </c>
      <c r="N282" t="str">
        <f t="shared" ca="1" si="14"/>
        <v/>
      </c>
    </row>
    <row r="283" spans="10:14" x14ac:dyDescent="0.25">
      <c r="J283" t="str">
        <f t="shared" ca="1" si="12"/>
        <v/>
      </c>
      <c r="M283" s="13" t="str">
        <f t="shared" si="13"/>
        <v/>
      </c>
      <c r="N283" t="str">
        <f t="shared" ca="1" si="14"/>
        <v/>
      </c>
    </row>
    <row r="284" spans="10:14" x14ac:dyDescent="0.25">
      <c r="J284" t="str">
        <f t="shared" ca="1" si="12"/>
        <v/>
      </c>
      <c r="M284" s="13" t="str">
        <f t="shared" si="13"/>
        <v/>
      </c>
      <c r="N284" t="str">
        <f t="shared" ca="1" si="14"/>
        <v/>
      </c>
    </row>
    <row r="285" spans="10:14" x14ac:dyDescent="0.25">
      <c r="J285" t="str">
        <f t="shared" ca="1" si="12"/>
        <v/>
      </c>
      <c r="M285" s="13" t="str">
        <f t="shared" si="13"/>
        <v/>
      </c>
      <c r="N285" t="str">
        <f t="shared" ca="1" si="14"/>
        <v/>
      </c>
    </row>
    <row r="286" spans="10:14" x14ac:dyDescent="0.25">
      <c r="J286" t="str">
        <f t="shared" ca="1" si="12"/>
        <v/>
      </c>
      <c r="M286" s="13" t="str">
        <f t="shared" si="13"/>
        <v/>
      </c>
      <c r="N286" t="str">
        <f t="shared" ca="1" si="14"/>
        <v/>
      </c>
    </row>
    <row r="287" spans="10:14" x14ac:dyDescent="0.25">
      <c r="J287" t="str">
        <f t="shared" ca="1" si="12"/>
        <v/>
      </c>
      <c r="M287" s="13" t="str">
        <f t="shared" si="13"/>
        <v/>
      </c>
      <c r="N287" t="str">
        <f t="shared" ca="1" si="14"/>
        <v/>
      </c>
    </row>
    <row r="288" spans="10:14" x14ac:dyDescent="0.25">
      <c r="J288" t="str">
        <f t="shared" ca="1" si="12"/>
        <v/>
      </c>
      <c r="M288" s="13" t="str">
        <f t="shared" si="13"/>
        <v/>
      </c>
      <c r="N288" t="str">
        <f t="shared" ca="1" si="14"/>
        <v/>
      </c>
    </row>
    <row r="289" spans="10:14" x14ac:dyDescent="0.25">
      <c r="J289" t="str">
        <f t="shared" ca="1" si="12"/>
        <v/>
      </c>
      <c r="M289" s="13" t="str">
        <f t="shared" si="13"/>
        <v/>
      </c>
      <c r="N289" t="str">
        <f t="shared" ca="1" si="14"/>
        <v/>
      </c>
    </row>
    <row r="290" spans="10:14" x14ac:dyDescent="0.25">
      <c r="J290" t="str">
        <f t="shared" ca="1" si="12"/>
        <v/>
      </c>
      <c r="M290" s="13" t="str">
        <f t="shared" si="13"/>
        <v/>
      </c>
      <c r="N290" t="str">
        <f t="shared" ca="1" si="14"/>
        <v/>
      </c>
    </row>
    <row r="291" spans="10:14" x14ac:dyDescent="0.25">
      <c r="J291" t="str">
        <f t="shared" ca="1" si="12"/>
        <v/>
      </c>
      <c r="M291" s="13" t="str">
        <f t="shared" si="13"/>
        <v/>
      </c>
      <c r="N291" t="str">
        <f t="shared" ca="1" si="14"/>
        <v/>
      </c>
    </row>
    <row r="292" spans="10:14" x14ac:dyDescent="0.25">
      <c r="J292" t="str">
        <f t="shared" ca="1" si="12"/>
        <v/>
      </c>
      <c r="M292" s="13" t="str">
        <f t="shared" si="13"/>
        <v/>
      </c>
      <c r="N292" t="str">
        <f t="shared" ca="1" si="14"/>
        <v/>
      </c>
    </row>
    <row r="293" spans="10:14" x14ac:dyDescent="0.25">
      <c r="J293" t="str">
        <f t="shared" ca="1" si="12"/>
        <v/>
      </c>
      <c r="M293" s="13" t="str">
        <f t="shared" si="13"/>
        <v/>
      </c>
      <c r="N293" t="str">
        <f t="shared" ca="1" si="14"/>
        <v/>
      </c>
    </row>
    <row r="294" spans="10:14" x14ac:dyDescent="0.25">
      <c r="J294" t="str">
        <f t="shared" ca="1" si="12"/>
        <v/>
      </c>
      <c r="M294" s="13" t="str">
        <f t="shared" si="13"/>
        <v/>
      </c>
      <c r="N294" t="str">
        <f t="shared" ca="1" si="14"/>
        <v/>
      </c>
    </row>
    <row r="295" spans="10:14" x14ac:dyDescent="0.25">
      <c r="J295" t="str">
        <f t="shared" ca="1" si="12"/>
        <v/>
      </c>
      <c r="M295" s="13" t="str">
        <f t="shared" si="13"/>
        <v/>
      </c>
      <c r="N295" t="str">
        <f t="shared" ca="1" si="14"/>
        <v/>
      </c>
    </row>
    <row r="296" spans="10:14" x14ac:dyDescent="0.25">
      <c r="J296" t="str">
        <f t="shared" ca="1" si="12"/>
        <v/>
      </c>
      <c r="M296" s="13" t="str">
        <f t="shared" si="13"/>
        <v/>
      </c>
      <c r="N296" t="str">
        <f t="shared" ca="1" si="14"/>
        <v/>
      </c>
    </row>
    <row r="297" spans="10:14" x14ac:dyDescent="0.25">
      <c r="J297" t="str">
        <f t="shared" ca="1" si="12"/>
        <v/>
      </c>
      <c r="M297" s="13" t="str">
        <f t="shared" si="13"/>
        <v/>
      </c>
      <c r="N297" t="str">
        <f t="shared" ca="1" si="14"/>
        <v/>
      </c>
    </row>
    <row r="298" spans="10:14" x14ac:dyDescent="0.25">
      <c r="J298" t="str">
        <f t="shared" ca="1" si="12"/>
        <v/>
      </c>
      <c r="M298" s="13" t="str">
        <f t="shared" si="13"/>
        <v/>
      </c>
      <c r="N298" t="str">
        <f t="shared" ca="1" si="14"/>
        <v/>
      </c>
    </row>
    <row r="299" spans="10:14" x14ac:dyDescent="0.25">
      <c r="J299" t="str">
        <f t="shared" ca="1" si="12"/>
        <v/>
      </c>
      <c r="M299" s="13" t="str">
        <f t="shared" si="13"/>
        <v/>
      </c>
      <c r="N299" t="str">
        <f t="shared" ca="1" si="14"/>
        <v/>
      </c>
    </row>
    <row r="300" spans="10:14" x14ac:dyDescent="0.25">
      <c r="J300" t="str">
        <f t="shared" ca="1" si="12"/>
        <v/>
      </c>
      <c r="M300" s="13" t="str">
        <f t="shared" si="13"/>
        <v/>
      </c>
      <c r="N300" t="str">
        <f t="shared" ca="1" si="14"/>
        <v/>
      </c>
    </row>
    <row r="301" spans="10:14" x14ac:dyDescent="0.25">
      <c r="J301" t="str">
        <f t="shared" ca="1" si="12"/>
        <v/>
      </c>
      <c r="M301" s="13" t="str">
        <f t="shared" si="13"/>
        <v/>
      </c>
      <c r="N301" t="str">
        <f t="shared" ca="1" si="14"/>
        <v/>
      </c>
    </row>
    <row r="302" spans="10:14" x14ac:dyDescent="0.25">
      <c r="J302" t="str">
        <f t="shared" ca="1" si="12"/>
        <v/>
      </c>
      <c r="M302" s="13" t="str">
        <f t="shared" si="13"/>
        <v/>
      </c>
      <c r="N302" t="str">
        <f t="shared" ca="1" si="14"/>
        <v/>
      </c>
    </row>
    <row r="307" spans="1:1" x14ac:dyDescent="0.25">
      <c r="A307" s="3" t="s">
        <v>407</v>
      </c>
    </row>
  </sheetData>
  <conditionalFormatting sqref="J6:J303">
    <cfRule type="cellIs" dxfId="6" priority="2" operator="equal">
      <formula>"ACTION NEEDED"</formula>
    </cfRule>
    <cfRule type="cellIs" dxfId="5" priority="3" operator="equal">
      <formula>"EXPIRING SOON"</formula>
    </cfRule>
  </conditionalFormatting>
  <conditionalFormatting sqref="N6:N303">
    <cfRule type="cellIs" dxfId="4" priority="4" operator="greaterThanOrEqual">
      <formula>14</formula>
    </cfRule>
  </conditionalFormatting>
  <dataValidations count="3">
    <dataValidation type="list" allowBlank="1" sqref="B6:B499" xr:uid="{00000000-0002-0000-1000-000000000000}">
      <formula1>"Yes,No,TBD"</formula1>
      <formula2>0</formula2>
    </dataValidation>
    <dataValidation type="list" allowBlank="1" sqref="E6:E499" xr:uid="{00000000-0002-0000-1000-000001000000}">
      <formula1>"Not Started,Applied,Under Review,In Hand,Rejected,Expired"</formula1>
      <formula2>0</formula2>
    </dataValidation>
    <dataValidation type="list" allowBlank="1" sqref="L6:L499" xr:uid="{00000000-0002-0000-1000-000002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A1A1A"/>
    <pageSetUpPr fitToPage="1"/>
  </sheetPr>
  <dimension ref="A2:X307"/>
  <sheetViews>
    <sheetView showGridLines="0" zoomScaleNormal="100" workbookViewId="0">
      <pane ySplit="5" topLeftCell="A6" activePane="bottomLeft" state="frozen"/>
      <selection pane="bottomLeft" activeCell="A6" sqref="A6"/>
    </sheetView>
  </sheetViews>
  <sheetFormatPr defaultColWidth="8.7109375" defaultRowHeight="15" x14ac:dyDescent="0.25"/>
  <cols>
    <col min="1" max="1" width="11" customWidth="1"/>
    <col min="2" max="2" width="16" customWidth="1"/>
    <col min="3" max="3" width="24" customWidth="1"/>
    <col min="4" max="4" width="16" customWidth="1"/>
    <col min="5" max="5" width="10" customWidth="1"/>
    <col min="6" max="6" width="14" customWidth="1"/>
    <col min="7" max="7" width="12" customWidth="1"/>
    <col min="8" max="8" width="13" customWidth="1"/>
    <col min="9" max="9" width="14" customWidth="1"/>
    <col min="10" max="11" width="13" customWidth="1"/>
    <col min="12" max="12" width="22" customWidth="1"/>
    <col min="13" max="13" width="13" customWidth="1"/>
    <col min="14" max="14" width="24" customWidth="1"/>
    <col min="15" max="15" width="14" customWidth="1"/>
    <col min="16" max="16" width="12" customWidth="1"/>
    <col min="17" max="17" width="20" customWidth="1"/>
    <col min="18" max="19" width="14" customWidth="1"/>
    <col min="20" max="20" width="3" customWidth="1"/>
    <col min="21" max="21" width="18" customWidth="1"/>
    <col min="22" max="22" width="10" customWidth="1"/>
    <col min="23" max="23" width="20" customWidth="1"/>
    <col min="24" max="24" width="10" customWidth="1"/>
  </cols>
  <sheetData>
    <row r="2" spans="1:24" x14ac:dyDescent="0.25">
      <c r="B2" s="12" t="s">
        <v>393</v>
      </c>
      <c r="C2" t="str">
        <f>IF('Project Info'!C5="","",'Project Info'!C5)</f>
        <v>Norcross, GA</v>
      </c>
      <c r="U2" s="4" t="s">
        <v>408</v>
      </c>
      <c r="V2">
        <f>SUMPRODUCT((A6:A303&lt;&gt;"")*1)</f>
        <v>0</v>
      </c>
      <c r="W2" s="4" t="s">
        <v>409</v>
      </c>
      <c r="X2">
        <f ca="1">COUNTIF(M6:M303,"OVERDUE")</f>
        <v>0</v>
      </c>
    </row>
    <row r="3" spans="1:24" x14ac:dyDescent="0.25">
      <c r="B3" s="12" t="s">
        <v>410</v>
      </c>
      <c r="C3" t="str">
        <f>IF('Project Info'!C7="","",'Project Info'!C7)</f>
        <v>15170000GR</v>
      </c>
      <c r="U3" s="4" t="s">
        <v>411</v>
      </c>
      <c r="V3">
        <f>COUNTIF(F6:F303,"Not Ordered")</f>
        <v>0</v>
      </c>
      <c r="W3" s="4" t="s">
        <v>412</v>
      </c>
      <c r="X3">
        <f>COUNTIF(F6:F303,"Received")</f>
        <v>0</v>
      </c>
    </row>
    <row r="5" spans="1:24" ht="31.5" customHeight="1" x14ac:dyDescent="0.25">
      <c r="A5" s="18" t="s">
        <v>413</v>
      </c>
      <c r="B5" s="18" t="s">
        <v>414</v>
      </c>
      <c r="C5" s="18" t="s">
        <v>278</v>
      </c>
      <c r="D5" s="18" t="s">
        <v>415</v>
      </c>
      <c r="E5" s="18" t="s">
        <v>328</v>
      </c>
      <c r="F5" s="18" t="s">
        <v>416</v>
      </c>
      <c r="G5" s="18" t="s">
        <v>417</v>
      </c>
      <c r="H5" s="18" t="s">
        <v>418</v>
      </c>
      <c r="I5" s="18" t="s">
        <v>419</v>
      </c>
      <c r="J5" s="18" t="s">
        <v>420</v>
      </c>
      <c r="K5" s="18" t="s">
        <v>225</v>
      </c>
      <c r="L5" s="18" t="s">
        <v>405</v>
      </c>
      <c r="M5" s="18" t="s">
        <v>406</v>
      </c>
      <c r="N5" s="18" t="s">
        <v>226</v>
      </c>
      <c r="O5" s="18" t="s">
        <v>227</v>
      </c>
      <c r="P5" s="18" t="s">
        <v>421</v>
      </c>
      <c r="Q5" s="18" t="s">
        <v>422</v>
      </c>
      <c r="R5" s="18" t="s">
        <v>230</v>
      </c>
      <c r="S5" s="18" t="s">
        <v>231</v>
      </c>
    </row>
    <row r="6" spans="1:24" x14ac:dyDescent="0.25">
      <c r="M6" t="str">
        <f t="shared" ref="M6:M69" ca="1" si="0">IF(A6="","",IF(AND(F6&lt;&gt;"Received",F6&lt;&gt;"Cancelled",I6&lt;&gt;"",TODAY()&gt;I6),"OVERDUE",""))</f>
        <v/>
      </c>
      <c r="R6" s="13" t="str">
        <f t="shared" ref="R6:R69" si="1">IF(A6="","",MAX(H6+0,J6+0))</f>
        <v/>
      </c>
      <c r="S6" t="str">
        <f t="shared" ref="S6:S69" ca="1" si="2">IF(A6="","",IF(OR(F6="Received",F6="Cancelled"),"",TODAY()-R6))</f>
        <v/>
      </c>
    </row>
    <row r="7" spans="1:24" x14ac:dyDescent="0.25">
      <c r="M7" t="str">
        <f t="shared" ca="1" si="0"/>
        <v/>
      </c>
      <c r="R7" s="13" t="str">
        <f t="shared" si="1"/>
        <v/>
      </c>
      <c r="S7" t="str">
        <f t="shared" ca="1" si="2"/>
        <v/>
      </c>
    </row>
    <row r="8" spans="1:24" x14ac:dyDescent="0.25">
      <c r="M8" t="str">
        <f t="shared" ca="1" si="0"/>
        <v/>
      </c>
      <c r="R8" s="13" t="str">
        <f t="shared" si="1"/>
        <v/>
      </c>
      <c r="S8" t="str">
        <f t="shared" ca="1" si="2"/>
        <v/>
      </c>
    </row>
    <row r="9" spans="1:24" x14ac:dyDescent="0.25">
      <c r="M9" t="str">
        <f t="shared" ca="1" si="0"/>
        <v/>
      </c>
      <c r="R9" s="13" t="str">
        <f t="shared" si="1"/>
        <v/>
      </c>
      <c r="S9" t="str">
        <f t="shared" ca="1" si="2"/>
        <v/>
      </c>
    </row>
    <row r="10" spans="1:24" x14ac:dyDescent="0.25">
      <c r="M10" t="str">
        <f t="shared" ca="1" si="0"/>
        <v/>
      </c>
      <c r="R10" s="13" t="str">
        <f t="shared" si="1"/>
        <v/>
      </c>
      <c r="S10" t="str">
        <f t="shared" ca="1" si="2"/>
        <v/>
      </c>
    </row>
    <row r="11" spans="1:24" x14ac:dyDescent="0.25">
      <c r="M11" t="str">
        <f t="shared" ca="1" si="0"/>
        <v/>
      </c>
      <c r="R11" s="13" t="str">
        <f t="shared" si="1"/>
        <v/>
      </c>
      <c r="S11" t="str">
        <f t="shared" ca="1" si="2"/>
        <v/>
      </c>
    </row>
    <row r="12" spans="1:24" x14ac:dyDescent="0.25">
      <c r="M12" t="str">
        <f t="shared" ca="1" si="0"/>
        <v/>
      </c>
      <c r="R12" s="13" t="str">
        <f t="shared" si="1"/>
        <v/>
      </c>
      <c r="S12" t="str">
        <f t="shared" ca="1" si="2"/>
        <v/>
      </c>
    </row>
    <row r="13" spans="1:24" x14ac:dyDescent="0.25">
      <c r="M13" t="str">
        <f t="shared" ca="1" si="0"/>
        <v/>
      </c>
      <c r="R13" s="13" t="str">
        <f t="shared" si="1"/>
        <v/>
      </c>
      <c r="S13" t="str">
        <f t="shared" ca="1" si="2"/>
        <v/>
      </c>
    </row>
    <row r="14" spans="1:24" x14ac:dyDescent="0.25">
      <c r="M14" t="str">
        <f t="shared" ca="1" si="0"/>
        <v/>
      </c>
      <c r="R14" s="13" t="str">
        <f t="shared" si="1"/>
        <v/>
      </c>
      <c r="S14" t="str">
        <f t="shared" ca="1" si="2"/>
        <v/>
      </c>
    </row>
    <row r="15" spans="1:24" x14ac:dyDescent="0.25">
      <c r="M15" t="str">
        <f t="shared" ca="1" si="0"/>
        <v/>
      </c>
      <c r="R15" s="13" t="str">
        <f t="shared" si="1"/>
        <v/>
      </c>
      <c r="S15" t="str">
        <f t="shared" ca="1" si="2"/>
        <v/>
      </c>
    </row>
    <row r="16" spans="1:24" x14ac:dyDescent="0.25">
      <c r="M16" t="str">
        <f t="shared" ca="1" si="0"/>
        <v/>
      </c>
      <c r="R16" s="13" t="str">
        <f t="shared" si="1"/>
        <v/>
      </c>
      <c r="S16" t="str">
        <f t="shared" ca="1" si="2"/>
        <v/>
      </c>
    </row>
    <row r="17" spans="13:19" x14ac:dyDescent="0.25">
      <c r="M17" t="str">
        <f t="shared" ca="1" si="0"/>
        <v/>
      </c>
      <c r="R17" s="13" t="str">
        <f t="shared" si="1"/>
        <v/>
      </c>
      <c r="S17" t="str">
        <f t="shared" ca="1" si="2"/>
        <v/>
      </c>
    </row>
    <row r="18" spans="13:19" x14ac:dyDescent="0.25">
      <c r="M18" t="str">
        <f t="shared" ca="1" si="0"/>
        <v/>
      </c>
      <c r="R18" s="13" t="str">
        <f t="shared" si="1"/>
        <v/>
      </c>
      <c r="S18" t="str">
        <f t="shared" ca="1" si="2"/>
        <v/>
      </c>
    </row>
    <row r="19" spans="13:19" x14ac:dyDescent="0.25">
      <c r="M19" t="str">
        <f t="shared" ca="1" si="0"/>
        <v/>
      </c>
      <c r="R19" s="13" t="str">
        <f t="shared" si="1"/>
        <v/>
      </c>
      <c r="S19" t="str">
        <f t="shared" ca="1" si="2"/>
        <v/>
      </c>
    </row>
    <row r="20" spans="13:19" x14ac:dyDescent="0.25">
      <c r="M20" t="str">
        <f t="shared" ca="1" si="0"/>
        <v/>
      </c>
      <c r="R20" s="13" t="str">
        <f t="shared" si="1"/>
        <v/>
      </c>
      <c r="S20" t="str">
        <f t="shared" ca="1" si="2"/>
        <v/>
      </c>
    </row>
    <row r="21" spans="13:19" x14ac:dyDescent="0.25">
      <c r="M21" t="str">
        <f t="shared" ca="1" si="0"/>
        <v/>
      </c>
      <c r="R21" s="13" t="str">
        <f t="shared" si="1"/>
        <v/>
      </c>
      <c r="S21" t="str">
        <f t="shared" ca="1" si="2"/>
        <v/>
      </c>
    </row>
    <row r="22" spans="13:19" x14ac:dyDescent="0.25">
      <c r="M22" t="str">
        <f t="shared" ca="1" si="0"/>
        <v/>
      </c>
      <c r="R22" s="13" t="str">
        <f t="shared" si="1"/>
        <v/>
      </c>
      <c r="S22" t="str">
        <f t="shared" ca="1" si="2"/>
        <v/>
      </c>
    </row>
    <row r="23" spans="13:19" x14ac:dyDescent="0.25">
      <c r="M23" t="str">
        <f t="shared" ca="1" si="0"/>
        <v/>
      </c>
      <c r="R23" s="13" t="str">
        <f t="shared" si="1"/>
        <v/>
      </c>
      <c r="S23" t="str">
        <f t="shared" ca="1" si="2"/>
        <v/>
      </c>
    </row>
    <row r="24" spans="13:19" x14ac:dyDescent="0.25">
      <c r="M24" t="str">
        <f t="shared" ca="1" si="0"/>
        <v/>
      </c>
      <c r="R24" s="13" t="str">
        <f t="shared" si="1"/>
        <v/>
      </c>
      <c r="S24" t="str">
        <f t="shared" ca="1" si="2"/>
        <v/>
      </c>
    </row>
    <row r="25" spans="13:19" x14ac:dyDescent="0.25">
      <c r="M25" t="str">
        <f t="shared" ca="1" si="0"/>
        <v/>
      </c>
      <c r="R25" s="13" t="str">
        <f t="shared" si="1"/>
        <v/>
      </c>
      <c r="S25" t="str">
        <f t="shared" ca="1" si="2"/>
        <v/>
      </c>
    </row>
    <row r="26" spans="13:19" x14ac:dyDescent="0.25">
      <c r="M26" t="str">
        <f t="shared" ca="1" si="0"/>
        <v/>
      </c>
      <c r="R26" s="13" t="str">
        <f t="shared" si="1"/>
        <v/>
      </c>
      <c r="S26" t="str">
        <f t="shared" ca="1" si="2"/>
        <v/>
      </c>
    </row>
    <row r="27" spans="13:19" x14ac:dyDescent="0.25">
      <c r="M27" t="str">
        <f t="shared" ca="1" si="0"/>
        <v/>
      </c>
      <c r="R27" s="13" t="str">
        <f t="shared" si="1"/>
        <v/>
      </c>
      <c r="S27" t="str">
        <f t="shared" ca="1" si="2"/>
        <v/>
      </c>
    </row>
    <row r="28" spans="13:19" x14ac:dyDescent="0.25">
      <c r="M28" t="str">
        <f t="shared" ca="1" si="0"/>
        <v/>
      </c>
      <c r="R28" s="13" t="str">
        <f t="shared" si="1"/>
        <v/>
      </c>
      <c r="S28" t="str">
        <f t="shared" ca="1" si="2"/>
        <v/>
      </c>
    </row>
    <row r="29" spans="13:19" x14ac:dyDescent="0.25">
      <c r="M29" t="str">
        <f t="shared" ca="1" si="0"/>
        <v/>
      </c>
      <c r="R29" s="13" t="str">
        <f t="shared" si="1"/>
        <v/>
      </c>
      <c r="S29" t="str">
        <f t="shared" ca="1" si="2"/>
        <v/>
      </c>
    </row>
    <row r="30" spans="13:19" x14ac:dyDescent="0.25">
      <c r="M30" t="str">
        <f t="shared" ca="1" si="0"/>
        <v/>
      </c>
      <c r="R30" s="13" t="str">
        <f t="shared" si="1"/>
        <v/>
      </c>
      <c r="S30" t="str">
        <f t="shared" ca="1" si="2"/>
        <v/>
      </c>
    </row>
    <row r="31" spans="13:19" x14ac:dyDescent="0.25">
      <c r="M31" t="str">
        <f t="shared" ca="1" si="0"/>
        <v/>
      </c>
      <c r="R31" s="13" t="str">
        <f t="shared" si="1"/>
        <v/>
      </c>
      <c r="S31" t="str">
        <f t="shared" ca="1" si="2"/>
        <v/>
      </c>
    </row>
    <row r="32" spans="13:19" x14ac:dyDescent="0.25">
      <c r="M32" t="str">
        <f t="shared" ca="1" si="0"/>
        <v/>
      </c>
      <c r="R32" s="13" t="str">
        <f t="shared" si="1"/>
        <v/>
      </c>
      <c r="S32" t="str">
        <f t="shared" ca="1" si="2"/>
        <v/>
      </c>
    </row>
    <row r="33" spans="13:19" x14ac:dyDescent="0.25">
      <c r="M33" t="str">
        <f t="shared" ca="1" si="0"/>
        <v/>
      </c>
      <c r="R33" s="13" t="str">
        <f t="shared" si="1"/>
        <v/>
      </c>
      <c r="S33" t="str">
        <f t="shared" ca="1" si="2"/>
        <v/>
      </c>
    </row>
    <row r="34" spans="13:19" x14ac:dyDescent="0.25">
      <c r="M34" t="str">
        <f t="shared" ca="1" si="0"/>
        <v/>
      </c>
      <c r="R34" s="13" t="str">
        <f t="shared" si="1"/>
        <v/>
      </c>
      <c r="S34" t="str">
        <f t="shared" ca="1" si="2"/>
        <v/>
      </c>
    </row>
    <row r="35" spans="13:19" x14ac:dyDescent="0.25">
      <c r="M35" t="str">
        <f t="shared" ca="1" si="0"/>
        <v/>
      </c>
      <c r="R35" s="13" t="str">
        <f t="shared" si="1"/>
        <v/>
      </c>
      <c r="S35" t="str">
        <f t="shared" ca="1" si="2"/>
        <v/>
      </c>
    </row>
    <row r="36" spans="13:19" x14ac:dyDescent="0.25">
      <c r="M36" t="str">
        <f t="shared" ca="1" si="0"/>
        <v/>
      </c>
      <c r="R36" s="13" t="str">
        <f t="shared" si="1"/>
        <v/>
      </c>
      <c r="S36" t="str">
        <f t="shared" ca="1" si="2"/>
        <v/>
      </c>
    </row>
    <row r="37" spans="13:19" x14ac:dyDescent="0.25">
      <c r="M37" t="str">
        <f t="shared" ca="1" si="0"/>
        <v/>
      </c>
      <c r="R37" s="13" t="str">
        <f t="shared" si="1"/>
        <v/>
      </c>
      <c r="S37" t="str">
        <f t="shared" ca="1" si="2"/>
        <v/>
      </c>
    </row>
    <row r="38" spans="13:19" x14ac:dyDescent="0.25">
      <c r="M38" t="str">
        <f t="shared" ca="1" si="0"/>
        <v/>
      </c>
      <c r="R38" s="13" t="str">
        <f t="shared" si="1"/>
        <v/>
      </c>
      <c r="S38" t="str">
        <f t="shared" ca="1" si="2"/>
        <v/>
      </c>
    </row>
    <row r="39" spans="13:19" x14ac:dyDescent="0.25">
      <c r="M39" t="str">
        <f t="shared" ca="1" si="0"/>
        <v/>
      </c>
      <c r="R39" s="13" t="str">
        <f t="shared" si="1"/>
        <v/>
      </c>
      <c r="S39" t="str">
        <f t="shared" ca="1" si="2"/>
        <v/>
      </c>
    </row>
    <row r="40" spans="13:19" x14ac:dyDescent="0.25">
      <c r="M40" t="str">
        <f t="shared" ca="1" si="0"/>
        <v/>
      </c>
      <c r="R40" s="13" t="str">
        <f t="shared" si="1"/>
        <v/>
      </c>
      <c r="S40" t="str">
        <f t="shared" ca="1" si="2"/>
        <v/>
      </c>
    </row>
    <row r="41" spans="13:19" x14ac:dyDescent="0.25">
      <c r="M41" t="str">
        <f t="shared" ca="1" si="0"/>
        <v/>
      </c>
      <c r="R41" s="13" t="str">
        <f t="shared" si="1"/>
        <v/>
      </c>
      <c r="S41" t="str">
        <f t="shared" ca="1" si="2"/>
        <v/>
      </c>
    </row>
    <row r="42" spans="13:19" x14ac:dyDescent="0.25">
      <c r="M42" t="str">
        <f t="shared" ca="1" si="0"/>
        <v/>
      </c>
      <c r="R42" s="13" t="str">
        <f t="shared" si="1"/>
        <v/>
      </c>
      <c r="S42" t="str">
        <f t="shared" ca="1" si="2"/>
        <v/>
      </c>
    </row>
    <row r="43" spans="13:19" x14ac:dyDescent="0.25">
      <c r="M43" t="str">
        <f t="shared" ca="1" si="0"/>
        <v/>
      </c>
      <c r="R43" s="13" t="str">
        <f t="shared" si="1"/>
        <v/>
      </c>
      <c r="S43" t="str">
        <f t="shared" ca="1" si="2"/>
        <v/>
      </c>
    </row>
    <row r="44" spans="13:19" x14ac:dyDescent="0.25">
      <c r="M44" t="str">
        <f t="shared" ca="1" si="0"/>
        <v/>
      </c>
      <c r="R44" s="13" t="str">
        <f t="shared" si="1"/>
        <v/>
      </c>
      <c r="S44" t="str">
        <f t="shared" ca="1" si="2"/>
        <v/>
      </c>
    </row>
    <row r="45" spans="13:19" x14ac:dyDescent="0.25">
      <c r="M45" t="str">
        <f t="shared" ca="1" si="0"/>
        <v/>
      </c>
      <c r="R45" s="13" t="str">
        <f t="shared" si="1"/>
        <v/>
      </c>
      <c r="S45" t="str">
        <f t="shared" ca="1" si="2"/>
        <v/>
      </c>
    </row>
    <row r="46" spans="13:19" x14ac:dyDescent="0.25">
      <c r="M46" t="str">
        <f t="shared" ca="1" si="0"/>
        <v/>
      </c>
      <c r="R46" s="13" t="str">
        <f t="shared" si="1"/>
        <v/>
      </c>
      <c r="S46" t="str">
        <f t="shared" ca="1" si="2"/>
        <v/>
      </c>
    </row>
    <row r="47" spans="13:19" x14ac:dyDescent="0.25">
      <c r="M47" t="str">
        <f t="shared" ca="1" si="0"/>
        <v/>
      </c>
      <c r="R47" s="13" t="str">
        <f t="shared" si="1"/>
        <v/>
      </c>
      <c r="S47" t="str">
        <f t="shared" ca="1" si="2"/>
        <v/>
      </c>
    </row>
    <row r="48" spans="13:19" x14ac:dyDescent="0.25">
      <c r="M48" t="str">
        <f t="shared" ca="1" si="0"/>
        <v/>
      </c>
      <c r="R48" s="13" t="str">
        <f t="shared" si="1"/>
        <v/>
      </c>
      <c r="S48" t="str">
        <f t="shared" ca="1" si="2"/>
        <v/>
      </c>
    </row>
    <row r="49" spans="13:19" x14ac:dyDescent="0.25">
      <c r="M49" t="str">
        <f t="shared" ca="1" si="0"/>
        <v/>
      </c>
      <c r="R49" s="13" t="str">
        <f t="shared" si="1"/>
        <v/>
      </c>
      <c r="S49" t="str">
        <f t="shared" ca="1" si="2"/>
        <v/>
      </c>
    </row>
    <row r="50" spans="13:19" x14ac:dyDescent="0.25">
      <c r="M50" t="str">
        <f t="shared" ca="1" si="0"/>
        <v/>
      </c>
      <c r="R50" s="13" t="str">
        <f t="shared" si="1"/>
        <v/>
      </c>
      <c r="S50" t="str">
        <f t="shared" ca="1" si="2"/>
        <v/>
      </c>
    </row>
    <row r="51" spans="13:19" x14ac:dyDescent="0.25">
      <c r="M51" t="str">
        <f t="shared" ca="1" si="0"/>
        <v/>
      </c>
      <c r="R51" s="13" t="str">
        <f t="shared" si="1"/>
        <v/>
      </c>
      <c r="S51" t="str">
        <f t="shared" ca="1" si="2"/>
        <v/>
      </c>
    </row>
    <row r="52" spans="13:19" x14ac:dyDescent="0.25">
      <c r="M52" t="str">
        <f t="shared" ca="1" si="0"/>
        <v/>
      </c>
      <c r="R52" s="13" t="str">
        <f t="shared" si="1"/>
        <v/>
      </c>
      <c r="S52" t="str">
        <f t="shared" ca="1" si="2"/>
        <v/>
      </c>
    </row>
    <row r="53" spans="13:19" x14ac:dyDescent="0.25">
      <c r="M53" t="str">
        <f t="shared" ca="1" si="0"/>
        <v/>
      </c>
      <c r="R53" s="13" t="str">
        <f t="shared" si="1"/>
        <v/>
      </c>
      <c r="S53" t="str">
        <f t="shared" ca="1" si="2"/>
        <v/>
      </c>
    </row>
    <row r="54" spans="13:19" x14ac:dyDescent="0.25">
      <c r="M54" t="str">
        <f t="shared" ca="1" si="0"/>
        <v/>
      </c>
      <c r="R54" s="13" t="str">
        <f t="shared" si="1"/>
        <v/>
      </c>
      <c r="S54" t="str">
        <f t="shared" ca="1" si="2"/>
        <v/>
      </c>
    </row>
    <row r="55" spans="13:19" x14ac:dyDescent="0.25">
      <c r="M55" t="str">
        <f t="shared" ca="1" si="0"/>
        <v/>
      </c>
      <c r="R55" s="13" t="str">
        <f t="shared" si="1"/>
        <v/>
      </c>
      <c r="S55" t="str">
        <f t="shared" ca="1" si="2"/>
        <v/>
      </c>
    </row>
    <row r="56" spans="13:19" x14ac:dyDescent="0.25">
      <c r="M56" t="str">
        <f t="shared" ca="1" si="0"/>
        <v/>
      </c>
      <c r="R56" s="13" t="str">
        <f t="shared" si="1"/>
        <v/>
      </c>
      <c r="S56" t="str">
        <f t="shared" ca="1" si="2"/>
        <v/>
      </c>
    </row>
    <row r="57" spans="13:19" x14ac:dyDescent="0.25">
      <c r="M57" t="str">
        <f t="shared" ca="1" si="0"/>
        <v/>
      </c>
      <c r="R57" s="13" t="str">
        <f t="shared" si="1"/>
        <v/>
      </c>
      <c r="S57" t="str">
        <f t="shared" ca="1" si="2"/>
        <v/>
      </c>
    </row>
    <row r="58" spans="13:19" x14ac:dyDescent="0.25">
      <c r="M58" t="str">
        <f t="shared" ca="1" si="0"/>
        <v/>
      </c>
      <c r="R58" s="13" t="str">
        <f t="shared" si="1"/>
        <v/>
      </c>
      <c r="S58" t="str">
        <f t="shared" ca="1" si="2"/>
        <v/>
      </c>
    </row>
    <row r="59" spans="13:19" x14ac:dyDescent="0.25">
      <c r="M59" t="str">
        <f t="shared" ca="1" si="0"/>
        <v/>
      </c>
      <c r="R59" s="13" t="str">
        <f t="shared" si="1"/>
        <v/>
      </c>
      <c r="S59" t="str">
        <f t="shared" ca="1" si="2"/>
        <v/>
      </c>
    </row>
    <row r="60" spans="13:19" x14ac:dyDescent="0.25">
      <c r="M60" t="str">
        <f t="shared" ca="1" si="0"/>
        <v/>
      </c>
      <c r="R60" s="13" t="str">
        <f t="shared" si="1"/>
        <v/>
      </c>
      <c r="S60" t="str">
        <f t="shared" ca="1" si="2"/>
        <v/>
      </c>
    </row>
    <row r="61" spans="13:19" x14ac:dyDescent="0.25">
      <c r="M61" t="str">
        <f t="shared" ca="1" si="0"/>
        <v/>
      </c>
      <c r="R61" s="13" t="str">
        <f t="shared" si="1"/>
        <v/>
      </c>
      <c r="S61" t="str">
        <f t="shared" ca="1" si="2"/>
        <v/>
      </c>
    </row>
    <row r="62" spans="13:19" x14ac:dyDescent="0.25">
      <c r="M62" t="str">
        <f t="shared" ca="1" si="0"/>
        <v/>
      </c>
      <c r="R62" s="13" t="str">
        <f t="shared" si="1"/>
        <v/>
      </c>
      <c r="S62" t="str">
        <f t="shared" ca="1" si="2"/>
        <v/>
      </c>
    </row>
    <row r="63" spans="13:19" x14ac:dyDescent="0.25">
      <c r="M63" t="str">
        <f t="shared" ca="1" si="0"/>
        <v/>
      </c>
      <c r="R63" s="13" t="str">
        <f t="shared" si="1"/>
        <v/>
      </c>
      <c r="S63" t="str">
        <f t="shared" ca="1" si="2"/>
        <v/>
      </c>
    </row>
    <row r="64" spans="13:19" x14ac:dyDescent="0.25">
      <c r="M64" t="str">
        <f t="shared" ca="1" si="0"/>
        <v/>
      </c>
      <c r="R64" s="13" t="str">
        <f t="shared" si="1"/>
        <v/>
      </c>
      <c r="S64" t="str">
        <f t="shared" ca="1" si="2"/>
        <v/>
      </c>
    </row>
    <row r="65" spans="13:19" x14ac:dyDescent="0.25">
      <c r="M65" t="str">
        <f t="shared" ca="1" si="0"/>
        <v/>
      </c>
      <c r="R65" s="13" t="str">
        <f t="shared" si="1"/>
        <v/>
      </c>
      <c r="S65" t="str">
        <f t="shared" ca="1" si="2"/>
        <v/>
      </c>
    </row>
    <row r="66" spans="13:19" x14ac:dyDescent="0.25">
      <c r="M66" t="str">
        <f t="shared" ca="1" si="0"/>
        <v/>
      </c>
      <c r="R66" s="13" t="str">
        <f t="shared" si="1"/>
        <v/>
      </c>
      <c r="S66" t="str">
        <f t="shared" ca="1" si="2"/>
        <v/>
      </c>
    </row>
    <row r="67" spans="13:19" x14ac:dyDescent="0.25">
      <c r="M67" t="str">
        <f t="shared" ca="1" si="0"/>
        <v/>
      </c>
      <c r="R67" s="13" t="str">
        <f t="shared" si="1"/>
        <v/>
      </c>
      <c r="S67" t="str">
        <f t="shared" ca="1" si="2"/>
        <v/>
      </c>
    </row>
    <row r="68" spans="13:19" x14ac:dyDescent="0.25">
      <c r="M68" t="str">
        <f t="shared" ca="1" si="0"/>
        <v/>
      </c>
      <c r="R68" s="13" t="str">
        <f t="shared" si="1"/>
        <v/>
      </c>
      <c r="S68" t="str">
        <f t="shared" ca="1" si="2"/>
        <v/>
      </c>
    </row>
    <row r="69" spans="13:19" x14ac:dyDescent="0.25">
      <c r="M69" t="str">
        <f t="shared" ca="1" si="0"/>
        <v/>
      </c>
      <c r="R69" s="13" t="str">
        <f t="shared" si="1"/>
        <v/>
      </c>
      <c r="S69" t="str">
        <f t="shared" ca="1" si="2"/>
        <v/>
      </c>
    </row>
    <row r="70" spans="13:19" x14ac:dyDescent="0.25">
      <c r="M70" t="str">
        <f t="shared" ref="M70:M133" ca="1" si="3">IF(A70="","",IF(AND(F70&lt;&gt;"Received",F70&lt;&gt;"Cancelled",I70&lt;&gt;"",TODAY()&gt;I70),"OVERDUE",""))</f>
        <v/>
      </c>
      <c r="R70" s="13" t="str">
        <f t="shared" ref="R70:R133" si="4">IF(A70="","",MAX(H70+0,J70+0))</f>
        <v/>
      </c>
      <c r="S70" t="str">
        <f t="shared" ref="S70:S133" ca="1" si="5">IF(A70="","",IF(OR(F70="Received",F70="Cancelled"),"",TODAY()-R70))</f>
        <v/>
      </c>
    </row>
    <row r="71" spans="13:19" x14ac:dyDescent="0.25">
      <c r="M71" t="str">
        <f t="shared" ca="1" si="3"/>
        <v/>
      </c>
      <c r="R71" s="13" t="str">
        <f t="shared" si="4"/>
        <v/>
      </c>
      <c r="S71" t="str">
        <f t="shared" ca="1" si="5"/>
        <v/>
      </c>
    </row>
    <row r="72" spans="13:19" x14ac:dyDescent="0.25">
      <c r="M72" t="str">
        <f t="shared" ca="1" si="3"/>
        <v/>
      </c>
      <c r="R72" s="13" t="str">
        <f t="shared" si="4"/>
        <v/>
      </c>
      <c r="S72" t="str">
        <f t="shared" ca="1" si="5"/>
        <v/>
      </c>
    </row>
    <row r="73" spans="13:19" x14ac:dyDescent="0.25">
      <c r="M73" t="str">
        <f t="shared" ca="1" si="3"/>
        <v/>
      </c>
      <c r="R73" s="13" t="str">
        <f t="shared" si="4"/>
        <v/>
      </c>
      <c r="S73" t="str">
        <f t="shared" ca="1" si="5"/>
        <v/>
      </c>
    </row>
    <row r="74" spans="13:19" x14ac:dyDescent="0.25">
      <c r="M74" t="str">
        <f t="shared" ca="1" si="3"/>
        <v/>
      </c>
      <c r="R74" s="13" t="str">
        <f t="shared" si="4"/>
        <v/>
      </c>
      <c r="S74" t="str">
        <f t="shared" ca="1" si="5"/>
        <v/>
      </c>
    </row>
    <row r="75" spans="13:19" x14ac:dyDescent="0.25">
      <c r="M75" t="str">
        <f t="shared" ca="1" si="3"/>
        <v/>
      </c>
      <c r="R75" s="13" t="str">
        <f t="shared" si="4"/>
        <v/>
      </c>
      <c r="S75" t="str">
        <f t="shared" ca="1" si="5"/>
        <v/>
      </c>
    </row>
    <row r="76" spans="13:19" x14ac:dyDescent="0.25">
      <c r="M76" t="str">
        <f t="shared" ca="1" si="3"/>
        <v/>
      </c>
      <c r="R76" s="13" t="str">
        <f t="shared" si="4"/>
        <v/>
      </c>
      <c r="S76" t="str">
        <f t="shared" ca="1" si="5"/>
        <v/>
      </c>
    </row>
    <row r="77" spans="13:19" x14ac:dyDescent="0.25">
      <c r="M77" t="str">
        <f t="shared" ca="1" si="3"/>
        <v/>
      </c>
      <c r="R77" s="13" t="str">
        <f t="shared" si="4"/>
        <v/>
      </c>
      <c r="S77" t="str">
        <f t="shared" ca="1" si="5"/>
        <v/>
      </c>
    </row>
    <row r="78" spans="13:19" x14ac:dyDescent="0.25">
      <c r="M78" t="str">
        <f t="shared" ca="1" si="3"/>
        <v/>
      </c>
      <c r="R78" s="13" t="str">
        <f t="shared" si="4"/>
        <v/>
      </c>
      <c r="S78" t="str">
        <f t="shared" ca="1" si="5"/>
        <v/>
      </c>
    </row>
    <row r="79" spans="13:19" x14ac:dyDescent="0.25">
      <c r="M79" t="str">
        <f t="shared" ca="1" si="3"/>
        <v/>
      </c>
      <c r="R79" s="13" t="str">
        <f t="shared" si="4"/>
        <v/>
      </c>
      <c r="S79" t="str">
        <f t="shared" ca="1" si="5"/>
        <v/>
      </c>
    </row>
    <row r="80" spans="13:19" x14ac:dyDescent="0.25">
      <c r="M80" t="str">
        <f t="shared" ca="1" si="3"/>
        <v/>
      </c>
      <c r="R80" s="13" t="str">
        <f t="shared" si="4"/>
        <v/>
      </c>
      <c r="S80" t="str">
        <f t="shared" ca="1" si="5"/>
        <v/>
      </c>
    </row>
    <row r="81" spans="13:19" x14ac:dyDescent="0.25">
      <c r="M81" t="str">
        <f t="shared" ca="1" si="3"/>
        <v/>
      </c>
      <c r="R81" s="13" t="str">
        <f t="shared" si="4"/>
        <v/>
      </c>
      <c r="S81" t="str">
        <f t="shared" ca="1" si="5"/>
        <v/>
      </c>
    </row>
    <row r="82" spans="13:19" x14ac:dyDescent="0.25">
      <c r="M82" t="str">
        <f t="shared" ca="1" si="3"/>
        <v/>
      </c>
      <c r="R82" s="13" t="str">
        <f t="shared" si="4"/>
        <v/>
      </c>
      <c r="S82" t="str">
        <f t="shared" ca="1" si="5"/>
        <v/>
      </c>
    </row>
    <row r="83" spans="13:19" x14ac:dyDescent="0.25">
      <c r="M83" t="str">
        <f t="shared" ca="1" si="3"/>
        <v/>
      </c>
      <c r="R83" s="13" t="str">
        <f t="shared" si="4"/>
        <v/>
      </c>
      <c r="S83" t="str">
        <f t="shared" ca="1" si="5"/>
        <v/>
      </c>
    </row>
    <row r="84" spans="13:19" x14ac:dyDescent="0.25">
      <c r="M84" t="str">
        <f t="shared" ca="1" si="3"/>
        <v/>
      </c>
      <c r="R84" s="13" t="str">
        <f t="shared" si="4"/>
        <v/>
      </c>
      <c r="S84" t="str">
        <f t="shared" ca="1" si="5"/>
        <v/>
      </c>
    </row>
    <row r="85" spans="13:19" x14ac:dyDescent="0.25">
      <c r="M85" t="str">
        <f t="shared" ca="1" si="3"/>
        <v/>
      </c>
      <c r="R85" s="13" t="str">
        <f t="shared" si="4"/>
        <v/>
      </c>
      <c r="S85" t="str">
        <f t="shared" ca="1" si="5"/>
        <v/>
      </c>
    </row>
    <row r="86" spans="13:19" x14ac:dyDescent="0.25">
      <c r="M86" t="str">
        <f t="shared" ca="1" si="3"/>
        <v/>
      </c>
      <c r="R86" s="13" t="str">
        <f t="shared" si="4"/>
        <v/>
      </c>
      <c r="S86" t="str">
        <f t="shared" ca="1" si="5"/>
        <v/>
      </c>
    </row>
    <row r="87" spans="13:19" x14ac:dyDescent="0.25">
      <c r="M87" t="str">
        <f t="shared" ca="1" si="3"/>
        <v/>
      </c>
      <c r="R87" s="13" t="str">
        <f t="shared" si="4"/>
        <v/>
      </c>
      <c r="S87" t="str">
        <f t="shared" ca="1" si="5"/>
        <v/>
      </c>
    </row>
    <row r="88" spans="13:19" x14ac:dyDescent="0.25">
      <c r="M88" t="str">
        <f t="shared" ca="1" si="3"/>
        <v/>
      </c>
      <c r="R88" s="13" t="str">
        <f t="shared" si="4"/>
        <v/>
      </c>
      <c r="S88" t="str">
        <f t="shared" ca="1" si="5"/>
        <v/>
      </c>
    </row>
    <row r="89" spans="13:19" x14ac:dyDescent="0.25">
      <c r="M89" t="str">
        <f t="shared" ca="1" si="3"/>
        <v/>
      </c>
      <c r="R89" s="13" t="str">
        <f t="shared" si="4"/>
        <v/>
      </c>
      <c r="S89" t="str">
        <f t="shared" ca="1" si="5"/>
        <v/>
      </c>
    </row>
    <row r="90" spans="13:19" x14ac:dyDescent="0.25">
      <c r="M90" t="str">
        <f t="shared" ca="1" si="3"/>
        <v/>
      </c>
      <c r="R90" s="13" t="str">
        <f t="shared" si="4"/>
        <v/>
      </c>
      <c r="S90" t="str">
        <f t="shared" ca="1" si="5"/>
        <v/>
      </c>
    </row>
    <row r="91" spans="13:19" x14ac:dyDescent="0.25">
      <c r="M91" t="str">
        <f t="shared" ca="1" si="3"/>
        <v/>
      </c>
      <c r="R91" s="13" t="str">
        <f t="shared" si="4"/>
        <v/>
      </c>
      <c r="S91" t="str">
        <f t="shared" ca="1" si="5"/>
        <v/>
      </c>
    </row>
    <row r="92" spans="13:19" x14ac:dyDescent="0.25">
      <c r="M92" t="str">
        <f t="shared" ca="1" si="3"/>
        <v/>
      </c>
      <c r="R92" s="13" t="str">
        <f t="shared" si="4"/>
        <v/>
      </c>
      <c r="S92" t="str">
        <f t="shared" ca="1" si="5"/>
        <v/>
      </c>
    </row>
    <row r="93" spans="13:19" x14ac:dyDescent="0.25">
      <c r="M93" t="str">
        <f t="shared" ca="1" si="3"/>
        <v/>
      </c>
      <c r="R93" s="13" t="str">
        <f t="shared" si="4"/>
        <v/>
      </c>
      <c r="S93" t="str">
        <f t="shared" ca="1" si="5"/>
        <v/>
      </c>
    </row>
    <row r="94" spans="13:19" x14ac:dyDescent="0.25">
      <c r="M94" t="str">
        <f t="shared" ca="1" si="3"/>
        <v/>
      </c>
      <c r="R94" s="13" t="str">
        <f t="shared" si="4"/>
        <v/>
      </c>
      <c r="S94" t="str">
        <f t="shared" ca="1" si="5"/>
        <v/>
      </c>
    </row>
    <row r="95" spans="13:19" x14ac:dyDescent="0.25">
      <c r="M95" t="str">
        <f t="shared" ca="1" si="3"/>
        <v/>
      </c>
      <c r="R95" s="13" t="str">
        <f t="shared" si="4"/>
        <v/>
      </c>
      <c r="S95" t="str">
        <f t="shared" ca="1" si="5"/>
        <v/>
      </c>
    </row>
    <row r="96" spans="13:19" x14ac:dyDescent="0.25">
      <c r="M96" t="str">
        <f t="shared" ca="1" si="3"/>
        <v/>
      </c>
      <c r="R96" s="13" t="str">
        <f t="shared" si="4"/>
        <v/>
      </c>
      <c r="S96" t="str">
        <f t="shared" ca="1" si="5"/>
        <v/>
      </c>
    </row>
    <row r="97" spans="13:19" x14ac:dyDescent="0.25">
      <c r="M97" t="str">
        <f t="shared" ca="1" si="3"/>
        <v/>
      </c>
      <c r="R97" s="13" t="str">
        <f t="shared" si="4"/>
        <v/>
      </c>
      <c r="S97" t="str">
        <f t="shared" ca="1" si="5"/>
        <v/>
      </c>
    </row>
    <row r="98" spans="13:19" x14ac:dyDescent="0.25">
      <c r="M98" t="str">
        <f t="shared" ca="1" si="3"/>
        <v/>
      </c>
      <c r="R98" s="13" t="str">
        <f t="shared" si="4"/>
        <v/>
      </c>
      <c r="S98" t="str">
        <f t="shared" ca="1" si="5"/>
        <v/>
      </c>
    </row>
    <row r="99" spans="13:19" x14ac:dyDescent="0.25">
      <c r="M99" t="str">
        <f t="shared" ca="1" si="3"/>
        <v/>
      </c>
      <c r="R99" s="13" t="str">
        <f t="shared" si="4"/>
        <v/>
      </c>
      <c r="S99" t="str">
        <f t="shared" ca="1" si="5"/>
        <v/>
      </c>
    </row>
    <row r="100" spans="13:19" x14ac:dyDescent="0.25">
      <c r="M100" t="str">
        <f t="shared" ca="1" si="3"/>
        <v/>
      </c>
      <c r="R100" s="13" t="str">
        <f t="shared" si="4"/>
        <v/>
      </c>
      <c r="S100" t="str">
        <f t="shared" ca="1" si="5"/>
        <v/>
      </c>
    </row>
    <row r="101" spans="13:19" x14ac:dyDescent="0.25">
      <c r="M101" t="str">
        <f t="shared" ca="1" si="3"/>
        <v/>
      </c>
      <c r="R101" s="13" t="str">
        <f t="shared" si="4"/>
        <v/>
      </c>
      <c r="S101" t="str">
        <f t="shared" ca="1" si="5"/>
        <v/>
      </c>
    </row>
    <row r="102" spans="13:19" x14ac:dyDescent="0.25">
      <c r="M102" t="str">
        <f t="shared" ca="1" si="3"/>
        <v/>
      </c>
      <c r="R102" s="13" t="str">
        <f t="shared" si="4"/>
        <v/>
      </c>
      <c r="S102" t="str">
        <f t="shared" ca="1" si="5"/>
        <v/>
      </c>
    </row>
    <row r="103" spans="13:19" x14ac:dyDescent="0.25">
      <c r="M103" t="str">
        <f t="shared" ca="1" si="3"/>
        <v/>
      </c>
      <c r="R103" s="13" t="str">
        <f t="shared" si="4"/>
        <v/>
      </c>
      <c r="S103" t="str">
        <f t="shared" ca="1" si="5"/>
        <v/>
      </c>
    </row>
    <row r="104" spans="13:19" x14ac:dyDescent="0.25">
      <c r="M104" t="str">
        <f t="shared" ca="1" si="3"/>
        <v/>
      </c>
      <c r="R104" s="13" t="str">
        <f t="shared" si="4"/>
        <v/>
      </c>
      <c r="S104" t="str">
        <f t="shared" ca="1" si="5"/>
        <v/>
      </c>
    </row>
    <row r="105" spans="13:19" x14ac:dyDescent="0.25">
      <c r="M105" t="str">
        <f t="shared" ca="1" si="3"/>
        <v/>
      </c>
      <c r="R105" s="13" t="str">
        <f t="shared" si="4"/>
        <v/>
      </c>
      <c r="S105" t="str">
        <f t="shared" ca="1" si="5"/>
        <v/>
      </c>
    </row>
    <row r="106" spans="13:19" x14ac:dyDescent="0.25">
      <c r="M106" t="str">
        <f t="shared" ca="1" si="3"/>
        <v/>
      </c>
      <c r="R106" s="13" t="str">
        <f t="shared" si="4"/>
        <v/>
      </c>
      <c r="S106" t="str">
        <f t="shared" ca="1" si="5"/>
        <v/>
      </c>
    </row>
    <row r="107" spans="13:19" x14ac:dyDescent="0.25">
      <c r="M107" t="str">
        <f t="shared" ca="1" si="3"/>
        <v/>
      </c>
      <c r="R107" s="13" t="str">
        <f t="shared" si="4"/>
        <v/>
      </c>
      <c r="S107" t="str">
        <f t="shared" ca="1" si="5"/>
        <v/>
      </c>
    </row>
    <row r="108" spans="13:19" x14ac:dyDescent="0.25">
      <c r="M108" t="str">
        <f t="shared" ca="1" si="3"/>
        <v/>
      </c>
      <c r="R108" s="13" t="str">
        <f t="shared" si="4"/>
        <v/>
      </c>
      <c r="S108" t="str">
        <f t="shared" ca="1" si="5"/>
        <v/>
      </c>
    </row>
    <row r="109" spans="13:19" x14ac:dyDescent="0.25">
      <c r="M109" t="str">
        <f t="shared" ca="1" si="3"/>
        <v/>
      </c>
      <c r="R109" s="13" t="str">
        <f t="shared" si="4"/>
        <v/>
      </c>
      <c r="S109" t="str">
        <f t="shared" ca="1" si="5"/>
        <v/>
      </c>
    </row>
    <row r="110" spans="13:19" x14ac:dyDescent="0.25">
      <c r="M110" t="str">
        <f t="shared" ca="1" si="3"/>
        <v/>
      </c>
      <c r="R110" s="13" t="str">
        <f t="shared" si="4"/>
        <v/>
      </c>
      <c r="S110" t="str">
        <f t="shared" ca="1" si="5"/>
        <v/>
      </c>
    </row>
    <row r="111" spans="13:19" x14ac:dyDescent="0.25">
      <c r="M111" t="str">
        <f t="shared" ca="1" si="3"/>
        <v/>
      </c>
      <c r="R111" s="13" t="str">
        <f t="shared" si="4"/>
        <v/>
      </c>
      <c r="S111" t="str">
        <f t="shared" ca="1" si="5"/>
        <v/>
      </c>
    </row>
    <row r="112" spans="13:19" x14ac:dyDescent="0.25">
      <c r="M112" t="str">
        <f t="shared" ca="1" si="3"/>
        <v/>
      </c>
      <c r="R112" s="13" t="str">
        <f t="shared" si="4"/>
        <v/>
      </c>
      <c r="S112" t="str">
        <f t="shared" ca="1" si="5"/>
        <v/>
      </c>
    </row>
    <row r="113" spans="13:19" x14ac:dyDescent="0.25">
      <c r="M113" t="str">
        <f t="shared" ca="1" si="3"/>
        <v/>
      </c>
      <c r="R113" s="13" t="str">
        <f t="shared" si="4"/>
        <v/>
      </c>
      <c r="S113" t="str">
        <f t="shared" ca="1" si="5"/>
        <v/>
      </c>
    </row>
    <row r="114" spans="13:19" x14ac:dyDescent="0.25">
      <c r="M114" t="str">
        <f t="shared" ca="1" si="3"/>
        <v/>
      </c>
      <c r="R114" s="13" t="str">
        <f t="shared" si="4"/>
        <v/>
      </c>
      <c r="S114" t="str">
        <f t="shared" ca="1" si="5"/>
        <v/>
      </c>
    </row>
    <row r="115" spans="13:19" x14ac:dyDescent="0.25">
      <c r="M115" t="str">
        <f t="shared" ca="1" si="3"/>
        <v/>
      </c>
      <c r="R115" s="13" t="str">
        <f t="shared" si="4"/>
        <v/>
      </c>
      <c r="S115" t="str">
        <f t="shared" ca="1" si="5"/>
        <v/>
      </c>
    </row>
    <row r="116" spans="13:19" x14ac:dyDescent="0.25">
      <c r="M116" t="str">
        <f t="shared" ca="1" si="3"/>
        <v/>
      </c>
      <c r="R116" s="13" t="str">
        <f t="shared" si="4"/>
        <v/>
      </c>
      <c r="S116" t="str">
        <f t="shared" ca="1" si="5"/>
        <v/>
      </c>
    </row>
    <row r="117" spans="13:19" x14ac:dyDescent="0.25">
      <c r="M117" t="str">
        <f t="shared" ca="1" si="3"/>
        <v/>
      </c>
      <c r="R117" s="13" t="str">
        <f t="shared" si="4"/>
        <v/>
      </c>
      <c r="S117" t="str">
        <f t="shared" ca="1" si="5"/>
        <v/>
      </c>
    </row>
    <row r="118" spans="13:19" x14ac:dyDescent="0.25">
      <c r="M118" t="str">
        <f t="shared" ca="1" si="3"/>
        <v/>
      </c>
      <c r="R118" s="13" t="str">
        <f t="shared" si="4"/>
        <v/>
      </c>
      <c r="S118" t="str">
        <f t="shared" ca="1" si="5"/>
        <v/>
      </c>
    </row>
    <row r="119" spans="13:19" x14ac:dyDescent="0.25">
      <c r="M119" t="str">
        <f t="shared" ca="1" si="3"/>
        <v/>
      </c>
      <c r="R119" s="13" t="str">
        <f t="shared" si="4"/>
        <v/>
      </c>
      <c r="S119" t="str">
        <f t="shared" ca="1" si="5"/>
        <v/>
      </c>
    </row>
    <row r="120" spans="13:19" x14ac:dyDescent="0.25">
      <c r="M120" t="str">
        <f t="shared" ca="1" si="3"/>
        <v/>
      </c>
      <c r="R120" s="13" t="str">
        <f t="shared" si="4"/>
        <v/>
      </c>
      <c r="S120" t="str">
        <f t="shared" ca="1" si="5"/>
        <v/>
      </c>
    </row>
    <row r="121" spans="13:19" x14ac:dyDescent="0.25">
      <c r="M121" t="str">
        <f t="shared" ca="1" si="3"/>
        <v/>
      </c>
      <c r="R121" s="13" t="str">
        <f t="shared" si="4"/>
        <v/>
      </c>
      <c r="S121" t="str">
        <f t="shared" ca="1" si="5"/>
        <v/>
      </c>
    </row>
    <row r="122" spans="13:19" x14ac:dyDescent="0.25">
      <c r="M122" t="str">
        <f t="shared" ca="1" si="3"/>
        <v/>
      </c>
      <c r="R122" s="13" t="str">
        <f t="shared" si="4"/>
        <v/>
      </c>
      <c r="S122" t="str">
        <f t="shared" ca="1" si="5"/>
        <v/>
      </c>
    </row>
    <row r="123" spans="13:19" x14ac:dyDescent="0.25">
      <c r="M123" t="str">
        <f t="shared" ca="1" si="3"/>
        <v/>
      </c>
      <c r="R123" s="13" t="str">
        <f t="shared" si="4"/>
        <v/>
      </c>
      <c r="S123" t="str">
        <f t="shared" ca="1" si="5"/>
        <v/>
      </c>
    </row>
    <row r="124" spans="13:19" x14ac:dyDescent="0.25">
      <c r="M124" t="str">
        <f t="shared" ca="1" si="3"/>
        <v/>
      </c>
      <c r="R124" s="13" t="str">
        <f t="shared" si="4"/>
        <v/>
      </c>
      <c r="S124" t="str">
        <f t="shared" ca="1" si="5"/>
        <v/>
      </c>
    </row>
    <row r="125" spans="13:19" x14ac:dyDescent="0.25">
      <c r="M125" t="str">
        <f t="shared" ca="1" si="3"/>
        <v/>
      </c>
      <c r="R125" s="13" t="str">
        <f t="shared" si="4"/>
        <v/>
      </c>
      <c r="S125" t="str">
        <f t="shared" ca="1" si="5"/>
        <v/>
      </c>
    </row>
    <row r="126" spans="13:19" x14ac:dyDescent="0.25">
      <c r="M126" t="str">
        <f t="shared" ca="1" si="3"/>
        <v/>
      </c>
      <c r="R126" s="13" t="str">
        <f t="shared" si="4"/>
        <v/>
      </c>
      <c r="S126" t="str">
        <f t="shared" ca="1" si="5"/>
        <v/>
      </c>
    </row>
    <row r="127" spans="13:19" x14ac:dyDescent="0.25">
      <c r="M127" t="str">
        <f t="shared" ca="1" si="3"/>
        <v/>
      </c>
      <c r="R127" s="13" t="str">
        <f t="shared" si="4"/>
        <v/>
      </c>
      <c r="S127" t="str">
        <f t="shared" ca="1" si="5"/>
        <v/>
      </c>
    </row>
    <row r="128" spans="13:19" x14ac:dyDescent="0.25">
      <c r="M128" t="str">
        <f t="shared" ca="1" si="3"/>
        <v/>
      </c>
      <c r="R128" s="13" t="str">
        <f t="shared" si="4"/>
        <v/>
      </c>
      <c r="S128" t="str">
        <f t="shared" ca="1" si="5"/>
        <v/>
      </c>
    </row>
    <row r="129" spans="13:19" x14ac:dyDescent="0.25">
      <c r="M129" t="str">
        <f t="shared" ca="1" si="3"/>
        <v/>
      </c>
      <c r="R129" s="13" t="str">
        <f t="shared" si="4"/>
        <v/>
      </c>
      <c r="S129" t="str">
        <f t="shared" ca="1" si="5"/>
        <v/>
      </c>
    </row>
    <row r="130" spans="13:19" x14ac:dyDescent="0.25">
      <c r="M130" t="str">
        <f t="shared" ca="1" si="3"/>
        <v/>
      </c>
      <c r="R130" s="13" t="str">
        <f t="shared" si="4"/>
        <v/>
      </c>
      <c r="S130" t="str">
        <f t="shared" ca="1" si="5"/>
        <v/>
      </c>
    </row>
    <row r="131" spans="13:19" x14ac:dyDescent="0.25">
      <c r="M131" t="str">
        <f t="shared" ca="1" si="3"/>
        <v/>
      </c>
      <c r="R131" s="13" t="str">
        <f t="shared" si="4"/>
        <v/>
      </c>
      <c r="S131" t="str">
        <f t="shared" ca="1" si="5"/>
        <v/>
      </c>
    </row>
    <row r="132" spans="13:19" x14ac:dyDescent="0.25">
      <c r="M132" t="str">
        <f t="shared" ca="1" si="3"/>
        <v/>
      </c>
      <c r="R132" s="13" t="str">
        <f t="shared" si="4"/>
        <v/>
      </c>
      <c r="S132" t="str">
        <f t="shared" ca="1" si="5"/>
        <v/>
      </c>
    </row>
    <row r="133" spans="13:19" x14ac:dyDescent="0.25">
      <c r="M133" t="str">
        <f t="shared" ca="1" si="3"/>
        <v/>
      </c>
      <c r="R133" s="13" t="str">
        <f t="shared" si="4"/>
        <v/>
      </c>
      <c r="S133" t="str">
        <f t="shared" ca="1" si="5"/>
        <v/>
      </c>
    </row>
    <row r="134" spans="13:19" x14ac:dyDescent="0.25">
      <c r="M134" t="str">
        <f t="shared" ref="M134:M197" ca="1" si="6">IF(A134="","",IF(AND(F134&lt;&gt;"Received",F134&lt;&gt;"Cancelled",I134&lt;&gt;"",TODAY()&gt;I134),"OVERDUE",""))</f>
        <v/>
      </c>
      <c r="R134" s="13" t="str">
        <f t="shared" ref="R134:R197" si="7">IF(A134="","",MAX(H134+0,J134+0))</f>
        <v/>
      </c>
      <c r="S134" t="str">
        <f t="shared" ref="S134:S197" ca="1" si="8">IF(A134="","",IF(OR(F134="Received",F134="Cancelled"),"",TODAY()-R134))</f>
        <v/>
      </c>
    </row>
    <row r="135" spans="13:19" x14ac:dyDescent="0.25">
      <c r="M135" t="str">
        <f t="shared" ca="1" si="6"/>
        <v/>
      </c>
      <c r="R135" s="13" t="str">
        <f t="shared" si="7"/>
        <v/>
      </c>
      <c r="S135" t="str">
        <f t="shared" ca="1" si="8"/>
        <v/>
      </c>
    </row>
    <row r="136" spans="13:19" x14ac:dyDescent="0.25">
      <c r="M136" t="str">
        <f t="shared" ca="1" si="6"/>
        <v/>
      </c>
      <c r="R136" s="13" t="str">
        <f t="shared" si="7"/>
        <v/>
      </c>
      <c r="S136" t="str">
        <f t="shared" ca="1" si="8"/>
        <v/>
      </c>
    </row>
    <row r="137" spans="13:19" x14ac:dyDescent="0.25">
      <c r="M137" t="str">
        <f t="shared" ca="1" si="6"/>
        <v/>
      </c>
      <c r="R137" s="13" t="str">
        <f t="shared" si="7"/>
        <v/>
      </c>
      <c r="S137" t="str">
        <f t="shared" ca="1" si="8"/>
        <v/>
      </c>
    </row>
    <row r="138" spans="13:19" x14ac:dyDescent="0.25">
      <c r="M138" t="str">
        <f t="shared" ca="1" si="6"/>
        <v/>
      </c>
      <c r="R138" s="13" t="str">
        <f t="shared" si="7"/>
        <v/>
      </c>
      <c r="S138" t="str">
        <f t="shared" ca="1" si="8"/>
        <v/>
      </c>
    </row>
    <row r="139" spans="13:19" x14ac:dyDescent="0.25">
      <c r="M139" t="str">
        <f t="shared" ca="1" si="6"/>
        <v/>
      </c>
      <c r="R139" s="13" t="str">
        <f t="shared" si="7"/>
        <v/>
      </c>
      <c r="S139" t="str">
        <f t="shared" ca="1" si="8"/>
        <v/>
      </c>
    </row>
    <row r="140" spans="13:19" x14ac:dyDescent="0.25">
      <c r="M140" t="str">
        <f t="shared" ca="1" si="6"/>
        <v/>
      </c>
      <c r="R140" s="13" t="str">
        <f t="shared" si="7"/>
        <v/>
      </c>
      <c r="S140" t="str">
        <f t="shared" ca="1" si="8"/>
        <v/>
      </c>
    </row>
    <row r="141" spans="13:19" x14ac:dyDescent="0.25">
      <c r="M141" t="str">
        <f t="shared" ca="1" si="6"/>
        <v/>
      </c>
      <c r="R141" s="13" t="str">
        <f t="shared" si="7"/>
        <v/>
      </c>
      <c r="S141" t="str">
        <f t="shared" ca="1" si="8"/>
        <v/>
      </c>
    </row>
    <row r="142" spans="13:19" x14ac:dyDescent="0.25">
      <c r="M142" t="str">
        <f t="shared" ca="1" si="6"/>
        <v/>
      </c>
      <c r="R142" s="13" t="str">
        <f t="shared" si="7"/>
        <v/>
      </c>
      <c r="S142" t="str">
        <f t="shared" ca="1" si="8"/>
        <v/>
      </c>
    </row>
    <row r="143" spans="13:19" x14ac:dyDescent="0.25">
      <c r="M143" t="str">
        <f t="shared" ca="1" si="6"/>
        <v/>
      </c>
      <c r="R143" s="13" t="str">
        <f t="shared" si="7"/>
        <v/>
      </c>
      <c r="S143" t="str">
        <f t="shared" ca="1" si="8"/>
        <v/>
      </c>
    </row>
    <row r="144" spans="13:19" x14ac:dyDescent="0.25">
      <c r="M144" t="str">
        <f t="shared" ca="1" si="6"/>
        <v/>
      </c>
      <c r="R144" s="13" t="str">
        <f t="shared" si="7"/>
        <v/>
      </c>
      <c r="S144" t="str">
        <f t="shared" ca="1" si="8"/>
        <v/>
      </c>
    </row>
    <row r="145" spans="13:19" x14ac:dyDescent="0.25">
      <c r="M145" t="str">
        <f t="shared" ca="1" si="6"/>
        <v/>
      </c>
      <c r="R145" s="13" t="str">
        <f t="shared" si="7"/>
        <v/>
      </c>
      <c r="S145" t="str">
        <f t="shared" ca="1" si="8"/>
        <v/>
      </c>
    </row>
    <row r="146" spans="13:19" x14ac:dyDescent="0.25">
      <c r="M146" t="str">
        <f t="shared" ca="1" si="6"/>
        <v/>
      </c>
      <c r="R146" s="13" t="str">
        <f t="shared" si="7"/>
        <v/>
      </c>
      <c r="S146" t="str">
        <f t="shared" ca="1" si="8"/>
        <v/>
      </c>
    </row>
    <row r="147" spans="13:19" x14ac:dyDescent="0.25">
      <c r="M147" t="str">
        <f t="shared" ca="1" si="6"/>
        <v/>
      </c>
      <c r="R147" s="13" t="str">
        <f t="shared" si="7"/>
        <v/>
      </c>
      <c r="S147" t="str">
        <f t="shared" ca="1" si="8"/>
        <v/>
      </c>
    </row>
    <row r="148" spans="13:19" x14ac:dyDescent="0.25">
      <c r="M148" t="str">
        <f t="shared" ca="1" si="6"/>
        <v/>
      </c>
      <c r="R148" s="13" t="str">
        <f t="shared" si="7"/>
        <v/>
      </c>
      <c r="S148" t="str">
        <f t="shared" ca="1" si="8"/>
        <v/>
      </c>
    </row>
    <row r="149" spans="13:19" x14ac:dyDescent="0.25">
      <c r="M149" t="str">
        <f t="shared" ca="1" si="6"/>
        <v/>
      </c>
      <c r="R149" s="13" t="str">
        <f t="shared" si="7"/>
        <v/>
      </c>
      <c r="S149" t="str">
        <f t="shared" ca="1" si="8"/>
        <v/>
      </c>
    </row>
    <row r="150" spans="13:19" x14ac:dyDescent="0.25">
      <c r="M150" t="str">
        <f t="shared" ca="1" si="6"/>
        <v/>
      </c>
      <c r="R150" s="13" t="str">
        <f t="shared" si="7"/>
        <v/>
      </c>
      <c r="S150" t="str">
        <f t="shared" ca="1" si="8"/>
        <v/>
      </c>
    </row>
    <row r="151" spans="13:19" x14ac:dyDescent="0.25">
      <c r="M151" t="str">
        <f t="shared" ca="1" si="6"/>
        <v/>
      </c>
      <c r="R151" s="13" t="str">
        <f t="shared" si="7"/>
        <v/>
      </c>
      <c r="S151" t="str">
        <f t="shared" ca="1" si="8"/>
        <v/>
      </c>
    </row>
    <row r="152" spans="13:19" x14ac:dyDescent="0.25">
      <c r="M152" t="str">
        <f t="shared" ca="1" si="6"/>
        <v/>
      </c>
      <c r="R152" s="13" t="str">
        <f t="shared" si="7"/>
        <v/>
      </c>
      <c r="S152" t="str">
        <f t="shared" ca="1" si="8"/>
        <v/>
      </c>
    </row>
    <row r="153" spans="13:19" x14ac:dyDescent="0.25">
      <c r="M153" t="str">
        <f t="shared" ca="1" si="6"/>
        <v/>
      </c>
      <c r="R153" s="13" t="str">
        <f t="shared" si="7"/>
        <v/>
      </c>
      <c r="S153" t="str">
        <f t="shared" ca="1" si="8"/>
        <v/>
      </c>
    </row>
    <row r="154" spans="13:19" x14ac:dyDescent="0.25">
      <c r="M154" t="str">
        <f t="shared" ca="1" si="6"/>
        <v/>
      </c>
      <c r="R154" s="13" t="str">
        <f t="shared" si="7"/>
        <v/>
      </c>
      <c r="S154" t="str">
        <f t="shared" ca="1" si="8"/>
        <v/>
      </c>
    </row>
    <row r="155" spans="13:19" x14ac:dyDescent="0.25">
      <c r="M155" t="str">
        <f t="shared" ca="1" si="6"/>
        <v/>
      </c>
      <c r="R155" s="13" t="str">
        <f t="shared" si="7"/>
        <v/>
      </c>
      <c r="S155" t="str">
        <f t="shared" ca="1" si="8"/>
        <v/>
      </c>
    </row>
    <row r="156" spans="13:19" x14ac:dyDescent="0.25">
      <c r="M156" t="str">
        <f t="shared" ca="1" si="6"/>
        <v/>
      </c>
      <c r="R156" s="13" t="str">
        <f t="shared" si="7"/>
        <v/>
      </c>
      <c r="S156" t="str">
        <f t="shared" ca="1" si="8"/>
        <v/>
      </c>
    </row>
    <row r="157" spans="13:19" x14ac:dyDescent="0.25">
      <c r="M157" t="str">
        <f t="shared" ca="1" si="6"/>
        <v/>
      </c>
      <c r="R157" s="13" t="str">
        <f t="shared" si="7"/>
        <v/>
      </c>
      <c r="S157" t="str">
        <f t="shared" ca="1" si="8"/>
        <v/>
      </c>
    </row>
    <row r="158" spans="13:19" x14ac:dyDescent="0.25">
      <c r="M158" t="str">
        <f t="shared" ca="1" si="6"/>
        <v/>
      </c>
      <c r="R158" s="13" t="str">
        <f t="shared" si="7"/>
        <v/>
      </c>
      <c r="S158" t="str">
        <f t="shared" ca="1" si="8"/>
        <v/>
      </c>
    </row>
    <row r="159" spans="13:19" x14ac:dyDescent="0.25">
      <c r="M159" t="str">
        <f t="shared" ca="1" si="6"/>
        <v/>
      </c>
      <c r="R159" s="13" t="str">
        <f t="shared" si="7"/>
        <v/>
      </c>
      <c r="S159" t="str">
        <f t="shared" ca="1" si="8"/>
        <v/>
      </c>
    </row>
    <row r="160" spans="13:19" x14ac:dyDescent="0.25">
      <c r="M160" t="str">
        <f t="shared" ca="1" si="6"/>
        <v/>
      </c>
      <c r="R160" s="13" t="str">
        <f t="shared" si="7"/>
        <v/>
      </c>
      <c r="S160" t="str">
        <f t="shared" ca="1" si="8"/>
        <v/>
      </c>
    </row>
    <row r="161" spans="13:19" x14ac:dyDescent="0.25">
      <c r="M161" t="str">
        <f t="shared" ca="1" si="6"/>
        <v/>
      </c>
      <c r="R161" s="13" t="str">
        <f t="shared" si="7"/>
        <v/>
      </c>
      <c r="S161" t="str">
        <f t="shared" ca="1" si="8"/>
        <v/>
      </c>
    </row>
    <row r="162" spans="13:19" x14ac:dyDescent="0.25">
      <c r="M162" t="str">
        <f t="shared" ca="1" si="6"/>
        <v/>
      </c>
      <c r="R162" s="13" t="str">
        <f t="shared" si="7"/>
        <v/>
      </c>
      <c r="S162" t="str">
        <f t="shared" ca="1" si="8"/>
        <v/>
      </c>
    </row>
    <row r="163" spans="13:19" x14ac:dyDescent="0.25">
      <c r="M163" t="str">
        <f t="shared" ca="1" si="6"/>
        <v/>
      </c>
      <c r="R163" s="13" t="str">
        <f t="shared" si="7"/>
        <v/>
      </c>
      <c r="S163" t="str">
        <f t="shared" ca="1" si="8"/>
        <v/>
      </c>
    </row>
    <row r="164" spans="13:19" x14ac:dyDescent="0.25">
      <c r="M164" t="str">
        <f t="shared" ca="1" si="6"/>
        <v/>
      </c>
      <c r="R164" s="13" t="str">
        <f t="shared" si="7"/>
        <v/>
      </c>
      <c r="S164" t="str">
        <f t="shared" ca="1" si="8"/>
        <v/>
      </c>
    </row>
    <row r="165" spans="13:19" x14ac:dyDescent="0.25">
      <c r="M165" t="str">
        <f t="shared" ca="1" si="6"/>
        <v/>
      </c>
      <c r="R165" s="13" t="str">
        <f t="shared" si="7"/>
        <v/>
      </c>
      <c r="S165" t="str">
        <f t="shared" ca="1" si="8"/>
        <v/>
      </c>
    </row>
    <row r="166" spans="13:19" x14ac:dyDescent="0.25">
      <c r="M166" t="str">
        <f t="shared" ca="1" si="6"/>
        <v/>
      </c>
      <c r="R166" s="13" t="str">
        <f t="shared" si="7"/>
        <v/>
      </c>
      <c r="S166" t="str">
        <f t="shared" ca="1" si="8"/>
        <v/>
      </c>
    </row>
    <row r="167" spans="13:19" x14ac:dyDescent="0.25">
      <c r="M167" t="str">
        <f t="shared" ca="1" si="6"/>
        <v/>
      </c>
      <c r="R167" s="13" t="str">
        <f t="shared" si="7"/>
        <v/>
      </c>
      <c r="S167" t="str">
        <f t="shared" ca="1" si="8"/>
        <v/>
      </c>
    </row>
    <row r="168" spans="13:19" x14ac:dyDescent="0.25">
      <c r="M168" t="str">
        <f t="shared" ca="1" si="6"/>
        <v/>
      </c>
      <c r="R168" s="13" t="str">
        <f t="shared" si="7"/>
        <v/>
      </c>
      <c r="S168" t="str">
        <f t="shared" ca="1" si="8"/>
        <v/>
      </c>
    </row>
    <row r="169" spans="13:19" x14ac:dyDescent="0.25">
      <c r="M169" t="str">
        <f t="shared" ca="1" si="6"/>
        <v/>
      </c>
      <c r="R169" s="13" t="str">
        <f t="shared" si="7"/>
        <v/>
      </c>
      <c r="S169" t="str">
        <f t="shared" ca="1" si="8"/>
        <v/>
      </c>
    </row>
    <row r="170" spans="13:19" x14ac:dyDescent="0.25">
      <c r="M170" t="str">
        <f t="shared" ca="1" si="6"/>
        <v/>
      </c>
      <c r="R170" s="13" t="str">
        <f t="shared" si="7"/>
        <v/>
      </c>
      <c r="S170" t="str">
        <f t="shared" ca="1" si="8"/>
        <v/>
      </c>
    </row>
    <row r="171" spans="13:19" x14ac:dyDescent="0.25">
      <c r="M171" t="str">
        <f t="shared" ca="1" si="6"/>
        <v/>
      </c>
      <c r="R171" s="13" t="str">
        <f t="shared" si="7"/>
        <v/>
      </c>
      <c r="S171" t="str">
        <f t="shared" ca="1" si="8"/>
        <v/>
      </c>
    </row>
    <row r="172" spans="13:19" x14ac:dyDescent="0.25">
      <c r="M172" t="str">
        <f t="shared" ca="1" si="6"/>
        <v/>
      </c>
      <c r="R172" s="13" t="str">
        <f t="shared" si="7"/>
        <v/>
      </c>
      <c r="S172" t="str">
        <f t="shared" ca="1" si="8"/>
        <v/>
      </c>
    </row>
    <row r="173" spans="13:19" x14ac:dyDescent="0.25">
      <c r="M173" t="str">
        <f t="shared" ca="1" si="6"/>
        <v/>
      </c>
      <c r="R173" s="13" t="str">
        <f t="shared" si="7"/>
        <v/>
      </c>
      <c r="S173" t="str">
        <f t="shared" ca="1" si="8"/>
        <v/>
      </c>
    </row>
    <row r="174" spans="13:19" x14ac:dyDescent="0.25">
      <c r="M174" t="str">
        <f t="shared" ca="1" si="6"/>
        <v/>
      </c>
      <c r="R174" s="13" t="str">
        <f t="shared" si="7"/>
        <v/>
      </c>
      <c r="S174" t="str">
        <f t="shared" ca="1" si="8"/>
        <v/>
      </c>
    </row>
    <row r="175" spans="13:19" x14ac:dyDescent="0.25">
      <c r="M175" t="str">
        <f t="shared" ca="1" si="6"/>
        <v/>
      </c>
      <c r="R175" s="13" t="str">
        <f t="shared" si="7"/>
        <v/>
      </c>
      <c r="S175" t="str">
        <f t="shared" ca="1" si="8"/>
        <v/>
      </c>
    </row>
    <row r="176" spans="13:19" x14ac:dyDescent="0.25">
      <c r="M176" t="str">
        <f t="shared" ca="1" si="6"/>
        <v/>
      </c>
      <c r="R176" s="13" t="str">
        <f t="shared" si="7"/>
        <v/>
      </c>
      <c r="S176" t="str">
        <f t="shared" ca="1" si="8"/>
        <v/>
      </c>
    </row>
    <row r="177" spans="13:19" x14ac:dyDescent="0.25">
      <c r="M177" t="str">
        <f t="shared" ca="1" si="6"/>
        <v/>
      </c>
      <c r="R177" s="13" t="str">
        <f t="shared" si="7"/>
        <v/>
      </c>
      <c r="S177" t="str">
        <f t="shared" ca="1" si="8"/>
        <v/>
      </c>
    </row>
    <row r="178" spans="13:19" x14ac:dyDescent="0.25">
      <c r="M178" t="str">
        <f t="shared" ca="1" si="6"/>
        <v/>
      </c>
      <c r="R178" s="13" t="str">
        <f t="shared" si="7"/>
        <v/>
      </c>
      <c r="S178" t="str">
        <f t="shared" ca="1" si="8"/>
        <v/>
      </c>
    </row>
    <row r="179" spans="13:19" x14ac:dyDescent="0.25">
      <c r="M179" t="str">
        <f t="shared" ca="1" si="6"/>
        <v/>
      </c>
      <c r="R179" s="13" t="str">
        <f t="shared" si="7"/>
        <v/>
      </c>
      <c r="S179" t="str">
        <f t="shared" ca="1" si="8"/>
        <v/>
      </c>
    </row>
    <row r="180" spans="13:19" x14ac:dyDescent="0.25">
      <c r="M180" t="str">
        <f t="shared" ca="1" si="6"/>
        <v/>
      </c>
      <c r="R180" s="13" t="str">
        <f t="shared" si="7"/>
        <v/>
      </c>
      <c r="S180" t="str">
        <f t="shared" ca="1" si="8"/>
        <v/>
      </c>
    </row>
    <row r="181" spans="13:19" x14ac:dyDescent="0.25">
      <c r="M181" t="str">
        <f t="shared" ca="1" si="6"/>
        <v/>
      </c>
      <c r="R181" s="13" t="str">
        <f t="shared" si="7"/>
        <v/>
      </c>
      <c r="S181" t="str">
        <f t="shared" ca="1" si="8"/>
        <v/>
      </c>
    </row>
    <row r="182" spans="13:19" x14ac:dyDescent="0.25">
      <c r="M182" t="str">
        <f t="shared" ca="1" si="6"/>
        <v/>
      </c>
      <c r="R182" s="13" t="str">
        <f t="shared" si="7"/>
        <v/>
      </c>
      <c r="S182" t="str">
        <f t="shared" ca="1" si="8"/>
        <v/>
      </c>
    </row>
    <row r="183" spans="13:19" x14ac:dyDescent="0.25">
      <c r="M183" t="str">
        <f t="shared" ca="1" si="6"/>
        <v/>
      </c>
      <c r="R183" s="13" t="str">
        <f t="shared" si="7"/>
        <v/>
      </c>
      <c r="S183" t="str">
        <f t="shared" ca="1" si="8"/>
        <v/>
      </c>
    </row>
    <row r="184" spans="13:19" x14ac:dyDescent="0.25">
      <c r="M184" t="str">
        <f t="shared" ca="1" si="6"/>
        <v/>
      </c>
      <c r="R184" s="13" t="str">
        <f t="shared" si="7"/>
        <v/>
      </c>
      <c r="S184" t="str">
        <f t="shared" ca="1" si="8"/>
        <v/>
      </c>
    </row>
    <row r="185" spans="13:19" x14ac:dyDescent="0.25">
      <c r="M185" t="str">
        <f t="shared" ca="1" si="6"/>
        <v/>
      </c>
      <c r="R185" s="13" t="str">
        <f t="shared" si="7"/>
        <v/>
      </c>
      <c r="S185" t="str">
        <f t="shared" ca="1" si="8"/>
        <v/>
      </c>
    </row>
    <row r="186" spans="13:19" x14ac:dyDescent="0.25">
      <c r="M186" t="str">
        <f t="shared" ca="1" si="6"/>
        <v/>
      </c>
      <c r="R186" s="13" t="str">
        <f t="shared" si="7"/>
        <v/>
      </c>
      <c r="S186" t="str">
        <f t="shared" ca="1" si="8"/>
        <v/>
      </c>
    </row>
    <row r="187" spans="13:19" x14ac:dyDescent="0.25">
      <c r="M187" t="str">
        <f t="shared" ca="1" si="6"/>
        <v/>
      </c>
      <c r="R187" s="13" t="str">
        <f t="shared" si="7"/>
        <v/>
      </c>
      <c r="S187" t="str">
        <f t="shared" ca="1" si="8"/>
        <v/>
      </c>
    </row>
    <row r="188" spans="13:19" x14ac:dyDescent="0.25">
      <c r="M188" t="str">
        <f t="shared" ca="1" si="6"/>
        <v/>
      </c>
      <c r="R188" s="13" t="str">
        <f t="shared" si="7"/>
        <v/>
      </c>
      <c r="S188" t="str">
        <f t="shared" ca="1" si="8"/>
        <v/>
      </c>
    </row>
    <row r="189" spans="13:19" x14ac:dyDescent="0.25">
      <c r="M189" t="str">
        <f t="shared" ca="1" si="6"/>
        <v/>
      </c>
      <c r="R189" s="13" t="str">
        <f t="shared" si="7"/>
        <v/>
      </c>
      <c r="S189" t="str">
        <f t="shared" ca="1" si="8"/>
        <v/>
      </c>
    </row>
    <row r="190" spans="13:19" x14ac:dyDescent="0.25">
      <c r="M190" t="str">
        <f t="shared" ca="1" si="6"/>
        <v/>
      </c>
      <c r="R190" s="13" t="str">
        <f t="shared" si="7"/>
        <v/>
      </c>
      <c r="S190" t="str">
        <f t="shared" ca="1" si="8"/>
        <v/>
      </c>
    </row>
    <row r="191" spans="13:19" x14ac:dyDescent="0.25">
      <c r="M191" t="str">
        <f t="shared" ca="1" si="6"/>
        <v/>
      </c>
      <c r="R191" s="13" t="str">
        <f t="shared" si="7"/>
        <v/>
      </c>
      <c r="S191" t="str">
        <f t="shared" ca="1" si="8"/>
        <v/>
      </c>
    </row>
    <row r="192" spans="13:19" x14ac:dyDescent="0.25">
      <c r="M192" t="str">
        <f t="shared" ca="1" si="6"/>
        <v/>
      </c>
      <c r="R192" s="13" t="str">
        <f t="shared" si="7"/>
        <v/>
      </c>
      <c r="S192" t="str">
        <f t="shared" ca="1" si="8"/>
        <v/>
      </c>
    </row>
    <row r="193" spans="13:19" x14ac:dyDescent="0.25">
      <c r="M193" t="str">
        <f t="shared" ca="1" si="6"/>
        <v/>
      </c>
      <c r="R193" s="13" t="str">
        <f t="shared" si="7"/>
        <v/>
      </c>
      <c r="S193" t="str">
        <f t="shared" ca="1" si="8"/>
        <v/>
      </c>
    </row>
    <row r="194" spans="13:19" x14ac:dyDescent="0.25">
      <c r="M194" t="str">
        <f t="shared" ca="1" si="6"/>
        <v/>
      </c>
      <c r="R194" s="13" t="str">
        <f t="shared" si="7"/>
        <v/>
      </c>
      <c r="S194" t="str">
        <f t="shared" ca="1" si="8"/>
        <v/>
      </c>
    </row>
    <row r="195" spans="13:19" x14ac:dyDescent="0.25">
      <c r="M195" t="str">
        <f t="shared" ca="1" si="6"/>
        <v/>
      </c>
      <c r="R195" s="13" t="str">
        <f t="shared" si="7"/>
        <v/>
      </c>
      <c r="S195" t="str">
        <f t="shared" ca="1" si="8"/>
        <v/>
      </c>
    </row>
    <row r="196" spans="13:19" x14ac:dyDescent="0.25">
      <c r="M196" t="str">
        <f t="shared" ca="1" si="6"/>
        <v/>
      </c>
      <c r="R196" s="13" t="str">
        <f t="shared" si="7"/>
        <v/>
      </c>
      <c r="S196" t="str">
        <f t="shared" ca="1" si="8"/>
        <v/>
      </c>
    </row>
    <row r="197" spans="13:19" x14ac:dyDescent="0.25">
      <c r="M197" t="str">
        <f t="shared" ca="1" si="6"/>
        <v/>
      </c>
      <c r="R197" s="13" t="str">
        <f t="shared" si="7"/>
        <v/>
      </c>
      <c r="S197" t="str">
        <f t="shared" ca="1" si="8"/>
        <v/>
      </c>
    </row>
    <row r="198" spans="13:19" x14ac:dyDescent="0.25">
      <c r="M198" t="str">
        <f t="shared" ref="M198:M261" ca="1" si="9">IF(A198="","",IF(AND(F198&lt;&gt;"Received",F198&lt;&gt;"Cancelled",I198&lt;&gt;"",TODAY()&gt;I198),"OVERDUE",""))</f>
        <v/>
      </c>
      <c r="R198" s="13" t="str">
        <f t="shared" ref="R198:R261" si="10">IF(A198="","",MAX(H198+0,J198+0))</f>
        <v/>
      </c>
      <c r="S198" t="str">
        <f t="shared" ref="S198:S261" ca="1" si="11">IF(A198="","",IF(OR(F198="Received",F198="Cancelled"),"",TODAY()-R198))</f>
        <v/>
      </c>
    </row>
    <row r="199" spans="13:19" x14ac:dyDescent="0.25">
      <c r="M199" t="str">
        <f t="shared" ca="1" si="9"/>
        <v/>
      </c>
      <c r="R199" s="13" t="str">
        <f t="shared" si="10"/>
        <v/>
      </c>
      <c r="S199" t="str">
        <f t="shared" ca="1" si="11"/>
        <v/>
      </c>
    </row>
    <row r="200" spans="13:19" x14ac:dyDescent="0.25">
      <c r="M200" t="str">
        <f t="shared" ca="1" si="9"/>
        <v/>
      </c>
      <c r="R200" s="13" t="str">
        <f t="shared" si="10"/>
        <v/>
      </c>
      <c r="S200" t="str">
        <f t="shared" ca="1" si="11"/>
        <v/>
      </c>
    </row>
    <row r="201" spans="13:19" x14ac:dyDescent="0.25">
      <c r="M201" t="str">
        <f t="shared" ca="1" si="9"/>
        <v/>
      </c>
      <c r="R201" s="13" t="str">
        <f t="shared" si="10"/>
        <v/>
      </c>
      <c r="S201" t="str">
        <f t="shared" ca="1" si="11"/>
        <v/>
      </c>
    </row>
    <row r="202" spans="13:19" x14ac:dyDescent="0.25">
      <c r="M202" t="str">
        <f t="shared" ca="1" si="9"/>
        <v/>
      </c>
      <c r="R202" s="13" t="str">
        <f t="shared" si="10"/>
        <v/>
      </c>
      <c r="S202" t="str">
        <f t="shared" ca="1" si="11"/>
        <v/>
      </c>
    </row>
    <row r="203" spans="13:19" x14ac:dyDescent="0.25">
      <c r="M203" t="str">
        <f t="shared" ca="1" si="9"/>
        <v/>
      </c>
      <c r="R203" s="13" t="str">
        <f t="shared" si="10"/>
        <v/>
      </c>
      <c r="S203" t="str">
        <f t="shared" ca="1" si="11"/>
        <v/>
      </c>
    </row>
    <row r="204" spans="13:19" x14ac:dyDescent="0.25">
      <c r="M204" t="str">
        <f t="shared" ca="1" si="9"/>
        <v/>
      </c>
      <c r="R204" s="13" t="str">
        <f t="shared" si="10"/>
        <v/>
      </c>
      <c r="S204" t="str">
        <f t="shared" ca="1" si="11"/>
        <v/>
      </c>
    </row>
    <row r="205" spans="13:19" x14ac:dyDescent="0.25">
      <c r="M205" t="str">
        <f t="shared" ca="1" si="9"/>
        <v/>
      </c>
      <c r="R205" s="13" t="str">
        <f t="shared" si="10"/>
        <v/>
      </c>
      <c r="S205" t="str">
        <f t="shared" ca="1" si="11"/>
        <v/>
      </c>
    </row>
    <row r="206" spans="13:19" x14ac:dyDescent="0.25">
      <c r="M206" t="str">
        <f t="shared" ca="1" si="9"/>
        <v/>
      </c>
      <c r="R206" s="13" t="str">
        <f t="shared" si="10"/>
        <v/>
      </c>
      <c r="S206" t="str">
        <f t="shared" ca="1" si="11"/>
        <v/>
      </c>
    </row>
    <row r="207" spans="13:19" x14ac:dyDescent="0.25">
      <c r="M207" t="str">
        <f t="shared" ca="1" si="9"/>
        <v/>
      </c>
      <c r="R207" s="13" t="str">
        <f t="shared" si="10"/>
        <v/>
      </c>
      <c r="S207" t="str">
        <f t="shared" ca="1" si="11"/>
        <v/>
      </c>
    </row>
    <row r="208" spans="13:19" x14ac:dyDescent="0.25">
      <c r="M208" t="str">
        <f t="shared" ca="1" si="9"/>
        <v/>
      </c>
      <c r="R208" s="13" t="str">
        <f t="shared" si="10"/>
        <v/>
      </c>
      <c r="S208" t="str">
        <f t="shared" ca="1" si="11"/>
        <v/>
      </c>
    </row>
    <row r="209" spans="13:19" x14ac:dyDescent="0.25">
      <c r="M209" t="str">
        <f t="shared" ca="1" si="9"/>
        <v/>
      </c>
      <c r="R209" s="13" t="str">
        <f t="shared" si="10"/>
        <v/>
      </c>
      <c r="S209" t="str">
        <f t="shared" ca="1" si="11"/>
        <v/>
      </c>
    </row>
    <row r="210" spans="13:19" x14ac:dyDescent="0.25">
      <c r="M210" t="str">
        <f t="shared" ca="1" si="9"/>
        <v/>
      </c>
      <c r="R210" s="13" t="str">
        <f t="shared" si="10"/>
        <v/>
      </c>
      <c r="S210" t="str">
        <f t="shared" ca="1" si="11"/>
        <v/>
      </c>
    </row>
    <row r="211" spans="13:19" x14ac:dyDescent="0.25">
      <c r="M211" t="str">
        <f t="shared" ca="1" si="9"/>
        <v/>
      </c>
      <c r="R211" s="13" t="str">
        <f t="shared" si="10"/>
        <v/>
      </c>
      <c r="S211" t="str">
        <f t="shared" ca="1" si="11"/>
        <v/>
      </c>
    </row>
    <row r="212" spans="13:19" x14ac:dyDescent="0.25">
      <c r="M212" t="str">
        <f t="shared" ca="1" si="9"/>
        <v/>
      </c>
      <c r="R212" s="13" t="str">
        <f t="shared" si="10"/>
        <v/>
      </c>
      <c r="S212" t="str">
        <f t="shared" ca="1" si="11"/>
        <v/>
      </c>
    </row>
    <row r="213" spans="13:19" x14ac:dyDescent="0.25">
      <c r="M213" t="str">
        <f t="shared" ca="1" si="9"/>
        <v/>
      </c>
      <c r="R213" s="13" t="str">
        <f t="shared" si="10"/>
        <v/>
      </c>
      <c r="S213" t="str">
        <f t="shared" ca="1" si="11"/>
        <v/>
      </c>
    </row>
    <row r="214" spans="13:19" x14ac:dyDescent="0.25">
      <c r="M214" t="str">
        <f t="shared" ca="1" si="9"/>
        <v/>
      </c>
      <c r="R214" s="13" t="str">
        <f t="shared" si="10"/>
        <v/>
      </c>
      <c r="S214" t="str">
        <f t="shared" ca="1" si="11"/>
        <v/>
      </c>
    </row>
    <row r="215" spans="13:19" x14ac:dyDescent="0.25">
      <c r="M215" t="str">
        <f t="shared" ca="1" si="9"/>
        <v/>
      </c>
      <c r="R215" s="13" t="str">
        <f t="shared" si="10"/>
        <v/>
      </c>
      <c r="S215" t="str">
        <f t="shared" ca="1" si="11"/>
        <v/>
      </c>
    </row>
    <row r="216" spans="13:19" x14ac:dyDescent="0.25">
      <c r="M216" t="str">
        <f t="shared" ca="1" si="9"/>
        <v/>
      </c>
      <c r="R216" s="13" t="str">
        <f t="shared" si="10"/>
        <v/>
      </c>
      <c r="S216" t="str">
        <f t="shared" ca="1" si="11"/>
        <v/>
      </c>
    </row>
    <row r="217" spans="13:19" x14ac:dyDescent="0.25">
      <c r="M217" t="str">
        <f t="shared" ca="1" si="9"/>
        <v/>
      </c>
      <c r="R217" s="13" t="str">
        <f t="shared" si="10"/>
        <v/>
      </c>
      <c r="S217" t="str">
        <f t="shared" ca="1" si="11"/>
        <v/>
      </c>
    </row>
    <row r="218" spans="13:19" x14ac:dyDescent="0.25">
      <c r="M218" t="str">
        <f t="shared" ca="1" si="9"/>
        <v/>
      </c>
      <c r="R218" s="13" t="str">
        <f t="shared" si="10"/>
        <v/>
      </c>
      <c r="S218" t="str">
        <f t="shared" ca="1" si="11"/>
        <v/>
      </c>
    </row>
    <row r="219" spans="13:19" x14ac:dyDescent="0.25">
      <c r="M219" t="str">
        <f t="shared" ca="1" si="9"/>
        <v/>
      </c>
      <c r="R219" s="13" t="str">
        <f t="shared" si="10"/>
        <v/>
      </c>
      <c r="S219" t="str">
        <f t="shared" ca="1" si="11"/>
        <v/>
      </c>
    </row>
    <row r="220" spans="13:19" x14ac:dyDescent="0.25">
      <c r="M220" t="str">
        <f t="shared" ca="1" si="9"/>
        <v/>
      </c>
      <c r="R220" s="13" t="str">
        <f t="shared" si="10"/>
        <v/>
      </c>
      <c r="S220" t="str">
        <f t="shared" ca="1" si="11"/>
        <v/>
      </c>
    </row>
    <row r="221" spans="13:19" x14ac:dyDescent="0.25">
      <c r="M221" t="str">
        <f t="shared" ca="1" si="9"/>
        <v/>
      </c>
      <c r="R221" s="13" t="str">
        <f t="shared" si="10"/>
        <v/>
      </c>
      <c r="S221" t="str">
        <f t="shared" ca="1" si="11"/>
        <v/>
      </c>
    </row>
    <row r="222" spans="13:19" x14ac:dyDescent="0.25">
      <c r="M222" t="str">
        <f t="shared" ca="1" si="9"/>
        <v/>
      </c>
      <c r="R222" s="13" t="str">
        <f t="shared" si="10"/>
        <v/>
      </c>
      <c r="S222" t="str">
        <f t="shared" ca="1" si="11"/>
        <v/>
      </c>
    </row>
    <row r="223" spans="13:19" x14ac:dyDescent="0.25">
      <c r="M223" t="str">
        <f t="shared" ca="1" si="9"/>
        <v/>
      </c>
      <c r="R223" s="13" t="str">
        <f t="shared" si="10"/>
        <v/>
      </c>
      <c r="S223" t="str">
        <f t="shared" ca="1" si="11"/>
        <v/>
      </c>
    </row>
    <row r="224" spans="13:19" x14ac:dyDescent="0.25">
      <c r="M224" t="str">
        <f t="shared" ca="1" si="9"/>
        <v/>
      </c>
      <c r="R224" s="13" t="str">
        <f t="shared" si="10"/>
        <v/>
      </c>
      <c r="S224" t="str">
        <f t="shared" ca="1" si="11"/>
        <v/>
      </c>
    </row>
    <row r="225" spans="13:19" x14ac:dyDescent="0.25">
      <c r="M225" t="str">
        <f t="shared" ca="1" si="9"/>
        <v/>
      </c>
      <c r="R225" s="13" t="str">
        <f t="shared" si="10"/>
        <v/>
      </c>
      <c r="S225" t="str">
        <f t="shared" ca="1" si="11"/>
        <v/>
      </c>
    </row>
    <row r="226" spans="13:19" x14ac:dyDescent="0.25">
      <c r="M226" t="str">
        <f t="shared" ca="1" si="9"/>
        <v/>
      </c>
      <c r="R226" s="13" t="str">
        <f t="shared" si="10"/>
        <v/>
      </c>
      <c r="S226" t="str">
        <f t="shared" ca="1" si="11"/>
        <v/>
      </c>
    </row>
    <row r="227" spans="13:19" x14ac:dyDescent="0.25">
      <c r="M227" t="str">
        <f t="shared" ca="1" si="9"/>
        <v/>
      </c>
      <c r="R227" s="13" t="str">
        <f t="shared" si="10"/>
        <v/>
      </c>
      <c r="S227" t="str">
        <f t="shared" ca="1" si="11"/>
        <v/>
      </c>
    </row>
    <row r="228" spans="13:19" x14ac:dyDescent="0.25">
      <c r="M228" t="str">
        <f t="shared" ca="1" si="9"/>
        <v/>
      </c>
      <c r="R228" s="13" t="str">
        <f t="shared" si="10"/>
        <v/>
      </c>
      <c r="S228" t="str">
        <f t="shared" ca="1" si="11"/>
        <v/>
      </c>
    </row>
    <row r="229" spans="13:19" x14ac:dyDescent="0.25">
      <c r="M229" t="str">
        <f t="shared" ca="1" si="9"/>
        <v/>
      </c>
      <c r="R229" s="13" t="str">
        <f t="shared" si="10"/>
        <v/>
      </c>
      <c r="S229" t="str">
        <f t="shared" ca="1" si="11"/>
        <v/>
      </c>
    </row>
    <row r="230" spans="13:19" x14ac:dyDescent="0.25">
      <c r="M230" t="str">
        <f t="shared" ca="1" si="9"/>
        <v/>
      </c>
      <c r="R230" s="13" t="str">
        <f t="shared" si="10"/>
        <v/>
      </c>
      <c r="S230" t="str">
        <f t="shared" ca="1" si="11"/>
        <v/>
      </c>
    </row>
    <row r="231" spans="13:19" x14ac:dyDescent="0.25">
      <c r="M231" t="str">
        <f t="shared" ca="1" si="9"/>
        <v/>
      </c>
      <c r="R231" s="13" t="str">
        <f t="shared" si="10"/>
        <v/>
      </c>
      <c r="S231" t="str">
        <f t="shared" ca="1" si="11"/>
        <v/>
      </c>
    </row>
    <row r="232" spans="13:19" x14ac:dyDescent="0.25">
      <c r="M232" t="str">
        <f t="shared" ca="1" si="9"/>
        <v/>
      </c>
      <c r="R232" s="13" t="str">
        <f t="shared" si="10"/>
        <v/>
      </c>
      <c r="S232" t="str">
        <f t="shared" ca="1" si="11"/>
        <v/>
      </c>
    </row>
    <row r="233" spans="13:19" x14ac:dyDescent="0.25">
      <c r="M233" t="str">
        <f t="shared" ca="1" si="9"/>
        <v/>
      </c>
      <c r="R233" s="13" t="str">
        <f t="shared" si="10"/>
        <v/>
      </c>
      <c r="S233" t="str">
        <f t="shared" ca="1" si="11"/>
        <v/>
      </c>
    </row>
    <row r="234" spans="13:19" x14ac:dyDescent="0.25">
      <c r="M234" t="str">
        <f t="shared" ca="1" si="9"/>
        <v/>
      </c>
      <c r="R234" s="13" t="str">
        <f t="shared" si="10"/>
        <v/>
      </c>
      <c r="S234" t="str">
        <f t="shared" ca="1" si="11"/>
        <v/>
      </c>
    </row>
    <row r="235" spans="13:19" x14ac:dyDescent="0.25">
      <c r="M235" t="str">
        <f t="shared" ca="1" si="9"/>
        <v/>
      </c>
      <c r="R235" s="13" t="str">
        <f t="shared" si="10"/>
        <v/>
      </c>
      <c r="S235" t="str">
        <f t="shared" ca="1" si="11"/>
        <v/>
      </c>
    </row>
    <row r="236" spans="13:19" x14ac:dyDescent="0.25">
      <c r="M236" t="str">
        <f t="shared" ca="1" si="9"/>
        <v/>
      </c>
      <c r="R236" s="13" t="str">
        <f t="shared" si="10"/>
        <v/>
      </c>
      <c r="S236" t="str">
        <f t="shared" ca="1" si="11"/>
        <v/>
      </c>
    </row>
    <row r="237" spans="13:19" x14ac:dyDescent="0.25">
      <c r="M237" t="str">
        <f t="shared" ca="1" si="9"/>
        <v/>
      </c>
      <c r="R237" s="13" t="str">
        <f t="shared" si="10"/>
        <v/>
      </c>
      <c r="S237" t="str">
        <f t="shared" ca="1" si="11"/>
        <v/>
      </c>
    </row>
    <row r="238" spans="13:19" x14ac:dyDescent="0.25">
      <c r="M238" t="str">
        <f t="shared" ca="1" si="9"/>
        <v/>
      </c>
      <c r="R238" s="13" t="str">
        <f t="shared" si="10"/>
        <v/>
      </c>
      <c r="S238" t="str">
        <f t="shared" ca="1" si="11"/>
        <v/>
      </c>
    </row>
    <row r="239" spans="13:19" x14ac:dyDescent="0.25">
      <c r="M239" t="str">
        <f t="shared" ca="1" si="9"/>
        <v/>
      </c>
      <c r="R239" s="13" t="str">
        <f t="shared" si="10"/>
        <v/>
      </c>
      <c r="S239" t="str">
        <f t="shared" ca="1" si="11"/>
        <v/>
      </c>
    </row>
    <row r="240" spans="13:19" x14ac:dyDescent="0.25">
      <c r="M240" t="str">
        <f t="shared" ca="1" si="9"/>
        <v/>
      </c>
      <c r="R240" s="13" t="str">
        <f t="shared" si="10"/>
        <v/>
      </c>
      <c r="S240" t="str">
        <f t="shared" ca="1" si="11"/>
        <v/>
      </c>
    </row>
    <row r="241" spans="13:19" x14ac:dyDescent="0.25">
      <c r="M241" t="str">
        <f t="shared" ca="1" si="9"/>
        <v/>
      </c>
      <c r="R241" s="13" t="str">
        <f t="shared" si="10"/>
        <v/>
      </c>
      <c r="S241" t="str">
        <f t="shared" ca="1" si="11"/>
        <v/>
      </c>
    </row>
    <row r="242" spans="13:19" x14ac:dyDescent="0.25">
      <c r="M242" t="str">
        <f t="shared" ca="1" si="9"/>
        <v/>
      </c>
      <c r="R242" s="13" t="str">
        <f t="shared" si="10"/>
        <v/>
      </c>
      <c r="S242" t="str">
        <f t="shared" ca="1" si="11"/>
        <v/>
      </c>
    </row>
    <row r="243" spans="13:19" x14ac:dyDescent="0.25">
      <c r="M243" t="str">
        <f t="shared" ca="1" si="9"/>
        <v/>
      </c>
      <c r="R243" s="13" t="str">
        <f t="shared" si="10"/>
        <v/>
      </c>
      <c r="S243" t="str">
        <f t="shared" ca="1" si="11"/>
        <v/>
      </c>
    </row>
    <row r="244" spans="13:19" x14ac:dyDescent="0.25">
      <c r="M244" t="str">
        <f t="shared" ca="1" si="9"/>
        <v/>
      </c>
      <c r="R244" s="13" t="str">
        <f t="shared" si="10"/>
        <v/>
      </c>
      <c r="S244" t="str">
        <f t="shared" ca="1" si="11"/>
        <v/>
      </c>
    </row>
    <row r="245" spans="13:19" x14ac:dyDescent="0.25">
      <c r="M245" t="str">
        <f t="shared" ca="1" si="9"/>
        <v/>
      </c>
      <c r="R245" s="13" t="str">
        <f t="shared" si="10"/>
        <v/>
      </c>
      <c r="S245" t="str">
        <f t="shared" ca="1" si="11"/>
        <v/>
      </c>
    </row>
    <row r="246" spans="13:19" x14ac:dyDescent="0.25">
      <c r="M246" t="str">
        <f t="shared" ca="1" si="9"/>
        <v/>
      </c>
      <c r="R246" s="13" t="str">
        <f t="shared" si="10"/>
        <v/>
      </c>
      <c r="S246" t="str">
        <f t="shared" ca="1" si="11"/>
        <v/>
      </c>
    </row>
    <row r="247" spans="13:19" x14ac:dyDescent="0.25">
      <c r="M247" t="str">
        <f t="shared" ca="1" si="9"/>
        <v/>
      </c>
      <c r="R247" s="13" t="str">
        <f t="shared" si="10"/>
        <v/>
      </c>
      <c r="S247" t="str">
        <f t="shared" ca="1" si="11"/>
        <v/>
      </c>
    </row>
    <row r="248" spans="13:19" x14ac:dyDescent="0.25">
      <c r="M248" t="str">
        <f t="shared" ca="1" si="9"/>
        <v/>
      </c>
      <c r="R248" s="13" t="str">
        <f t="shared" si="10"/>
        <v/>
      </c>
      <c r="S248" t="str">
        <f t="shared" ca="1" si="11"/>
        <v/>
      </c>
    </row>
    <row r="249" spans="13:19" x14ac:dyDescent="0.25">
      <c r="M249" t="str">
        <f t="shared" ca="1" si="9"/>
        <v/>
      </c>
      <c r="R249" s="13" t="str">
        <f t="shared" si="10"/>
        <v/>
      </c>
      <c r="S249" t="str">
        <f t="shared" ca="1" si="11"/>
        <v/>
      </c>
    </row>
    <row r="250" spans="13:19" x14ac:dyDescent="0.25">
      <c r="M250" t="str">
        <f t="shared" ca="1" si="9"/>
        <v/>
      </c>
      <c r="R250" s="13" t="str">
        <f t="shared" si="10"/>
        <v/>
      </c>
      <c r="S250" t="str">
        <f t="shared" ca="1" si="11"/>
        <v/>
      </c>
    </row>
    <row r="251" spans="13:19" x14ac:dyDescent="0.25">
      <c r="M251" t="str">
        <f t="shared" ca="1" si="9"/>
        <v/>
      </c>
      <c r="R251" s="13" t="str">
        <f t="shared" si="10"/>
        <v/>
      </c>
      <c r="S251" t="str">
        <f t="shared" ca="1" si="11"/>
        <v/>
      </c>
    </row>
    <row r="252" spans="13:19" x14ac:dyDescent="0.25">
      <c r="M252" t="str">
        <f t="shared" ca="1" si="9"/>
        <v/>
      </c>
      <c r="R252" s="13" t="str">
        <f t="shared" si="10"/>
        <v/>
      </c>
      <c r="S252" t="str">
        <f t="shared" ca="1" si="11"/>
        <v/>
      </c>
    </row>
    <row r="253" spans="13:19" x14ac:dyDescent="0.25">
      <c r="M253" t="str">
        <f t="shared" ca="1" si="9"/>
        <v/>
      </c>
      <c r="R253" s="13" t="str">
        <f t="shared" si="10"/>
        <v/>
      </c>
      <c r="S253" t="str">
        <f t="shared" ca="1" si="11"/>
        <v/>
      </c>
    </row>
    <row r="254" spans="13:19" x14ac:dyDescent="0.25">
      <c r="M254" t="str">
        <f t="shared" ca="1" si="9"/>
        <v/>
      </c>
      <c r="R254" s="13" t="str">
        <f t="shared" si="10"/>
        <v/>
      </c>
      <c r="S254" t="str">
        <f t="shared" ca="1" si="11"/>
        <v/>
      </c>
    </row>
    <row r="255" spans="13:19" x14ac:dyDescent="0.25">
      <c r="M255" t="str">
        <f t="shared" ca="1" si="9"/>
        <v/>
      </c>
      <c r="R255" s="13" t="str">
        <f t="shared" si="10"/>
        <v/>
      </c>
      <c r="S255" t="str">
        <f t="shared" ca="1" si="11"/>
        <v/>
      </c>
    </row>
    <row r="256" spans="13:19" x14ac:dyDescent="0.25">
      <c r="M256" t="str">
        <f t="shared" ca="1" si="9"/>
        <v/>
      </c>
      <c r="R256" s="13" t="str">
        <f t="shared" si="10"/>
        <v/>
      </c>
      <c r="S256" t="str">
        <f t="shared" ca="1" si="11"/>
        <v/>
      </c>
    </row>
    <row r="257" spans="13:19" x14ac:dyDescent="0.25">
      <c r="M257" t="str">
        <f t="shared" ca="1" si="9"/>
        <v/>
      </c>
      <c r="R257" s="13" t="str">
        <f t="shared" si="10"/>
        <v/>
      </c>
      <c r="S257" t="str">
        <f t="shared" ca="1" si="11"/>
        <v/>
      </c>
    </row>
    <row r="258" spans="13:19" x14ac:dyDescent="0.25">
      <c r="M258" t="str">
        <f t="shared" ca="1" si="9"/>
        <v/>
      </c>
      <c r="R258" s="13" t="str">
        <f t="shared" si="10"/>
        <v/>
      </c>
      <c r="S258" t="str">
        <f t="shared" ca="1" si="11"/>
        <v/>
      </c>
    </row>
    <row r="259" spans="13:19" x14ac:dyDescent="0.25">
      <c r="M259" t="str">
        <f t="shared" ca="1" si="9"/>
        <v/>
      </c>
      <c r="R259" s="13" t="str">
        <f t="shared" si="10"/>
        <v/>
      </c>
      <c r="S259" t="str">
        <f t="shared" ca="1" si="11"/>
        <v/>
      </c>
    </row>
    <row r="260" spans="13:19" x14ac:dyDescent="0.25">
      <c r="M260" t="str">
        <f t="shared" ca="1" si="9"/>
        <v/>
      </c>
      <c r="R260" s="13" t="str">
        <f t="shared" si="10"/>
        <v/>
      </c>
      <c r="S260" t="str">
        <f t="shared" ca="1" si="11"/>
        <v/>
      </c>
    </row>
    <row r="261" spans="13:19" x14ac:dyDescent="0.25">
      <c r="M261" t="str">
        <f t="shared" ca="1" si="9"/>
        <v/>
      </c>
      <c r="R261" s="13" t="str">
        <f t="shared" si="10"/>
        <v/>
      </c>
      <c r="S261" t="str">
        <f t="shared" ca="1" si="11"/>
        <v/>
      </c>
    </row>
    <row r="262" spans="13:19" x14ac:dyDescent="0.25">
      <c r="M262" t="str">
        <f t="shared" ref="M262:M302" ca="1" si="12">IF(A262="","",IF(AND(F262&lt;&gt;"Received",F262&lt;&gt;"Cancelled",I262&lt;&gt;"",TODAY()&gt;I262),"OVERDUE",""))</f>
        <v/>
      </c>
      <c r="R262" s="13" t="str">
        <f t="shared" ref="R262:R302" si="13">IF(A262="","",MAX(H262+0,J262+0))</f>
        <v/>
      </c>
      <c r="S262" t="str">
        <f t="shared" ref="S262:S302" ca="1" si="14">IF(A262="","",IF(OR(F262="Received",F262="Cancelled"),"",TODAY()-R262))</f>
        <v/>
      </c>
    </row>
    <row r="263" spans="13:19" x14ac:dyDescent="0.25">
      <c r="M263" t="str">
        <f t="shared" ca="1" si="12"/>
        <v/>
      </c>
      <c r="R263" s="13" t="str">
        <f t="shared" si="13"/>
        <v/>
      </c>
      <c r="S263" t="str">
        <f t="shared" ca="1" si="14"/>
        <v/>
      </c>
    </row>
    <row r="264" spans="13:19" x14ac:dyDescent="0.25">
      <c r="M264" t="str">
        <f t="shared" ca="1" si="12"/>
        <v/>
      </c>
      <c r="R264" s="13" t="str">
        <f t="shared" si="13"/>
        <v/>
      </c>
      <c r="S264" t="str">
        <f t="shared" ca="1" si="14"/>
        <v/>
      </c>
    </row>
    <row r="265" spans="13:19" x14ac:dyDescent="0.25">
      <c r="M265" t="str">
        <f t="shared" ca="1" si="12"/>
        <v/>
      </c>
      <c r="R265" s="13" t="str">
        <f t="shared" si="13"/>
        <v/>
      </c>
      <c r="S265" t="str">
        <f t="shared" ca="1" si="14"/>
        <v/>
      </c>
    </row>
    <row r="266" spans="13:19" x14ac:dyDescent="0.25">
      <c r="M266" t="str">
        <f t="shared" ca="1" si="12"/>
        <v/>
      </c>
      <c r="R266" s="13" t="str">
        <f t="shared" si="13"/>
        <v/>
      </c>
      <c r="S266" t="str">
        <f t="shared" ca="1" si="14"/>
        <v/>
      </c>
    </row>
    <row r="267" spans="13:19" x14ac:dyDescent="0.25">
      <c r="M267" t="str">
        <f t="shared" ca="1" si="12"/>
        <v/>
      </c>
      <c r="R267" s="13" t="str">
        <f t="shared" si="13"/>
        <v/>
      </c>
      <c r="S267" t="str">
        <f t="shared" ca="1" si="14"/>
        <v/>
      </c>
    </row>
    <row r="268" spans="13:19" x14ac:dyDescent="0.25">
      <c r="M268" t="str">
        <f t="shared" ca="1" si="12"/>
        <v/>
      </c>
      <c r="R268" s="13" t="str">
        <f t="shared" si="13"/>
        <v/>
      </c>
      <c r="S268" t="str">
        <f t="shared" ca="1" si="14"/>
        <v/>
      </c>
    </row>
    <row r="269" spans="13:19" x14ac:dyDescent="0.25">
      <c r="M269" t="str">
        <f t="shared" ca="1" si="12"/>
        <v/>
      </c>
      <c r="R269" s="13" t="str">
        <f t="shared" si="13"/>
        <v/>
      </c>
      <c r="S269" t="str">
        <f t="shared" ca="1" si="14"/>
        <v/>
      </c>
    </row>
    <row r="270" spans="13:19" x14ac:dyDescent="0.25">
      <c r="M270" t="str">
        <f t="shared" ca="1" si="12"/>
        <v/>
      </c>
      <c r="R270" s="13" t="str">
        <f t="shared" si="13"/>
        <v/>
      </c>
      <c r="S270" t="str">
        <f t="shared" ca="1" si="14"/>
        <v/>
      </c>
    </row>
    <row r="271" spans="13:19" x14ac:dyDescent="0.25">
      <c r="M271" t="str">
        <f t="shared" ca="1" si="12"/>
        <v/>
      </c>
      <c r="R271" s="13" t="str">
        <f t="shared" si="13"/>
        <v/>
      </c>
      <c r="S271" t="str">
        <f t="shared" ca="1" si="14"/>
        <v/>
      </c>
    </row>
    <row r="272" spans="13:19" x14ac:dyDescent="0.25">
      <c r="M272" t="str">
        <f t="shared" ca="1" si="12"/>
        <v/>
      </c>
      <c r="R272" s="13" t="str">
        <f t="shared" si="13"/>
        <v/>
      </c>
      <c r="S272" t="str">
        <f t="shared" ca="1" si="14"/>
        <v/>
      </c>
    </row>
    <row r="273" spans="13:19" x14ac:dyDescent="0.25">
      <c r="M273" t="str">
        <f t="shared" ca="1" si="12"/>
        <v/>
      </c>
      <c r="R273" s="13" t="str">
        <f t="shared" si="13"/>
        <v/>
      </c>
      <c r="S273" t="str">
        <f t="shared" ca="1" si="14"/>
        <v/>
      </c>
    </row>
    <row r="274" spans="13:19" x14ac:dyDescent="0.25">
      <c r="M274" t="str">
        <f t="shared" ca="1" si="12"/>
        <v/>
      </c>
      <c r="R274" s="13" t="str">
        <f t="shared" si="13"/>
        <v/>
      </c>
      <c r="S274" t="str">
        <f t="shared" ca="1" si="14"/>
        <v/>
      </c>
    </row>
    <row r="275" spans="13:19" x14ac:dyDescent="0.25">
      <c r="M275" t="str">
        <f t="shared" ca="1" si="12"/>
        <v/>
      </c>
      <c r="R275" s="13" t="str">
        <f t="shared" si="13"/>
        <v/>
      </c>
      <c r="S275" t="str">
        <f t="shared" ca="1" si="14"/>
        <v/>
      </c>
    </row>
    <row r="276" spans="13:19" x14ac:dyDescent="0.25">
      <c r="M276" t="str">
        <f t="shared" ca="1" si="12"/>
        <v/>
      </c>
      <c r="R276" s="13" t="str">
        <f t="shared" si="13"/>
        <v/>
      </c>
      <c r="S276" t="str">
        <f t="shared" ca="1" si="14"/>
        <v/>
      </c>
    </row>
    <row r="277" spans="13:19" x14ac:dyDescent="0.25">
      <c r="M277" t="str">
        <f t="shared" ca="1" si="12"/>
        <v/>
      </c>
      <c r="R277" s="13" t="str">
        <f t="shared" si="13"/>
        <v/>
      </c>
      <c r="S277" t="str">
        <f t="shared" ca="1" si="14"/>
        <v/>
      </c>
    </row>
    <row r="278" spans="13:19" x14ac:dyDescent="0.25">
      <c r="M278" t="str">
        <f t="shared" ca="1" si="12"/>
        <v/>
      </c>
      <c r="R278" s="13" t="str">
        <f t="shared" si="13"/>
        <v/>
      </c>
      <c r="S278" t="str">
        <f t="shared" ca="1" si="14"/>
        <v/>
      </c>
    </row>
    <row r="279" spans="13:19" x14ac:dyDescent="0.25">
      <c r="M279" t="str">
        <f t="shared" ca="1" si="12"/>
        <v/>
      </c>
      <c r="R279" s="13" t="str">
        <f t="shared" si="13"/>
        <v/>
      </c>
      <c r="S279" t="str">
        <f t="shared" ca="1" si="14"/>
        <v/>
      </c>
    </row>
    <row r="280" spans="13:19" x14ac:dyDescent="0.25">
      <c r="M280" t="str">
        <f t="shared" ca="1" si="12"/>
        <v/>
      </c>
      <c r="R280" s="13" t="str">
        <f t="shared" si="13"/>
        <v/>
      </c>
      <c r="S280" t="str">
        <f t="shared" ca="1" si="14"/>
        <v/>
      </c>
    </row>
    <row r="281" spans="13:19" x14ac:dyDescent="0.25">
      <c r="M281" t="str">
        <f t="shared" ca="1" si="12"/>
        <v/>
      </c>
      <c r="R281" s="13" t="str">
        <f t="shared" si="13"/>
        <v/>
      </c>
      <c r="S281" t="str">
        <f t="shared" ca="1" si="14"/>
        <v/>
      </c>
    </row>
    <row r="282" spans="13:19" x14ac:dyDescent="0.25">
      <c r="M282" t="str">
        <f t="shared" ca="1" si="12"/>
        <v/>
      </c>
      <c r="R282" s="13" t="str">
        <f t="shared" si="13"/>
        <v/>
      </c>
      <c r="S282" t="str">
        <f t="shared" ca="1" si="14"/>
        <v/>
      </c>
    </row>
    <row r="283" spans="13:19" x14ac:dyDescent="0.25">
      <c r="M283" t="str">
        <f t="shared" ca="1" si="12"/>
        <v/>
      </c>
      <c r="R283" s="13" t="str">
        <f t="shared" si="13"/>
        <v/>
      </c>
      <c r="S283" t="str">
        <f t="shared" ca="1" si="14"/>
        <v/>
      </c>
    </row>
    <row r="284" spans="13:19" x14ac:dyDescent="0.25">
      <c r="M284" t="str">
        <f t="shared" ca="1" si="12"/>
        <v/>
      </c>
      <c r="R284" s="13" t="str">
        <f t="shared" si="13"/>
        <v/>
      </c>
      <c r="S284" t="str">
        <f t="shared" ca="1" si="14"/>
        <v/>
      </c>
    </row>
    <row r="285" spans="13:19" x14ac:dyDescent="0.25">
      <c r="M285" t="str">
        <f t="shared" ca="1" si="12"/>
        <v/>
      </c>
      <c r="R285" s="13" t="str">
        <f t="shared" si="13"/>
        <v/>
      </c>
      <c r="S285" t="str">
        <f t="shared" ca="1" si="14"/>
        <v/>
      </c>
    </row>
    <row r="286" spans="13:19" x14ac:dyDescent="0.25">
      <c r="M286" t="str">
        <f t="shared" ca="1" si="12"/>
        <v/>
      </c>
      <c r="R286" s="13" t="str">
        <f t="shared" si="13"/>
        <v/>
      </c>
      <c r="S286" t="str">
        <f t="shared" ca="1" si="14"/>
        <v/>
      </c>
    </row>
    <row r="287" spans="13:19" x14ac:dyDescent="0.25">
      <c r="M287" t="str">
        <f t="shared" ca="1" si="12"/>
        <v/>
      </c>
      <c r="R287" s="13" t="str">
        <f t="shared" si="13"/>
        <v/>
      </c>
      <c r="S287" t="str">
        <f t="shared" ca="1" si="14"/>
        <v/>
      </c>
    </row>
    <row r="288" spans="13:19" x14ac:dyDescent="0.25">
      <c r="M288" t="str">
        <f t="shared" ca="1" si="12"/>
        <v/>
      </c>
      <c r="R288" s="13" t="str">
        <f t="shared" si="13"/>
        <v/>
      </c>
      <c r="S288" t="str">
        <f t="shared" ca="1" si="14"/>
        <v/>
      </c>
    </row>
    <row r="289" spans="13:19" x14ac:dyDescent="0.25">
      <c r="M289" t="str">
        <f t="shared" ca="1" si="12"/>
        <v/>
      </c>
      <c r="R289" s="13" t="str">
        <f t="shared" si="13"/>
        <v/>
      </c>
      <c r="S289" t="str">
        <f t="shared" ca="1" si="14"/>
        <v/>
      </c>
    </row>
    <row r="290" spans="13:19" x14ac:dyDescent="0.25">
      <c r="M290" t="str">
        <f t="shared" ca="1" si="12"/>
        <v/>
      </c>
      <c r="R290" s="13" t="str">
        <f t="shared" si="13"/>
        <v/>
      </c>
      <c r="S290" t="str">
        <f t="shared" ca="1" si="14"/>
        <v/>
      </c>
    </row>
    <row r="291" spans="13:19" x14ac:dyDescent="0.25">
      <c r="M291" t="str">
        <f t="shared" ca="1" si="12"/>
        <v/>
      </c>
      <c r="R291" s="13" t="str">
        <f t="shared" si="13"/>
        <v/>
      </c>
      <c r="S291" t="str">
        <f t="shared" ca="1" si="14"/>
        <v/>
      </c>
    </row>
    <row r="292" spans="13:19" x14ac:dyDescent="0.25">
      <c r="M292" t="str">
        <f t="shared" ca="1" si="12"/>
        <v/>
      </c>
      <c r="R292" s="13" t="str">
        <f t="shared" si="13"/>
        <v/>
      </c>
      <c r="S292" t="str">
        <f t="shared" ca="1" si="14"/>
        <v/>
      </c>
    </row>
    <row r="293" spans="13:19" x14ac:dyDescent="0.25">
      <c r="M293" t="str">
        <f t="shared" ca="1" si="12"/>
        <v/>
      </c>
      <c r="R293" s="13" t="str">
        <f t="shared" si="13"/>
        <v/>
      </c>
      <c r="S293" t="str">
        <f t="shared" ca="1" si="14"/>
        <v/>
      </c>
    </row>
    <row r="294" spans="13:19" x14ac:dyDescent="0.25">
      <c r="M294" t="str">
        <f t="shared" ca="1" si="12"/>
        <v/>
      </c>
      <c r="R294" s="13" t="str">
        <f t="shared" si="13"/>
        <v/>
      </c>
      <c r="S294" t="str">
        <f t="shared" ca="1" si="14"/>
        <v/>
      </c>
    </row>
    <row r="295" spans="13:19" x14ac:dyDescent="0.25">
      <c r="M295" t="str">
        <f t="shared" ca="1" si="12"/>
        <v/>
      </c>
      <c r="R295" s="13" t="str">
        <f t="shared" si="13"/>
        <v/>
      </c>
      <c r="S295" t="str">
        <f t="shared" ca="1" si="14"/>
        <v/>
      </c>
    </row>
    <row r="296" spans="13:19" x14ac:dyDescent="0.25">
      <c r="M296" t="str">
        <f t="shared" ca="1" si="12"/>
        <v/>
      </c>
      <c r="R296" s="13" t="str">
        <f t="shared" si="13"/>
        <v/>
      </c>
      <c r="S296" t="str">
        <f t="shared" ca="1" si="14"/>
        <v/>
      </c>
    </row>
    <row r="297" spans="13:19" x14ac:dyDescent="0.25">
      <c r="M297" t="str">
        <f t="shared" ca="1" si="12"/>
        <v/>
      </c>
      <c r="R297" s="13" t="str">
        <f t="shared" si="13"/>
        <v/>
      </c>
      <c r="S297" t="str">
        <f t="shared" ca="1" si="14"/>
        <v/>
      </c>
    </row>
    <row r="298" spans="13:19" x14ac:dyDescent="0.25">
      <c r="M298" t="str">
        <f t="shared" ca="1" si="12"/>
        <v/>
      </c>
      <c r="R298" s="13" t="str">
        <f t="shared" si="13"/>
        <v/>
      </c>
      <c r="S298" t="str">
        <f t="shared" ca="1" si="14"/>
        <v/>
      </c>
    </row>
    <row r="299" spans="13:19" x14ac:dyDescent="0.25">
      <c r="M299" t="str">
        <f t="shared" ca="1" si="12"/>
        <v/>
      </c>
      <c r="R299" s="13" t="str">
        <f t="shared" si="13"/>
        <v/>
      </c>
      <c r="S299" t="str">
        <f t="shared" ca="1" si="14"/>
        <v/>
      </c>
    </row>
    <row r="300" spans="13:19" x14ac:dyDescent="0.25">
      <c r="M300" t="str">
        <f t="shared" ca="1" si="12"/>
        <v/>
      </c>
      <c r="R300" s="13" t="str">
        <f t="shared" si="13"/>
        <v/>
      </c>
      <c r="S300" t="str">
        <f t="shared" ca="1" si="14"/>
        <v/>
      </c>
    </row>
    <row r="301" spans="13:19" x14ac:dyDescent="0.25">
      <c r="M301" t="str">
        <f t="shared" ca="1" si="12"/>
        <v/>
      </c>
      <c r="R301" s="13" t="str">
        <f t="shared" si="13"/>
        <v/>
      </c>
      <c r="S301" t="str">
        <f t="shared" ca="1" si="14"/>
        <v/>
      </c>
    </row>
    <row r="302" spans="13:19" x14ac:dyDescent="0.25">
      <c r="M302" t="str">
        <f t="shared" ca="1" si="12"/>
        <v/>
      </c>
      <c r="R302" s="13" t="str">
        <f t="shared" si="13"/>
        <v/>
      </c>
      <c r="S302" t="str">
        <f t="shared" ca="1" si="14"/>
        <v/>
      </c>
    </row>
    <row r="307" spans="1:1" x14ac:dyDescent="0.25">
      <c r="A307" s="3" t="s">
        <v>423</v>
      </c>
    </row>
  </sheetData>
  <conditionalFormatting sqref="F6:F303">
    <cfRule type="cellIs" dxfId="3" priority="3" operator="equal">
      <formula>"Not Ordered"</formula>
    </cfRule>
  </conditionalFormatting>
  <conditionalFormatting sqref="M6:M303">
    <cfRule type="cellIs" dxfId="2" priority="2" operator="equal">
      <formula>"OVERDUE"</formula>
    </cfRule>
  </conditionalFormatting>
  <conditionalFormatting sqref="S6:S303">
    <cfRule type="cellIs" dxfId="1" priority="4" operator="greaterThanOrEqual">
      <formula>14</formula>
    </cfRule>
  </conditionalFormatting>
  <dataValidations count="3">
    <dataValidation type="list" allowBlank="1" sqref="E6:E499" xr:uid="{00000000-0002-0000-1100-000000000000}">
      <formula1>"High,Medium,Low"</formula1>
      <formula2>0</formula2>
    </dataValidation>
    <dataValidation type="list" allowBlank="1" sqref="F6:F499" xr:uid="{00000000-0002-0000-1100-000001000000}">
      <formula1>"Not Ordered,Ordered,Partially Received,Received,On Hold,Cancelled"</formula1>
      <formula2>0</formula2>
    </dataValidation>
    <dataValidation type="list" allowBlank="1" sqref="O6:O499" xr:uid="{00000000-0002-0000-1100-000002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A1A1A"/>
    <pageSetUpPr fitToPage="1"/>
  </sheetPr>
  <dimension ref="A2:M307"/>
  <sheetViews>
    <sheetView showGridLines="0" zoomScaleNormal="100" workbookViewId="0">
      <pane xSplit="3" ySplit="4" topLeftCell="D5" activePane="bottomRight" state="frozen"/>
      <selection pane="topRight" activeCell="D1" sqref="D1"/>
      <selection pane="bottomLeft" activeCell="A5" sqref="A5"/>
      <selection pane="bottomRight" activeCell="A5" sqref="A5"/>
    </sheetView>
  </sheetViews>
  <sheetFormatPr defaultColWidth="8.7109375" defaultRowHeight="15" x14ac:dyDescent="0.25"/>
  <cols>
    <col min="1" max="1" width="10" customWidth="1"/>
    <col min="2" max="2" width="28" customWidth="1"/>
    <col min="3" max="3" width="14" customWidth="1"/>
    <col min="4" max="9" width="22" customWidth="1"/>
    <col min="10" max="10" width="10" customWidth="1"/>
    <col min="11" max="11" width="13" customWidth="1"/>
    <col min="12" max="12" width="12" customWidth="1"/>
    <col min="13" max="13" width="24" customWidth="1"/>
  </cols>
  <sheetData>
    <row r="2" spans="1:13" x14ac:dyDescent="0.25">
      <c r="B2" s="12" t="s">
        <v>393</v>
      </c>
      <c r="C2" t="str">
        <f>IF('Project Info'!C5="","",'Project Info'!C5)</f>
        <v>Norcross, GA</v>
      </c>
    </row>
    <row r="4" spans="1:13" ht="31.5" customHeight="1" x14ac:dyDescent="0.25">
      <c r="A4" s="18" t="s">
        <v>424</v>
      </c>
      <c r="B4" s="18" t="s">
        <v>425</v>
      </c>
      <c r="C4" s="18" t="s">
        <v>426</v>
      </c>
      <c r="D4" s="18" t="s">
        <v>427</v>
      </c>
      <c r="E4" s="18" t="s">
        <v>428</v>
      </c>
      <c r="F4" s="18" t="s">
        <v>429</v>
      </c>
      <c r="G4" s="18" t="s">
        <v>430</v>
      </c>
      <c r="H4" s="18" t="s">
        <v>431</v>
      </c>
      <c r="I4" s="18" t="s">
        <v>432</v>
      </c>
      <c r="J4" s="18" t="s">
        <v>433</v>
      </c>
      <c r="K4" s="18" t="s">
        <v>434</v>
      </c>
      <c r="L4" s="18" t="s">
        <v>220</v>
      </c>
      <c r="M4" s="18" t="s">
        <v>226</v>
      </c>
    </row>
    <row r="307" spans="1:1" x14ac:dyDescent="0.25">
      <c r="A307" s="3" t="s">
        <v>435</v>
      </c>
    </row>
  </sheetData>
  <dataValidations count="1">
    <dataValidation type="list" allowBlank="1" sqref="L5:L499" xr:uid="{00000000-0002-0000-1200-000000000000}">
      <formula1>"Current,Superseded"</formula1>
      <formula2>0</formula2>
    </dataValidation>
  </dataValidations>
  <pageMargins left="0.75" right="0.75" top="1" bottom="1" header="0.511811023622047" footer="0.511811023622047"/>
  <pageSetup fitToHeight="0"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A1A1A"/>
    <pageSetUpPr fitToPage="1"/>
  </sheetPr>
  <dimension ref="A2:O307"/>
  <sheetViews>
    <sheetView showGridLines="0" zoomScaleNormal="100" workbookViewId="0">
      <pane xSplit="3" ySplit="5" topLeftCell="D6" activePane="bottomRight" state="frozen"/>
      <selection pane="topRight" activeCell="D1" sqref="D1"/>
      <selection pane="bottomLeft" activeCell="A6" sqref="A6"/>
      <selection pane="bottomRight" activeCell="A6" sqref="A6"/>
    </sheetView>
  </sheetViews>
  <sheetFormatPr defaultColWidth="8.7109375" defaultRowHeight="15" x14ac:dyDescent="0.25"/>
  <cols>
    <col min="1" max="1" width="12" customWidth="1"/>
    <col min="2" max="2" width="26" customWidth="1"/>
    <col min="3" max="4" width="20" customWidth="1"/>
    <col min="5" max="5" width="16" customWidth="1"/>
    <col min="6" max="6" width="14" customWidth="1"/>
    <col min="7" max="7" width="16" customWidth="1"/>
    <col min="8" max="8" width="22" customWidth="1"/>
    <col min="9" max="9" width="26" customWidth="1"/>
    <col min="10" max="10" width="12" customWidth="1"/>
    <col min="11" max="11" width="14" customWidth="1"/>
    <col min="12" max="12" width="16" customWidth="1"/>
    <col min="13" max="13" width="12" customWidth="1"/>
    <col min="14" max="15" width="22" customWidth="1"/>
  </cols>
  <sheetData>
    <row r="2" spans="1:15" x14ac:dyDescent="0.25">
      <c r="B2" s="12" t="s">
        <v>393</v>
      </c>
      <c r="C2" t="str">
        <f>IF('Project Info'!C5="","",'Project Info'!C5)</f>
        <v>Norcross, GA</v>
      </c>
    </row>
    <row r="3" spans="1:15" x14ac:dyDescent="0.25">
      <c r="B3" s="12" t="s">
        <v>436</v>
      </c>
      <c r="C3" s="22"/>
    </row>
    <row r="5" spans="1:15" ht="31.5" customHeight="1" x14ac:dyDescent="0.25">
      <c r="A5" s="18" t="s">
        <v>437</v>
      </c>
      <c r="B5" s="18" t="s">
        <v>438</v>
      </c>
      <c r="C5" s="18" t="s">
        <v>439</v>
      </c>
      <c r="D5" s="18" t="s">
        <v>440</v>
      </c>
      <c r="E5" s="18" t="s">
        <v>441</v>
      </c>
      <c r="F5" s="18" t="s">
        <v>442</v>
      </c>
      <c r="G5" s="18" t="s">
        <v>443</v>
      </c>
      <c r="H5" s="18" t="s">
        <v>444</v>
      </c>
      <c r="I5" s="18" t="s">
        <v>445</v>
      </c>
      <c r="J5" s="18" t="s">
        <v>286</v>
      </c>
      <c r="K5" s="18" t="s">
        <v>225</v>
      </c>
      <c r="L5" s="18" t="s">
        <v>446</v>
      </c>
      <c r="M5" s="18" t="s">
        <v>220</v>
      </c>
      <c r="N5" s="18" t="s">
        <v>373</v>
      </c>
      <c r="O5" s="18" t="s">
        <v>226</v>
      </c>
    </row>
    <row r="307" spans="1:1" x14ac:dyDescent="0.25">
      <c r="A307" s="3" t="s">
        <v>447</v>
      </c>
    </row>
  </sheetData>
  <conditionalFormatting sqref="M6:M499">
    <cfRule type="cellIs" dxfId="0" priority="2" operator="equal">
      <formula>"Superseded"</formula>
    </cfRule>
  </conditionalFormatting>
  <dataValidations count="3">
    <dataValidation type="list" allowBlank="1" sqref="F6:F499" xr:uid="{00000000-0002-0000-1300-000000000000}">
      <formula1>"Yes,No,TBD"</formula1>
      <formula2>0</formula2>
    </dataValidation>
    <dataValidation type="list" allowBlank="1" sqref="M6:M499" xr:uid="{00000000-0002-0000-1300-000001000000}">
      <formula1>"Current,Superseded"</formula1>
      <formula2>0</formula2>
    </dataValidation>
    <dataValidation type="list" allowBlank="1" sqref="D6:D499" xr:uid="{00000000-0002-0000-1300-000002000000}">
      <formula1>"MasterFormat 1995 (16-Division),MasterFormat 2004+ (50-Division),UniFormat,SectionFormat only,Other/Custom"</formula1>
      <formula2>0</formula2>
    </dataValidation>
  </dataValidations>
  <pageMargins left="0.75" right="0.75" top="1" bottom="1" header="0.511811023622047" footer="0.511811023622047"/>
  <pageSetup fitToHeight="0"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A1A1A"/>
    <pageSetUpPr fitToPage="1"/>
  </sheetPr>
  <dimension ref="B2:C23"/>
  <sheetViews>
    <sheetView showGridLines="0" tabSelected="1" zoomScaleNormal="100" workbookViewId="0">
      <selection activeCell="J24" sqref="J24"/>
    </sheetView>
  </sheetViews>
  <sheetFormatPr defaultColWidth="8.7109375" defaultRowHeight="15" x14ac:dyDescent="0.25"/>
  <cols>
    <col min="1" max="1" width="3" customWidth="1"/>
    <col min="2" max="2" width="48" customWidth="1"/>
    <col min="3" max="3" width="46" customWidth="1"/>
  </cols>
  <sheetData>
    <row r="2" spans="2:3" ht="18" customHeight="1" x14ac:dyDescent="0.25">
      <c r="B2" s="1" t="s">
        <v>448</v>
      </c>
      <c r="C2" s="2"/>
    </row>
    <row r="3" spans="2:3" x14ac:dyDescent="0.25">
      <c r="B3" s="3" t="s">
        <v>449</v>
      </c>
    </row>
    <row r="5" spans="2:3" x14ac:dyDescent="0.25">
      <c r="B5" s="4" t="s">
        <v>450</v>
      </c>
      <c r="C5" s="5"/>
    </row>
    <row r="6" spans="2:3" x14ac:dyDescent="0.25">
      <c r="B6" s="4" t="s">
        <v>451</v>
      </c>
      <c r="C6" s="5"/>
    </row>
    <row r="7" spans="2:3" x14ac:dyDescent="0.25">
      <c r="B7" s="4" t="s">
        <v>452</v>
      </c>
      <c r="C7" s="5"/>
    </row>
    <row r="8" spans="2:3" x14ac:dyDescent="0.25">
      <c r="B8" s="4" t="s">
        <v>453</v>
      </c>
      <c r="C8" s="5"/>
    </row>
    <row r="9" spans="2:3" x14ac:dyDescent="0.25">
      <c r="B9" s="4" t="s">
        <v>454</v>
      </c>
      <c r="C9" s="5"/>
    </row>
    <row r="10" spans="2:3" x14ac:dyDescent="0.25">
      <c r="B10" s="4" t="s">
        <v>455</v>
      </c>
      <c r="C10" s="5"/>
    </row>
    <row r="11" spans="2:3" x14ac:dyDescent="0.25">
      <c r="B11" s="4" t="s">
        <v>456</v>
      </c>
      <c r="C11" s="5"/>
    </row>
    <row r="12" spans="2:3" x14ac:dyDescent="0.25">
      <c r="B12" s="4" t="s">
        <v>457</v>
      </c>
      <c r="C12" s="5"/>
    </row>
    <row r="13" spans="2:3" x14ac:dyDescent="0.25">
      <c r="B13" s="4" t="s">
        <v>458</v>
      </c>
      <c r="C13" s="5"/>
    </row>
    <row r="14" spans="2:3" x14ac:dyDescent="0.25">
      <c r="B14" s="4" t="s">
        <v>459</v>
      </c>
      <c r="C14" s="5"/>
    </row>
    <row r="15" spans="2:3" x14ac:dyDescent="0.25">
      <c r="B15" s="4" t="s">
        <v>460</v>
      </c>
      <c r="C15" s="5"/>
    </row>
    <row r="16" spans="2:3" x14ac:dyDescent="0.25">
      <c r="B16" s="4" t="s">
        <v>461</v>
      </c>
      <c r="C16" s="5"/>
    </row>
    <row r="17" spans="2:3" x14ac:dyDescent="0.25">
      <c r="B17" s="4" t="s">
        <v>462</v>
      </c>
      <c r="C17" s="5"/>
    </row>
    <row r="18" spans="2:3" x14ac:dyDescent="0.25">
      <c r="B18" s="4" t="s">
        <v>463</v>
      </c>
      <c r="C18" s="5"/>
    </row>
    <row r="19" spans="2:3" x14ac:dyDescent="0.25">
      <c r="B19" s="4" t="s">
        <v>464</v>
      </c>
      <c r="C19" s="5"/>
    </row>
    <row r="20" spans="2:3" x14ac:dyDescent="0.25">
      <c r="B20" s="4" t="s">
        <v>465</v>
      </c>
      <c r="C20" s="5"/>
    </row>
    <row r="21" spans="2:3" x14ac:dyDescent="0.25">
      <c r="B21" s="4" t="s">
        <v>466</v>
      </c>
      <c r="C21" s="23">
        <f ca="1">TODAY()</f>
        <v>46296</v>
      </c>
    </row>
    <row r="23" spans="2:3" x14ac:dyDescent="0.25">
      <c r="B23" s="3" t="s">
        <v>467</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42</vt:i4>
      </vt:variant>
    </vt:vector>
  </HeadingPairs>
  <TitlesOfParts>
    <vt:vector size="63" baseType="lpstr">
      <vt:lpstr>Project Info</vt:lpstr>
      <vt:lpstr>README</vt:lpstr>
      <vt:lpstr>Dashboard</vt:lpstr>
      <vt:lpstr>RFI Log</vt:lpstr>
      <vt:lpstr>Submittal Log</vt:lpstr>
      <vt:lpstr>Change Order Log</vt:lpstr>
      <vt:lpstr>Subcontractor CO Log</vt:lpstr>
      <vt:lpstr>Claims Log</vt:lpstr>
      <vt:lpstr>Risk Register</vt:lpstr>
      <vt:lpstr>Daily Log</vt:lpstr>
      <vt:lpstr>Meeting Minutes Log</vt:lpstr>
      <vt:lpstr>Contract Review Log</vt:lpstr>
      <vt:lpstr>Schedule</vt:lpstr>
      <vt:lpstr>Contract Milestones</vt:lpstr>
      <vt:lpstr>3-Week Look-Ahead</vt:lpstr>
      <vt:lpstr>Photo Log</vt:lpstr>
      <vt:lpstr>Permit Tracker</vt:lpstr>
      <vt:lpstr>Material Tracker</vt:lpstr>
      <vt:lpstr>Drawing Log</vt:lpstr>
      <vt:lpstr>Specification Log</vt:lpstr>
      <vt:lpstr>Owner Contract Key Terms</vt:lpstr>
      <vt:lpstr>'3-Week Look-Ahead'!Print_Area</vt:lpstr>
      <vt:lpstr>'Change Order Log'!Print_Area</vt:lpstr>
      <vt:lpstr>'Claims Log'!Print_Area</vt:lpstr>
      <vt:lpstr>'Contract Milestones'!Print_Area</vt:lpstr>
      <vt:lpstr>'Contract Review Log'!Print_Area</vt:lpstr>
      <vt:lpstr>'Daily Log'!Print_Area</vt:lpstr>
      <vt:lpstr>Dashboard!Print_Area</vt:lpstr>
      <vt:lpstr>'Drawing Log'!Print_Area</vt:lpstr>
      <vt:lpstr>'Material Tracker'!Print_Area</vt:lpstr>
      <vt:lpstr>'Meeting Minutes Log'!Print_Area</vt:lpstr>
      <vt:lpstr>'Owner Contract Key Terms'!Print_Area</vt:lpstr>
      <vt:lpstr>'Permit Tracker'!Print_Area</vt:lpstr>
      <vt:lpstr>'Photo Log'!Print_Area</vt:lpstr>
      <vt:lpstr>'Project Info'!Print_Area</vt:lpstr>
      <vt:lpstr>README!Print_Area</vt:lpstr>
      <vt:lpstr>'RFI Log'!Print_Area</vt:lpstr>
      <vt:lpstr>'Risk Register'!Print_Area</vt:lpstr>
      <vt:lpstr>Schedule!Print_Area</vt:lpstr>
      <vt:lpstr>'Specification Log'!Print_Area</vt:lpstr>
      <vt:lpstr>'Subcontractor CO Log'!Print_Area</vt:lpstr>
      <vt:lpstr>'Submittal Log'!Print_Area</vt:lpstr>
      <vt:lpstr>'3-Week Look-Ahead'!Print_Titles</vt:lpstr>
      <vt:lpstr>'Change Order Log'!Print_Titles</vt:lpstr>
      <vt:lpstr>'Claims Log'!Print_Titles</vt:lpstr>
      <vt:lpstr>'Contract Milestones'!Print_Titles</vt:lpstr>
      <vt:lpstr>'Contract Review Log'!Print_Titles</vt:lpstr>
      <vt:lpstr>'Daily Log'!Print_Titles</vt:lpstr>
      <vt:lpstr>Dashboard!Print_Titles</vt:lpstr>
      <vt:lpstr>'Drawing Log'!Print_Titles</vt:lpstr>
      <vt:lpstr>'Material Tracker'!Print_Titles</vt:lpstr>
      <vt:lpstr>'Meeting Minutes Log'!Print_Titles</vt:lpstr>
      <vt:lpstr>'Owner Contract Key Terms'!Print_Titles</vt:lpstr>
      <vt:lpstr>'Permit Tracker'!Print_Titles</vt:lpstr>
      <vt:lpstr>'Photo Log'!Print_Titles</vt:lpstr>
      <vt:lpstr>'Project Info'!Print_Titles</vt:lpstr>
      <vt:lpstr>README!Print_Titles</vt:lpstr>
      <vt:lpstr>'RFI Log'!Print_Titles</vt:lpstr>
      <vt:lpstr>'Risk Register'!Print_Titles</vt:lpstr>
      <vt:lpstr>Schedule!Print_Titles</vt:lpstr>
      <vt:lpstr>'Specification Log'!Print_Titles</vt:lpstr>
      <vt:lpstr>'Subcontractor CO Log'!Print_Titles</vt:lpstr>
      <vt:lpstr>'Submittal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Marcelino</cp:lastModifiedBy>
  <dcterms:modified xsi:type="dcterms:W3CDTF">2026-10-01T16:38:26Z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2026-09-27T18:37:03Z</dcterms:created>
  <dc:creator>openpyxl</dc:creator>
  <dc:description/>
  <dc:language>en-US</dc:language>
  <cp:lastModifiedBy>Luis Marcelino</cp:lastModifiedBy>
  <dcterms:modified xsi:type="dcterms:W3CDTF">2026-09-28T22:41:48Z</dcterms:modified>
  <cp:revision>0</cp:revision>
  <dc:subject/>
  <dc:title/>
</cp:coreProperties>
</file>